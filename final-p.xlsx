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EXCEL\final_p\"/>
    </mc:Choice>
  </mc:AlternateContent>
  <xr:revisionPtr revIDLastSave="0" documentId="13_ncr:1_{2303A0B1-00E7-4C2C-B52B-D947FAEDA229}" xr6:coauthVersionLast="47" xr6:coauthVersionMax="47" xr10:uidLastSave="{00000000-0000-0000-0000-000000000000}"/>
  <bookViews>
    <workbookView xWindow="-108" yWindow="-108" windowWidth="23256" windowHeight="12456" activeTab="3" xr2:uid="{C76CD068-7E1C-4FA2-BC9B-87321FD7F8AC}"/>
  </bookViews>
  <sheets>
    <sheet name="pivot 1" sheetId="4" r:id="rId1"/>
    <sheet name="pivot 2" sheetId="3" r:id="rId2"/>
    <sheet name="pivot 3" sheetId="5" r:id="rId3"/>
    <sheet name="DASHBOARD" sheetId="6" r:id="rId4"/>
    <sheet name="Content Scheduling for Maximizi" sheetId="1" r:id="rId5"/>
  </sheets>
  <definedNames>
    <definedName name="NativeTimeline_Peak_Viewership_Time">#N/A</definedName>
    <definedName name="NativeTimeline_Release_Date">#N/A</definedName>
    <definedName name="NativeTimeline_Time_of_Day">#N/A</definedName>
    <definedName name="Slicer_Day_of_the_Week">#N/A</definedName>
    <definedName name="Slicer_Duration__mins">#N/A</definedName>
    <definedName name="Slicer_Viewer_Gend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 r:id="rId11"/>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8" i="1" l="1"/>
  <c r="AC8" i="1"/>
  <c r="AD2" i="1"/>
  <c r="AC2" i="1"/>
  <c r="AA3" i="1" l="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2" i="1"/>
  <c r="AA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2"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3" i="1"/>
  <c r="Y4" i="1"/>
  <c r="Y5" i="1"/>
  <c r="Y2" i="1"/>
  <c r="X2"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3" i="1"/>
  <c r="X4" i="1"/>
  <c r="X5" i="1"/>
  <c r="X6" i="1"/>
  <c r="X7" i="1"/>
  <c r="X8" i="1"/>
  <c r="X9" i="1"/>
  <c r="X10" i="1"/>
  <c r="X11" i="1"/>
  <c r="AE2" i="1" l="1"/>
</calcChain>
</file>

<file path=xl/sharedStrings.xml><?xml version="1.0" encoding="utf-8"?>
<sst xmlns="http://schemas.openxmlformats.org/spreadsheetml/2006/main" count="5625" uniqueCount="93">
  <si>
    <t>Content ID</t>
  </si>
  <si>
    <t>Content Type</t>
  </si>
  <si>
    <t>Genre</t>
  </si>
  <si>
    <t>Release Date</t>
  </si>
  <si>
    <t>Time of Day</t>
  </si>
  <si>
    <t>Day of the Week</t>
  </si>
  <si>
    <t>Duration (mins)</t>
  </si>
  <si>
    <t>Viewership</t>
  </si>
  <si>
    <t>Average Watch Time (mins)</t>
  </si>
  <si>
    <t>Peak Viewership Time</t>
  </si>
  <si>
    <t>Peak Viewership Day</t>
  </si>
  <si>
    <t>Viewer Age</t>
  </si>
  <si>
    <t>Viewer Gender</t>
  </si>
  <si>
    <t>Viewer Location</t>
  </si>
  <si>
    <t>Likes</t>
  </si>
  <si>
    <t>Shares</t>
  </si>
  <si>
    <t>Comments</t>
  </si>
  <si>
    <t>User Ratings</t>
  </si>
  <si>
    <t>Seasonality</t>
  </si>
  <si>
    <t>Content Popularity</t>
  </si>
  <si>
    <t>Competitor Content</t>
  </si>
  <si>
    <t>Promotion Data</t>
  </si>
  <si>
    <t>Subscription Data</t>
  </si>
  <si>
    <t>Movie</t>
  </si>
  <si>
    <t>Thriller</t>
  </si>
  <si>
    <t>Thursday</t>
  </si>
  <si>
    <t>Friday</t>
  </si>
  <si>
    <t>45-54</t>
  </si>
  <si>
    <t>Male</t>
  </si>
  <si>
    <t>Germany</t>
  </si>
  <si>
    <t>Fall</t>
  </si>
  <si>
    <t>Low</t>
  </si>
  <si>
    <t>Similar Doc C</t>
  </si>
  <si>
    <t>Social Media</t>
  </si>
  <si>
    <t>Series</t>
  </si>
  <si>
    <t>Comedy</t>
  </si>
  <si>
    <t>Saturday</t>
  </si>
  <si>
    <t>18-24</t>
  </si>
  <si>
    <t>Female</t>
  </si>
  <si>
    <t>Australia</t>
  </si>
  <si>
    <t>Spring</t>
  </si>
  <si>
    <t>Similar Series B</t>
  </si>
  <si>
    <t>Print Media</t>
  </si>
  <si>
    <t>Sci-Fi</t>
  </si>
  <si>
    <t>Sunday</t>
  </si>
  <si>
    <t>Medium</t>
  </si>
  <si>
    <t>Similar Thriller H</t>
  </si>
  <si>
    <t>Email Campaign</t>
  </si>
  <si>
    <t>Romance</t>
  </si>
  <si>
    <t>35-44</t>
  </si>
  <si>
    <t>USA</t>
  </si>
  <si>
    <t>Winter</t>
  </si>
  <si>
    <t>Similar History G</t>
  </si>
  <si>
    <t>Online Ads</t>
  </si>
  <si>
    <t>Documentary</t>
  </si>
  <si>
    <t>Fantasy</t>
  </si>
  <si>
    <t>25-34</t>
  </si>
  <si>
    <t>Similar Movie A</t>
  </si>
  <si>
    <t>30% off</t>
  </si>
  <si>
    <t>France</t>
  </si>
  <si>
    <t>Summer</t>
  </si>
  <si>
    <t>History</t>
  </si>
  <si>
    <t>Tuesday</t>
  </si>
  <si>
    <t>High</t>
  </si>
  <si>
    <t>Drama</t>
  </si>
  <si>
    <t>Italy</t>
  </si>
  <si>
    <t>Similar Sci-Fi E</t>
  </si>
  <si>
    <t>TV Ads</t>
  </si>
  <si>
    <t>Monday</t>
  </si>
  <si>
    <t>UK</t>
  </si>
  <si>
    <t>Similar Action D</t>
  </si>
  <si>
    <t>Canada</t>
  </si>
  <si>
    <t>Action</t>
  </si>
  <si>
    <t>Wednesday</t>
  </si>
  <si>
    <t>Similar Romance F</t>
  </si>
  <si>
    <t>Nature</t>
  </si>
  <si>
    <t>India</t>
  </si>
  <si>
    <t>Engagement Level</t>
  </si>
  <si>
    <t>CONTENT TYPE</t>
  </si>
  <si>
    <t>GENRE</t>
  </si>
  <si>
    <t>PREMIUM CONTENT</t>
  </si>
  <si>
    <t>ABOVE AVG RATING</t>
  </si>
  <si>
    <t>Row Labels</t>
  </si>
  <si>
    <t>Grand Total</t>
  </si>
  <si>
    <t>Sum of Viewership</t>
  </si>
  <si>
    <t>Count of Viewer Age</t>
  </si>
  <si>
    <t>Sum of Likes</t>
  </si>
  <si>
    <t xml:space="preserve">                                                             CONTENT SCHEDULE DASHBOARD</t>
  </si>
  <si>
    <t>SUM OF VIEWERSHIP</t>
  </si>
  <si>
    <t>AVERAGE TIME</t>
  </si>
  <si>
    <t>TOTAL ENGAGEMENT</t>
  </si>
  <si>
    <t>AVERAGE RATING</t>
  </si>
  <si>
    <t>CONTENT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</si>
</sst>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0"/>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16435E"/>
        <bgColor indexed="64"/>
      </patternFill>
    </fill>
    <fill>
      <patternFill patternType="solid">
        <fgColor theme="7" tint="0.79998168889431442"/>
        <bgColor indexed="64"/>
      </patternFill>
    </fill>
    <fill>
      <patternFill patternType="solid">
        <fgColor theme="9"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4" fontId="0" fillId="0" borderId="0" xfId="0" applyNumberFormat="1"/>
    <xf numFmtId="18" fontId="0" fillId="0" borderId="0" xfId="0" applyNumberFormat="1"/>
    <xf numFmtId="0" fontId="16" fillId="0" borderId="0" xfId="0" applyFont="1"/>
    <xf numFmtId="0" fontId="16" fillId="33" borderId="0" xfId="0" applyFont="1" applyFill="1"/>
    <xf numFmtId="0" fontId="0" fillId="34" borderId="0" xfId="0" applyFill="1"/>
    <xf numFmtId="0" fontId="0" fillId="35" borderId="10" xfId="0" applyFill="1" applyBorder="1"/>
    <xf numFmtId="0" fontId="16" fillId="36" borderId="0" xfId="0" applyFont="1" applyFill="1"/>
    <xf numFmtId="0" fontId="0" fillId="37" borderId="10" xfId="0" applyFill="1" applyBorder="1"/>
    <xf numFmtId="0" fontId="16" fillId="38" borderId="0" xfId="0" applyFont="1" applyFill="1"/>
    <xf numFmtId="0" fontId="0" fillId="39" borderId="10" xfId="0" applyFill="1" applyBorder="1"/>
    <xf numFmtId="0" fontId="0" fillId="0" borderId="0" xfId="0" pivotButton="1"/>
    <xf numFmtId="0" fontId="0" fillId="0" borderId="0" xfId="0" applyAlignment="1">
      <alignment horizontal="left"/>
    </xf>
    <xf numFmtId="0" fontId="0" fillId="42" borderId="0" xfId="0" applyFill="1"/>
    <xf numFmtId="0" fontId="0" fillId="41" borderId="0" xfId="0" applyFill="1"/>
    <xf numFmtId="0" fontId="0" fillId="41" borderId="0" xfId="0" applyFill="1" applyAlignment="1">
      <alignment wrapText="1"/>
    </xf>
    <xf numFmtId="0" fontId="0" fillId="43" borderId="0" xfId="0" applyFill="1"/>
    <xf numFmtId="0" fontId="0" fillId="35" borderId="11" xfId="0" applyFill="1" applyBorder="1"/>
    <xf numFmtId="0" fontId="16" fillId="38" borderId="10" xfId="0" applyFont="1" applyFill="1" applyBorder="1"/>
    <xf numFmtId="0" fontId="16" fillId="36" borderId="10" xfId="0" applyFont="1" applyFill="1" applyBorder="1"/>
    <xf numFmtId="0" fontId="0" fillId="36" borderId="10" xfId="0" applyFill="1" applyBorder="1"/>
    <xf numFmtId="0" fontId="16" fillId="40" borderId="10" xfId="0" applyFont="1" applyFill="1" applyBorder="1"/>
    <xf numFmtId="0" fontId="0" fillId="44" borderId="10" xfId="0" applyFill="1" applyBorder="1"/>
    <xf numFmtId="0" fontId="16" fillId="45" borderId="10" xfId="0" applyFont="1" applyFill="1" applyBorder="1"/>
    <xf numFmtId="0" fontId="0" fillId="45" borderId="10" xfId="0" applyFill="1" applyBorder="1"/>
    <xf numFmtId="0" fontId="18" fillId="42" borderId="0" xfId="0" applyFont="1" applyFill="1" applyAlignment="1">
      <alignment vertical="center" wrapText="1"/>
    </xf>
    <xf numFmtId="0" fontId="16" fillId="42" borderId="0" xfId="0" applyFont="1" applyFill="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3" formatCode="h:mm\ AM/PM"/>
    </dxf>
    <dxf>
      <numFmt numFmtId="23" formatCode="h:mm\ AM/PM"/>
    </dxf>
    <dxf>
      <numFmt numFmtId="19" formatCode="m/d/yyyy"/>
    </dxf>
  </dxfs>
  <tableStyles count="0" defaultTableStyle="TableStyleMedium2" defaultPivotStyle="PivotStyleLight16"/>
  <colors>
    <mruColors>
      <color rgb="FFCCCCFF"/>
      <color rgb="FF16435E"/>
      <color rgb="FFFFCCFF"/>
      <color rgb="FFCC99FF"/>
      <color rgb="FF9966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[final-p.xlsx]pivot 1!PivotTable2</c:name>
    <c:fmtId val="1"/>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solidFill>
              <a:schemeClr val="accent5"/>
            </a:solidFill>
            <a:ln>
              <a:noFill/>
            </a:ln>
            <a:effectLst/>
          </c:spPr>
          <c:invertIfNegative val="0"/>
          <c:cat>
            <c:strRef>
              <c:f>'pivot 1'!$A$4:$A$7</c:f>
              <c:strCache>
                <c:ptCount val="3"/>
                <c:pt idx="0">
                  <c:v>Documentary</c:v>
                </c:pt>
                <c:pt idx="1">
                  <c:v>Movie</c:v>
                </c:pt>
                <c:pt idx="2">
                  <c:v>Series</c:v>
                </c:pt>
              </c:strCache>
            </c:strRef>
          </c:cat>
          <c:val>
            <c:numRef>
              <c:f>'pivot 1'!$B$4:$B$7</c:f>
              <c:numCache>
                <c:formatCode>General</c:formatCode>
                <c:ptCount val="3"/>
                <c:pt idx="0">
                  <c:v>60</c:v>
                </c:pt>
                <c:pt idx="1">
                  <c:v>93</c:v>
                </c:pt>
                <c:pt idx="2">
                  <c:v>83</c:v>
                </c:pt>
              </c:numCache>
            </c:numRef>
          </c:val>
          <c:extLst>
            <c:ext xmlns:c16="http://schemas.microsoft.com/office/drawing/2014/chart" uri="{C3380CC4-5D6E-409C-BE32-E72D297353CC}">
              <c16:uniqueId val="{00000000-AB3F-4D1C-9B55-1A3951F3EB2F}"/>
            </c:ext>
          </c:extLst>
        </c:ser>
        <c:dLbls>
          <c:showLegendKey val="0"/>
          <c:showVal val="0"/>
          <c:showCatName val="0"/>
          <c:showSerName val="0"/>
          <c:showPercent val="0"/>
          <c:showBubbleSize val="0"/>
        </c:dLbls>
        <c:gapWidth val="267"/>
        <c:overlap val="-43"/>
        <c:axId val="713377791"/>
        <c:axId val="713377311"/>
      </c:barChart>
      <c:catAx>
        <c:axId val="71337779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13377311"/>
        <c:crosses val="autoZero"/>
        <c:auto val="1"/>
        <c:lblAlgn val="ctr"/>
        <c:lblOffset val="100"/>
        <c:noMultiLvlLbl val="0"/>
      </c:catAx>
      <c:valAx>
        <c:axId val="71337731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1337779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[final-p.xlsx]pivot 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2'!$B$3</c:f>
              <c:strCache>
                <c:ptCount val="1"/>
                <c:pt idx="0">
                  <c:v>Total</c:v>
                </c:pt>
              </c:strCache>
            </c:strRef>
          </c:tx>
          <c:spPr>
            <a:ln w="28575" cap="rnd">
              <a:solidFill>
                <a:schemeClr val="accent1"/>
              </a:solidFill>
              <a:round/>
            </a:ln>
            <a:effectLst/>
          </c:spPr>
          <c:marker>
            <c:symbol val="none"/>
          </c:marker>
          <c:cat>
            <c:strRef>
              <c:f>'pivot 2'!$A$4:$A$8</c:f>
              <c:strCache>
                <c:ptCount val="4"/>
                <c:pt idx="0">
                  <c:v>Action</c:v>
                </c:pt>
                <c:pt idx="1">
                  <c:v>Fantasy</c:v>
                </c:pt>
                <c:pt idx="2">
                  <c:v>History</c:v>
                </c:pt>
                <c:pt idx="3">
                  <c:v>Nature</c:v>
                </c:pt>
              </c:strCache>
            </c:strRef>
          </c:cat>
          <c:val>
            <c:numRef>
              <c:f>'pivot 2'!$B$4:$B$8</c:f>
              <c:numCache>
                <c:formatCode>General</c:formatCode>
                <c:ptCount val="4"/>
                <c:pt idx="0">
                  <c:v>40151</c:v>
                </c:pt>
                <c:pt idx="1">
                  <c:v>49863</c:v>
                </c:pt>
                <c:pt idx="2">
                  <c:v>21808</c:v>
                </c:pt>
                <c:pt idx="3">
                  <c:v>39276</c:v>
                </c:pt>
              </c:numCache>
            </c:numRef>
          </c:val>
          <c:smooth val="0"/>
          <c:extLst>
            <c:ext xmlns:c16="http://schemas.microsoft.com/office/drawing/2014/chart" uri="{C3380CC4-5D6E-409C-BE32-E72D297353CC}">
              <c16:uniqueId val="{00000000-DF24-4EB0-9F91-5FE68D0E8CCD}"/>
            </c:ext>
          </c:extLst>
        </c:ser>
        <c:dLbls>
          <c:showLegendKey val="0"/>
          <c:showVal val="0"/>
          <c:showCatName val="0"/>
          <c:showSerName val="0"/>
          <c:showPercent val="0"/>
          <c:showBubbleSize val="0"/>
        </c:dLbls>
        <c:smooth val="0"/>
        <c:axId val="713357631"/>
        <c:axId val="713374431"/>
      </c:lineChart>
      <c:catAx>
        <c:axId val="71335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374431"/>
        <c:crosses val="autoZero"/>
        <c:auto val="1"/>
        <c:lblAlgn val="ctr"/>
        <c:lblOffset val="100"/>
        <c:noMultiLvlLbl val="0"/>
      </c:catAx>
      <c:valAx>
        <c:axId val="71337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35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[final-p.xlsx]pivot 3!PivotTable3</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011-4588-A590-C57E5858AEC7}"/>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011-4588-A590-C57E5858AEC7}"/>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011-4588-A590-C57E5858AEC7}"/>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011-4588-A590-C57E5858AEC7}"/>
              </c:ext>
            </c:extLst>
          </c:dPt>
          <c:dPt>
            <c:idx val="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011-4588-A590-C57E5858AEC7}"/>
              </c:ext>
            </c:extLst>
          </c:dPt>
          <c:dPt>
            <c:idx val="5"/>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011-4588-A590-C57E5858AEC7}"/>
              </c:ext>
            </c:extLst>
          </c:dPt>
          <c:dPt>
            <c:idx val="6"/>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8011-4588-A590-C57E5858AEC7}"/>
              </c:ext>
            </c:extLst>
          </c:dPt>
          <c:dPt>
            <c:idx val="7"/>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8011-4588-A590-C57E5858AEC7}"/>
              </c:ext>
            </c:extLst>
          </c:dPt>
          <c:dPt>
            <c:idx val="8"/>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8011-4588-A590-C57E5858AEC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3'!$A$4:$A$13</c:f>
              <c:strCache>
                <c:ptCount val="9"/>
                <c:pt idx="0">
                  <c:v>Action</c:v>
                </c:pt>
                <c:pt idx="1">
                  <c:v>Comedy</c:v>
                </c:pt>
                <c:pt idx="2">
                  <c:v>Drama</c:v>
                </c:pt>
                <c:pt idx="3">
                  <c:v>Fantasy</c:v>
                </c:pt>
                <c:pt idx="4">
                  <c:v>History</c:v>
                </c:pt>
                <c:pt idx="5">
                  <c:v>Nature</c:v>
                </c:pt>
                <c:pt idx="6">
                  <c:v>Romance</c:v>
                </c:pt>
                <c:pt idx="7">
                  <c:v>Sci-Fi</c:v>
                </c:pt>
                <c:pt idx="8">
                  <c:v>Thriller</c:v>
                </c:pt>
              </c:strCache>
            </c:strRef>
          </c:cat>
          <c:val>
            <c:numRef>
              <c:f>'pivot 3'!$B$4:$B$13</c:f>
              <c:numCache>
                <c:formatCode>General</c:formatCode>
                <c:ptCount val="9"/>
                <c:pt idx="0">
                  <c:v>12787</c:v>
                </c:pt>
                <c:pt idx="1">
                  <c:v>9234</c:v>
                </c:pt>
                <c:pt idx="2">
                  <c:v>18551</c:v>
                </c:pt>
                <c:pt idx="3">
                  <c:v>14512</c:v>
                </c:pt>
                <c:pt idx="4">
                  <c:v>9549</c:v>
                </c:pt>
                <c:pt idx="5">
                  <c:v>5409</c:v>
                </c:pt>
                <c:pt idx="6">
                  <c:v>15259</c:v>
                </c:pt>
                <c:pt idx="7">
                  <c:v>15486</c:v>
                </c:pt>
                <c:pt idx="8">
                  <c:v>17289</c:v>
                </c:pt>
              </c:numCache>
            </c:numRef>
          </c:val>
          <c:extLst>
            <c:ext xmlns:c16="http://schemas.microsoft.com/office/drawing/2014/chart" uri="{C3380CC4-5D6E-409C-BE32-E72D297353CC}">
              <c16:uniqueId val="{00000000-5E98-4038-AAE0-1582CA86200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[final-p.xlsx]pivot 1!PivotTable2</c:name>
    <c:fmtId val="7"/>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5"/>
          </a:solidFill>
          <a:ln>
            <a:noFill/>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solidFill>
              <a:schemeClr val="accent5"/>
            </a:solidFill>
            <a:ln>
              <a:noFill/>
            </a:ln>
            <a:effectLst/>
          </c:spPr>
          <c:invertIfNegative val="0"/>
          <c:cat>
            <c:strRef>
              <c:f>'pivot 1'!$A$4:$A$7</c:f>
              <c:strCache>
                <c:ptCount val="3"/>
                <c:pt idx="0">
                  <c:v>Documentary</c:v>
                </c:pt>
                <c:pt idx="1">
                  <c:v>Movie</c:v>
                </c:pt>
                <c:pt idx="2">
                  <c:v>Series</c:v>
                </c:pt>
              </c:strCache>
            </c:strRef>
          </c:cat>
          <c:val>
            <c:numRef>
              <c:f>'pivot 1'!$B$4:$B$7</c:f>
              <c:numCache>
                <c:formatCode>General</c:formatCode>
                <c:ptCount val="3"/>
                <c:pt idx="0">
                  <c:v>60</c:v>
                </c:pt>
                <c:pt idx="1">
                  <c:v>93</c:v>
                </c:pt>
                <c:pt idx="2">
                  <c:v>83</c:v>
                </c:pt>
              </c:numCache>
            </c:numRef>
          </c:val>
          <c:extLst>
            <c:ext xmlns:c16="http://schemas.microsoft.com/office/drawing/2014/chart" uri="{C3380CC4-5D6E-409C-BE32-E72D297353CC}">
              <c16:uniqueId val="{00000000-EA42-42D1-BF89-264B06D1C2B0}"/>
            </c:ext>
          </c:extLst>
        </c:ser>
        <c:dLbls>
          <c:showLegendKey val="0"/>
          <c:showVal val="0"/>
          <c:showCatName val="0"/>
          <c:showSerName val="0"/>
          <c:showPercent val="0"/>
          <c:showBubbleSize val="0"/>
        </c:dLbls>
        <c:gapWidth val="267"/>
        <c:overlap val="-43"/>
        <c:axId val="713377791"/>
        <c:axId val="713377311"/>
      </c:barChart>
      <c:catAx>
        <c:axId val="71337779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13377311"/>
        <c:crosses val="autoZero"/>
        <c:auto val="1"/>
        <c:lblAlgn val="ctr"/>
        <c:lblOffset val="100"/>
        <c:noMultiLvlLbl val="0"/>
      </c:catAx>
      <c:valAx>
        <c:axId val="71337731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1337779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[final-p.xlsx]pivot 2!PivotTable1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2'!$B$3</c:f>
              <c:strCache>
                <c:ptCount val="1"/>
                <c:pt idx="0">
                  <c:v>Total</c:v>
                </c:pt>
              </c:strCache>
            </c:strRef>
          </c:tx>
          <c:spPr>
            <a:ln w="28575" cap="rnd">
              <a:solidFill>
                <a:schemeClr val="accent1"/>
              </a:solidFill>
              <a:round/>
            </a:ln>
            <a:effectLst/>
          </c:spPr>
          <c:marker>
            <c:symbol val="none"/>
          </c:marker>
          <c:cat>
            <c:strRef>
              <c:f>'pivot 2'!$A$4:$A$8</c:f>
              <c:strCache>
                <c:ptCount val="4"/>
                <c:pt idx="0">
                  <c:v>Action</c:v>
                </c:pt>
                <c:pt idx="1">
                  <c:v>Fantasy</c:v>
                </c:pt>
                <c:pt idx="2">
                  <c:v>History</c:v>
                </c:pt>
                <c:pt idx="3">
                  <c:v>Nature</c:v>
                </c:pt>
              </c:strCache>
            </c:strRef>
          </c:cat>
          <c:val>
            <c:numRef>
              <c:f>'pivot 2'!$B$4:$B$8</c:f>
              <c:numCache>
                <c:formatCode>General</c:formatCode>
                <c:ptCount val="4"/>
                <c:pt idx="0">
                  <c:v>40151</c:v>
                </c:pt>
                <c:pt idx="1">
                  <c:v>49863</c:v>
                </c:pt>
                <c:pt idx="2">
                  <c:v>21808</c:v>
                </c:pt>
                <c:pt idx="3">
                  <c:v>39276</c:v>
                </c:pt>
              </c:numCache>
            </c:numRef>
          </c:val>
          <c:smooth val="0"/>
          <c:extLst>
            <c:ext xmlns:c16="http://schemas.microsoft.com/office/drawing/2014/chart" uri="{C3380CC4-5D6E-409C-BE32-E72D297353CC}">
              <c16:uniqueId val="{00000000-641D-4481-969B-AF6E8691FE88}"/>
            </c:ext>
          </c:extLst>
        </c:ser>
        <c:dLbls>
          <c:showLegendKey val="0"/>
          <c:showVal val="0"/>
          <c:showCatName val="0"/>
          <c:showSerName val="0"/>
          <c:showPercent val="0"/>
          <c:showBubbleSize val="0"/>
        </c:dLbls>
        <c:smooth val="0"/>
        <c:axId val="713357631"/>
        <c:axId val="713374431"/>
      </c:lineChart>
      <c:catAx>
        <c:axId val="71335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374431"/>
        <c:crosses val="autoZero"/>
        <c:auto val="1"/>
        <c:lblAlgn val="ctr"/>
        <c:lblOffset val="100"/>
        <c:noMultiLvlLbl val="0"/>
      </c:catAx>
      <c:valAx>
        <c:axId val="71337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35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[final-p.xlsx]pivot 3!PivotTable3</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914-414E-939D-307E60ABECEF}"/>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914-414E-939D-307E60ABECEF}"/>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914-414E-939D-307E60ABECEF}"/>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914-414E-939D-307E60ABECEF}"/>
              </c:ext>
            </c:extLst>
          </c:dPt>
          <c:dPt>
            <c:idx val="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914-414E-939D-307E60ABECEF}"/>
              </c:ext>
            </c:extLst>
          </c:dPt>
          <c:dPt>
            <c:idx val="5"/>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914-414E-939D-307E60ABECEF}"/>
              </c:ext>
            </c:extLst>
          </c:dPt>
          <c:dPt>
            <c:idx val="6"/>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914-414E-939D-307E60ABECEF}"/>
              </c:ext>
            </c:extLst>
          </c:dPt>
          <c:dPt>
            <c:idx val="7"/>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1914-414E-939D-307E60ABECEF}"/>
              </c:ext>
            </c:extLst>
          </c:dPt>
          <c:dPt>
            <c:idx val="8"/>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1914-414E-939D-307E60ABECE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3'!$A$4:$A$13</c:f>
              <c:strCache>
                <c:ptCount val="9"/>
                <c:pt idx="0">
                  <c:v>Action</c:v>
                </c:pt>
                <c:pt idx="1">
                  <c:v>Comedy</c:v>
                </c:pt>
                <c:pt idx="2">
                  <c:v>Drama</c:v>
                </c:pt>
                <c:pt idx="3">
                  <c:v>Fantasy</c:v>
                </c:pt>
                <c:pt idx="4">
                  <c:v>History</c:v>
                </c:pt>
                <c:pt idx="5">
                  <c:v>Nature</c:v>
                </c:pt>
                <c:pt idx="6">
                  <c:v>Romance</c:v>
                </c:pt>
                <c:pt idx="7">
                  <c:v>Sci-Fi</c:v>
                </c:pt>
                <c:pt idx="8">
                  <c:v>Thriller</c:v>
                </c:pt>
              </c:strCache>
            </c:strRef>
          </c:cat>
          <c:val>
            <c:numRef>
              <c:f>'pivot 3'!$B$4:$B$13</c:f>
              <c:numCache>
                <c:formatCode>General</c:formatCode>
                <c:ptCount val="9"/>
                <c:pt idx="0">
                  <c:v>12787</c:v>
                </c:pt>
                <c:pt idx="1">
                  <c:v>9234</c:v>
                </c:pt>
                <c:pt idx="2">
                  <c:v>18551</c:v>
                </c:pt>
                <c:pt idx="3">
                  <c:v>14512</c:v>
                </c:pt>
                <c:pt idx="4">
                  <c:v>9549</c:v>
                </c:pt>
                <c:pt idx="5">
                  <c:v>5409</c:v>
                </c:pt>
                <c:pt idx="6">
                  <c:v>15259</c:v>
                </c:pt>
                <c:pt idx="7">
                  <c:v>15486</c:v>
                </c:pt>
                <c:pt idx="8">
                  <c:v>17289</c:v>
                </c:pt>
              </c:numCache>
            </c:numRef>
          </c:val>
          <c:extLst>
            <c:ext xmlns:c16="http://schemas.microsoft.com/office/drawing/2014/chart" uri="{C3380CC4-5D6E-409C-BE32-E72D297353CC}">
              <c16:uniqueId val="{00000012-1914-414E-939D-307E60ABECE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601980</xdr:colOff>
      <xdr:row>1</xdr:row>
      <xdr:rowOff>163830</xdr:rowOff>
    </xdr:from>
    <xdr:to>
      <xdr:col>10</xdr:col>
      <xdr:colOff>297180</xdr:colOff>
      <xdr:row>16</xdr:row>
      <xdr:rowOff>163830</xdr:rowOff>
    </xdr:to>
    <xdr:graphicFrame macro="">
      <xdr:nvGraphicFramePr>
        <xdr:cNvPr id="2" name="Chart 1">
          <a:extLst>
            <a:ext uri="{FF2B5EF4-FFF2-40B4-BE49-F238E27FC236}">
              <a16:creationId xmlns:a16="http://schemas.microsoft.com/office/drawing/2014/main" id="{8172EB4F-7E71-F6C3-9F9B-2F3A6FAF5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15240</xdr:colOff>
      <xdr:row>1</xdr:row>
      <xdr:rowOff>167640</xdr:rowOff>
    </xdr:from>
    <xdr:to>
      <xdr:col>14</xdr:col>
      <xdr:colOff>15240</xdr:colOff>
      <xdr:row>15</xdr:row>
      <xdr:rowOff>74295</xdr:rowOff>
    </xdr:to>
    <mc:AlternateContent xmlns:mc="http://schemas.openxmlformats.org/markup-compatibility/2006" xmlns:a14="http://schemas.microsoft.com/office/drawing/2010/main">
      <mc:Choice Requires="a14">
        <xdr:graphicFrame macro="">
          <xdr:nvGraphicFramePr>
            <xdr:cNvPr id="3" name="Viewer Gender">
              <a:extLst>
                <a:ext uri="{FF2B5EF4-FFF2-40B4-BE49-F238E27FC236}">
                  <a16:creationId xmlns:a16="http://schemas.microsoft.com/office/drawing/2014/main" id="{E4C7A1B8-8362-47F5-BBA2-59C62E9DD62A}"/>
                </a:ext>
              </a:extLst>
            </xdr:cNvPr>
            <xdr:cNvGraphicFramePr/>
          </xdr:nvGraphicFramePr>
          <xdr:xfrm>
            <a:off x="0" y="0"/>
            <a:ext cx="0" cy="0"/>
          </xdr:xfrm>
          <a:graphic>
            <a:graphicData uri="http://schemas.microsoft.com/office/drawing/2010/slicer">
              <sle:slicer xmlns:sle="http://schemas.microsoft.com/office/drawing/2010/slicer" name="Viewer Gender"/>
            </a:graphicData>
          </a:graphic>
        </xdr:graphicFrame>
      </mc:Choice>
      <mc:Fallback xmlns="">
        <xdr:sp macro="" textlink="">
          <xdr:nvSpPr>
            <xdr:cNvPr id="0" name=""/>
            <xdr:cNvSpPr>
              <a:spLocks noTextEdit="1"/>
            </xdr:cNvSpPr>
          </xdr:nvSpPr>
          <xdr:spPr>
            <a:xfrm>
              <a:off x="7627620" y="350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518160</xdr:colOff>
      <xdr:row>17</xdr:row>
      <xdr:rowOff>167640</xdr:rowOff>
    </xdr:from>
    <xdr:to>
      <xdr:col>4</xdr:col>
      <xdr:colOff>510540</xdr:colOff>
      <xdr:row>25</xdr:row>
      <xdr:rowOff>76200</xdr:rowOff>
    </xdr:to>
    <mc:AlternateContent xmlns:mc="http://schemas.openxmlformats.org/markup-compatibility/2006" xmlns:tsle="http://schemas.microsoft.com/office/drawing/2012/timeslicer">
      <mc:Choice Requires="tsle">
        <xdr:graphicFrame macro="">
          <xdr:nvGraphicFramePr>
            <xdr:cNvPr id="4" name="Time of Day">
              <a:extLst>
                <a:ext uri="{FF2B5EF4-FFF2-40B4-BE49-F238E27FC236}">
                  <a16:creationId xmlns:a16="http://schemas.microsoft.com/office/drawing/2014/main" id="{580F2212-5EFA-7E6C-91C5-864DF8609787}"/>
                </a:ext>
              </a:extLst>
            </xdr:cNvPr>
            <xdr:cNvGraphicFramePr/>
          </xdr:nvGraphicFramePr>
          <xdr:xfrm>
            <a:off x="0" y="0"/>
            <a:ext cx="0" cy="0"/>
          </xdr:xfrm>
          <a:graphic>
            <a:graphicData uri="http://schemas.microsoft.com/office/drawing/2012/timeslicer">
              <tsle:timeslicer name="Time of Day"/>
            </a:graphicData>
          </a:graphic>
        </xdr:graphicFrame>
      </mc:Choice>
      <mc:Fallback xmlns="">
        <xdr:sp macro="" textlink="">
          <xdr:nvSpPr>
            <xdr:cNvPr id="0" name=""/>
            <xdr:cNvSpPr>
              <a:spLocks noTextEdit="1"/>
            </xdr:cNvSpPr>
          </xdr:nvSpPr>
          <xdr:spPr>
            <a:xfrm>
              <a:off x="518160" y="32766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579120</xdr:colOff>
      <xdr:row>1</xdr:row>
      <xdr:rowOff>140970</xdr:rowOff>
    </xdr:from>
    <xdr:to>
      <xdr:col>10</xdr:col>
      <xdr:colOff>274320</xdr:colOff>
      <xdr:row>16</xdr:row>
      <xdr:rowOff>140970</xdr:rowOff>
    </xdr:to>
    <xdr:graphicFrame macro="">
      <xdr:nvGraphicFramePr>
        <xdr:cNvPr id="2" name="Chart 1">
          <a:extLst>
            <a:ext uri="{FF2B5EF4-FFF2-40B4-BE49-F238E27FC236}">
              <a16:creationId xmlns:a16="http://schemas.microsoft.com/office/drawing/2014/main" id="{D0BC2E5D-AB06-26CD-E9BA-AC993245C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601980</xdr:colOff>
      <xdr:row>1</xdr:row>
      <xdr:rowOff>160020</xdr:rowOff>
    </xdr:from>
    <xdr:to>
      <xdr:col>13</xdr:col>
      <xdr:colOff>601980</xdr:colOff>
      <xdr:row>15</xdr:row>
      <xdr:rowOff>66675</xdr:rowOff>
    </xdr:to>
    <mc:AlternateContent xmlns:mc="http://schemas.openxmlformats.org/markup-compatibility/2006" xmlns:a14="http://schemas.microsoft.com/office/drawing/2010/main">
      <mc:Choice Requires="a14">
        <xdr:graphicFrame macro="">
          <xdr:nvGraphicFramePr>
            <xdr:cNvPr id="3" name="Duration (mins)">
              <a:extLst>
                <a:ext uri="{FF2B5EF4-FFF2-40B4-BE49-F238E27FC236}">
                  <a16:creationId xmlns:a16="http://schemas.microsoft.com/office/drawing/2014/main" id="{B3C23D9D-01E2-3483-CDD0-71123583C282}"/>
                </a:ext>
              </a:extLst>
            </xdr:cNvPr>
            <xdr:cNvGraphicFramePr/>
          </xdr:nvGraphicFramePr>
          <xdr:xfrm>
            <a:off x="0" y="0"/>
            <a:ext cx="0" cy="0"/>
          </xdr:xfrm>
          <a:graphic>
            <a:graphicData uri="http://schemas.microsoft.com/office/drawing/2010/slicer">
              <sle:slicer xmlns:sle="http://schemas.microsoft.com/office/drawing/2010/slicer" name="Duration (mins)"/>
            </a:graphicData>
          </a:graphic>
        </xdr:graphicFrame>
      </mc:Choice>
      <mc:Fallback xmlns="">
        <xdr:sp macro="" textlink="">
          <xdr:nvSpPr>
            <xdr:cNvPr id="0" name=""/>
            <xdr:cNvSpPr>
              <a:spLocks noTextEdit="1"/>
            </xdr:cNvSpPr>
          </xdr:nvSpPr>
          <xdr:spPr>
            <a:xfrm>
              <a:off x="7490460" y="342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441960</xdr:colOff>
      <xdr:row>17</xdr:row>
      <xdr:rowOff>114300</xdr:rowOff>
    </xdr:from>
    <xdr:to>
      <xdr:col>4</xdr:col>
      <xdr:colOff>548640</xdr:colOff>
      <xdr:row>25</xdr:row>
      <xdr:rowOff>22860</xdr:rowOff>
    </xdr:to>
    <mc:AlternateContent xmlns:mc="http://schemas.openxmlformats.org/markup-compatibility/2006" xmlns:tsle="http://schemas.microsoft.com/office/drawing/2012/timeslicer">
      <mc:Choice Requires="tsle">
        <xdr:graphicFrame macro="">
          <xdr:nvGraphicFramePr>
            <xdr:cNvPr id="4" name="Peak Viewership Time">
              <a:extLst>
                <a:ext uri="{FF2B5EF4-FFF2-40B4-BE49-F238E27FC236}">
                  <a16:creationId xmlns:a16="http://schemas.microsoft.com/office/drawing/2014/main" id="{A74D88E7-481F-4147-BCA8-6AFA13205BEF}"/>
                </a:ext>
              </a:extLst>
            </xdr:cNvPr>
            <xdr:cNvGraphicFramePr/>
          </xdr:nvGraphicFramePr>
          <xdr:xfrm>
            <a:off x="0" y="0"/>
            <a:ext cx="0" cy="0"/>
          </xdr:xfrm>
          <a:graphic>
            <a:graphicData uri="http://schemas.microsoft.com/office/drawing/2012/timeslicer">
              <tsle:timeslicer name="Peak Viewership Time"/>
            </a:graphicData>
          </a:graphic>
        </xdr:graphicFrame>
      </mc:Choice>
      <mc:Fallback xmlns="">
        <xdr:sp macro="" textlink="">
          <xdr:nvSpPr>
            <xdr:cNvPr id="0" name=""/>
            <xdr:cNvSpPr>
              <a:spLocks noTextEdit="1"/>
            </xdr:cNvSpPr>
          </xdr:nvSpPr>
          <xdr:spPr>
            <a:xfrm>
              <a:off x="441960" y="32232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171450</xdr:rowOff>
    </xdr:from>
    <xdr:to>
      <xdr:col>11</xdr:col>
      <xdr:colOff>304800</xdr:colOff>
      <xdr:row>17</xdr:row>
      <xdr:rowOff>171450</xdr:rowOff>
    </xdr:to>
    <xdr:graphicFrame macro="">
      <xdr:nvGraphicFramePr>
        <xdr:cNvPr id="2" name="Chart 1">
          <a:extLst>
            <a:ext uri="{FF2B5EF4-FFF2-40B4-BE49-F238E27FC236}">
              <a16:creationId xmlns:a16="http://schemas.microsoft.com/office/drawing/2014/main" id="{D8B9690C-54A5-6314-9A10-A13F313CF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601980</xdr:colOff>
      <xdr:row>2</xdr:row>
      <xdr:rowOff>175260</xdr:rowOff>
    </xdr:from>
    <xdr:to>
      <xdr:col>14</xdr:col>
      <xdr:colOff>601980</xdr:colOff>
      <xdr:row>16</xdr:row>
      <xdr:rowOff>81915</xdr:rowOff>
    </xdr:to>
    <mc:AlternateContent xmlns:mc="http://schemas.openxmlformats.org/markup-compatibility/2006" xmlns:a14="http://schemas.microsoft.com/office/drawing/2010/main">
      <mc:Choice Requires="a14">
        <xdr:graphicFrame macro="">
          <xdr:nvGraphicFramePr>
            <xdr:cNvPr id="4" name="Day of the Week">
              <a:extLst>
                <a:ext uri="{FF2B5EF4-FFF2-40B4-BE49-F238E27FC236}">
                  <a16:creationId xmlns:a16="http://schemas.microsoft.com/office/drawing/2014/main" id="{28163C9B-BD9F-EC98-B790-7586CFDE71C6}"/>
                </a:ext>
              </a:extLst>
            </xdr:cNvPr>
            <xdr:cNvGraphicFramePr/>
          </xdr:nvGraphicFramePr>
          <xdr:xfrm>
            <a:off x="0" y="0"/>
            <a:ext cx="0" cy="0"/>
          </xdr:xfrm>
          <a:graphic>
            <a:graphicData uri="http://schemas.microsoft.com/office/drawing/2010/slicer">
              <sle:slicer xmlns:sle="http://schemas.microsoft.com/office/drawing/2010/slicer" name="Day of the Week"/>
            </a:graphicData>
          </a:graphic>
        </xdr:graphicFrame>
      </mc:Choice>
      <mc:Fallback xmlns="">
        <xdr:sp macro="" textlink="">
          <xdr:nvSpPr>
            <xdr:cNvPr id="0" name=""/>
            <xdr:cNvSpPr>
              <a:spLocks noTextEdit="1"/>
            </xdr:cNvSpPr>
          </xdr:nvSpPr>
          <xdr:spPr>
            <a:xfrm>
              <a:off x="7741920" y="541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647700</xdr:colOff>
      <xdr:row>18</xdr:row>
      <xdr:rowOff>76200</xdr:rowOff>
    </xdr:from>
    <xdr:to>
      <xdr:col>5</xdr:col>
      <xdr:colOff>502920</xdr:colOff>
      <xdr:row>25</xdr:row>
      <xdr:rowOff>167640</xdr:rowOff>
    </xdr:to>
    <mc:AlternateContent xmlns:mc="http://schemas.openxmlformats.org/markup-compatibility/2006" xmlns:tsle="http://schemas.microsoft.com/office/drawing/2012/timeslicer">
      <mc:Choice Requires="tsle">
        <xdr:graphicFrame macro="">
          <xdr:nvGraphicFramePr>
            <xdr:cNvPr id="5" name="Release Date">
              <a:extLst>
                <a:ext uri="{FF2B5EF4-FFF2-40B4-BE49-F238E27FC236}">
                  <a16:creationId xmlns:a16="http://schemas.microsoft.com/office/drawing/2014/main" id="{47D73836-48F5-A0D8-FAF6-3439363C4DED}"/>
                </a:ext>
              </a:extLst>
            </xdr:cNvPr>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647700" y="33680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45309</xdr:colOff>
      <xdr:row>0</xdr:row>
      <xdr:rowOff>135720</xdr:rowOff>
    </xdr:from>
    <xdr:to>
      <xdr:col>6</xdr:col>
      <xdr:colOff>549191</xdr:colOff>
      <xdr:row>2</xdr:row>
      <xdr:rowOff>89245</xdr:rowOff>
    </xdr:to>
    <xdr:pic>
      <xdr:nvPicPr>
        <xdr:cNvPr id="5" name="Graphic 4" descr="Customer review with solid fill">
          <a:extLst>
            <a:ext uri="{FF2B5EF4-FFF2-40B4-BE49-F238E27FC236}">
              <a16:creationId xmlns:a16="http://schemas.microsoft.com/office/drawing/2014/main" id="{65D33BEF-0CCF-4B02-1CFA-0CFF634B7D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11147" y="135720"/>
          <a:ext cx="503882" cy="324228"/>
        </a:xfrm>
        <a:prstGeom prst="rect">
          <a:avLst/>
        </a:prstGeom>
      </xdr:spPr>
    </xdr:pic>
    <xdr:clientData/>
  </xdr:twoCellAnchor>
  <xdr:twoCellAnchor>
    <xdr:from>
      <xdr:col>1</xdr:col>
      <xdr:colOff>109838</xdr:colOff>
      <xdr:row>3</xdr:row>
      <xdr:rowOff>164758</xdr:rowOff>
    </xdr:from>
    <xdr:to>
      <xdr:col>3</xdr:col>
      <xdr:colOff>446217</xdr:colOff>
      <xdr:row>6</xdr:row>
      <xdr:rowOff>171623</xdr:rowOff>
    </xdr:to>
    <xdr:sp macro="" textlink="">
      <xdr:nvSpPr>
        <xdr:cNvPr id="9" name="Rectangle 8">
          <a:extLst>
            <a:ext uri="{FF2B5EF4-FFF2-40B4-BE49-F238E27FC236}">
              <a16:creationId xmlns:a16="http://schemas.microsoft.com/office/drawing/2014/main" id="{5B901563-B0C8-788D-AC75-F57D5FD50D08}"/>
            </a:ext>
          </a:extLst>
        </xdr:cNvPr>
        <xdr:cNvSpPr/>
      </xdr:nvSpPr>
      <xdr:spPr>
        <a:xfrm>
          <a:off x="720811" y="720812"/>
          <a:ext cx="1558325" cy="562919"/>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200" b="1" i="0" u="sng"/>
            <a:t>TOTAL</a:t>
          </a:r>
          <a:r>
            <a:rPr lang="en-IN" sz="1200" b="1" i="0" u="sng" baseline="0"/>
            <a:t> VIEWERSHIP</a:t>
          </a:r>
        </a:p>
        <a:p>
          <a:pPr algn="ctr"/>
          <a:r>
            <a:rPr lang="en-IN" sz="1200" b="1" i="0" u="none" baseline="0"/>
            <a:t>26202699</a:t>
          </a:r>
        </a:p>
      </xdr:txBody>
    </xdr:sp>
    <xdr:clientData/>
  </xdr:twoCellAnchor>
  <xdr:twoCellAnchor>
    <xdr:from>
      <xdr:col>5</xdr:col>
      <xdr:colOff>447589</xdr:colOff>
      <xdr:row>3</xdr:row>
      <xdr:rowOff>159266</xdr:rowOff>
    </xdr:from>
    <xdr:to>
      <xdr:col>8</xdr:col>
      <xdr:colOff>172995</xdr:colOff>
      <xdr:row>6</xdr:row>
      <xdr:rowOff>166131</xdr:rowOff>
    </xdr:to>
    <xdr:sp macro="" textlink="">
      <xdr:nvSpPr>
        <xdr:cNvPr id="10" name="Rectangle 9">
          <a:extLst>
            <a:ext uri="{FF2B5EF4-FFF2-40B4-BE49-F238E27FC236}">
              <a16:creationId xmlns:a16="http://schemas.microsoft.com/office/drawing/2014/main" id="{5D8AEEB5-C767-4161-8647-16F500BBB246}"/>
            </a:ext>
          </a:extLst>
        </xdr:cNvPr>
        <xdr:cNvSpPr/>
      </xdr:nvSpPr>
      <xdr:spPr>
        <a:xfrm>
          <a:off x="3502454" y="715320"/>
          <a:ext cx="1558325" cy="562919"/>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200" b="1" u="sng"/>
            <a:t>AVERAGE TIME</a:t>
          </a:r>
        </a:p>
        <a:p>
          <a:pPr algn="ctr"/>
          <a:r>
            <a:rPr lang="en-IN" sz="1200" b="1" u="none"/>
            <a:t>64.61264822</a:t>
          </a:r>
        </a:p>
      </xdr:txBody>
    </xdr:sp>
    <xdr:clientData/>
  </xdr:twoCellAnchor>
  <xdr:twoCellAnchor>
    <xdr:from>
      <xdr:col>10</xdr:col>
      <xdr:colOff>450334</xdr:colOff>
      <xdr:row>3</xdr:row>
      <xdr:rowOff>148282</xdr:rowOff>
    </xdr:from>
    <xdr:to>
      <xdr:col>13</xdr:col>
      <xdr:colOff>175740</xdr:colOff>
      <xdr:row>6</xdr:row>
      <xdr:rowOff>155147</xdr:rowOff>
    </xdr:to>
    <xdr:sp macro="" textlink="">
      <xdr:nvSpPr>
        <xdr:cNvPr id="12" name="Rectangle 11">
          <a:extLst>
            <a:ext uri="{FF2B5EF4-FFF2-40B4-BE49-F238E27FC236}">
              <a16:creationId xmlns:a16="http://schemas.microsoft.com/office/drawing/2014/main" id="{FE038533-AC52-4896-9177-CD32AB4D4970}"/>
            </a:ext>
          </a:extLst>
        </xdr:cNvPr>
        <xdr:cNvSpPr/>
      </xdr:nvSpPr>
      <xdr:spPr>
        <a:xfrm>
          <a:off x="6560064" y="704336"/>
          <a:ext cx="1558325" cy="562919"/>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200" b="1" u="sng"/>
            <a:t>AVERAGE RATING</a:t>
          </a:r>
        </a:p>
        <a:p>
          <a:pPr algn="ctr"/>
          <a:r>
            <a:rPr lang="en-IN" sz="1200" b="1" u="none"/>
            <a:t>2.774901186</a:t>
          </a:r>
        </a:p>
      </xdr:txBody>
    </xdr:sp>
    <xdr:clientData/>
  </xdr:twoCellAnchor>
  <xdr:twoCellAnchor>
    <xdr:from>
      <xdr:col>16</xdr:col>
      <xdr:colOff>53546</xdr:colOff>
      <xdr:row>3</xdr:row>
      <xdr:rowOff>149655</xdr:rowOff>
    </xdr:from>
    <xdr:to>
      <xdr:col>18</xdr:col>
      <xdr:colOff>389925</xdr:colOff>
      <xdr:row>6</xdr:row>
      <xdr:rowOff>156520</xdr:rowOff>
    </xdr:to>
    <xdr:sp macro="" textlink="">
      <xdr:nvSpPr>
        <xdr:cNvPr id="13" name="Rectangle 12">
          <a:extLst>
            <a:ext uri="{FF2B5EF4-FFF2-40B4-BE49-F238E27FC236}">
              <a16:creationId xmlns:a16="http://schemas.microsoft.com/office/drawing/2014/main" id="{FD6C2E0B-C0AE-42D2-BBB9-EE3A64F2CE2C}"/>
            </a:ext>
          </a:extLst>
        </xdr:cNvPr>
        <xdr:cNvSpPr/>
      </xdr:nvSpPr>
      <xdr:spPr>
        <a:xfrm>
          <a:off x="9829114" y="705709"/>
          <a:ext cx="1558325" cy="562919"/>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200" b="1" u="sng"/>
            <a:t>CONTENT COUNT</a:t>
          </a:r>
        </a:p>
        <a:p>
          <a:pPr algn="ctr"/>
          <a:r>
            <a:rPr lang="en-IN" sz="1200" b="1" u="none"/>
            <a:t>506</a:t>
          </a:r>
        </a:p>
      </xdr:txBody>
    </xdr:sp>
    <xdr:clientData/>
  </xdr:twoCellAnchor>
  <xdr:twoCellAnchor>
    <xdr:from>
      <xdr:col>0</xdr:col>
      <xdr:colOff>597243</xdr:colOff>
      <xdr:row>13</xdr:row>
      <xdr:rowOff>48054</xdr:rowOff>
    </xdr:from>
    <xdr:to>
      <xdr:col>8</xdr:col>
      <xdr:colOff>281459</xdr:colOff>
      <xdr:row>28</xdr:row>
      <xdr:rowOff>10984</xdr:rowOff>
    </xdr:to>
    <xdr:graphicFrame macro="">
      <xdr:nvGraphicFramePr>
        <xdr:cNvPr id="14" name="Chart 13">
          <a:extLst>
            <a:ext uri="{FF2B5EF4-FFF2-40B4-BE49-F238E27FC236}">
              <a16:creationId xmlns:a16="http://schemas.microsoft.com/office/drawing/2014/main" id="{CB2B7372-BBC5-4080-BD2F-F32EEABDD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96108</xdr:colOff>
      <xdr:row>8</xdr:row>
      <xdr:rowOff>130432</xdr:rowOff>
    </xdr:from>
    <xdr:to>
      <xdr:col>12</xdr:col>
      <xdr:colOff>466811</xdr:colOff>
      <xdr:row>11</xdr:row>
      <xdr:rowOff>41189</xdr:rowOff>
    </xdr:to>
    <xdr:sp macro="" textlink="">
      <xdr:nvSpPr>
        <xdr:cNvPr id="15" name="Rectangle 14">
          <a:extLst>
            <a:ext uri="{FF2B5EF4-FFF2-40B4-BE49-F238E27FC236}">
              <a16:creationId xmlns:a16="http://schemas.microsoft.com/office/drawing/2014/main" id="{667D1FBE-56D7-F192-FBDC-53957D0F184D}"/>
            </a:ext>
          </a:extLst>
        </xdr:cNvPr>
        <xdr:cNvSpPr/>
      </xdr:nvSpPr>
      <xdr:spPr>
        <a:xfrm>
          <a:off x="4372919" y="1613243"/>
          <a:ext cx="3425568" cy="46681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400" b="1" u="sng"/>
            <a:t>1-CONTENT TYPE VS VIEWERS_AGE</a:t>
          </a:r>
        </a:p>
      </xdr:txBody>
    </xdr:sp>
    <xdr:clientData/>
  </xdr:twoCellAnchor>
  <xdr:twoCellAnchor editAs="oneCell">
    <xdr:from>
      <xdr:col>9</xdr:col>
      <xdr:colOff>432487</xdr:colOff>
      <xdr:row>13</xdr:row>
      <xdr:rowOff>54918</xdr:rowOff>
    </xdr:from>
    <xdr:to>
      <xdr:col>12</xdr:col>
      <xdr:colOff>428368</xdr:colOff>
      <xdr:row>22</xdr:row>
      <xdr:rowOff>41189</xdr:rowOff>
    </xdr:to>
    <mc:AlternateContent xmlns:mc="http://schemas.openxmlformats.org/markup-compatibility/2006" xmlns:a14="http://schemas.microsoft.com/office/drawing/2010/main">
      <mc:Choice Requires="a14">
        <xdr:graphicFrame macro="">
          <xdr:nvGraphicFramePr>
            <xdr:cNvPr id="16" name="Viewer Gender 1">
              <a:extLst>
                <a:ext uri="{FF2B5EF4-FFF2-40B4-BE49-F238E27FC236}">
                  <a16:creationId xmlns:a16="http://schemas.microsoft.com/office/drawing/2014/main" id="{449DAF80-96AB-4E5D-81AA-21F0991D0CC0}"/>
                </a:ext>
              </a:extLst>
            </xdr:cNvPr>
            <xdr:cNvGraphicFramePr/>
          </xdr:nvGraphicFramePr>
          <xdr:xfrm>
            <a:off x="0" y="0"/>
            <a:ext cx="0" cy="0"/>
          </xdr:xfrm>
          <a:graphic>
            <a:graphicData uri="http://schemas.microsoft.com/office/drawing/2010/slicer">
              <sle:slicer xmlns:sle="http://schemas.microsoft.com/office/drawing/2010/slicer" name="Viewer Gender 1"/>
            </a:graphicData>
          </a:graphic>
        </xdr:graphicFrame>
      </mc:Choice>
      <mc:Fallback xmlns="">
        <xdr:sp macro="" textlink="">
          <xdr:nvSpPr>
            <xdr:cNvPr id="0" name=""/>
            <xdr:cNvSpPr>
              <a:spLocks noTextEdit="1"/>
            </xdr:cNvSpPr>
          </xdr:nvSpPr>
          <xdr:spPr>
            <a:xfrm>
              <a:off x="5931244" y="2464486"/>
              <a:ext cx="1828800" cy="1654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356973</xdr:colOff>
      <xdr:row>14</xdr:row>
      <xdr:rowOff>109838</xdr:rowOff>
    </xdr:from>
    <xdr:to>
      <xdr:col>19</xdr:col>
      <xdr:colOff>28696</xdr:colOff>
      <xdr:row>21</xdr:row>
      <xdr:rowOff>183979</xdr:rowOff>
    </xdr:to>
    <mc:AlternateContent xmlns:mc="http://schemas.openxmlformats.org/markup-compatibility/2006" xmlns:tsle="http://schemas.microsoft.com/office/drawing/2012/timeslicer">
      <mc:Choice Requires="tsle">
        <xdr:graphicFrame macro="">
          <xdr:nvGraphicFramePr>
            <xdr:cNvPr id="17" name="Time of Day 1">
              <a:extLst>
                <a:ext uri="{FF2B5EF4-FFF2-40B4-BE49-F238E27FC236}">
                  <a16:creationId xmlns:a16="http://schemas.microsoft.com/office/drawing/2014/main" id="{853BD4E4-F5CE-4474-9EF0-379E6E4074D9}"/>
                </a:ext>
              </a:extLst>
            </xdr:cNvPr>
            <xdr:cNvGraphicFramePr/>
          </xdr:nvGraphicFramePr>
          <xdr:xfrm>
            <a:off x="0" y="0"/>
            <a:ext cx="0" cy="0"/>
          </xdr:xfrm>
          <a:graphic>
            <a:graphicData uri="http://schemas.microsoft.com/office/drawing/2012/timeslicer">
              <tsle:timeslicer name="Time of Day 1"/>
            </a:graphicData>
          </a:graphic>
        </xdr:graphicFrame>
      </mc:Choice>
      <mc:Fallback xmlns="">
        <xdr:sp macro="" textlink="">
          <xdr:nvSpPr>
            <xdr:cNvPr id="0" name=""/>
            <xdr:cNvSpPr>
              <a:spLocks noTextEdit="1"/>
            </xdr:cNvSpPr>
          </xdr:nvSpPr>
          <xdr:spPr>
            <a:xfrm>
              <a:off x="8299622" y="2704757"/>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267729</xdr:colOff>
      <xdr:row>30</xdr:row>
      <xdr:rowOff>96109</xdr:rowOff>
    </xdr:from>
    <xdr:to>
      <xdr:col>13</xdr:col>
      <xdr:colOff>27459</xdr:colOff>
      <xdr:row>33</xdr:row>
      <xdr:rowOff>6866</xdr:rowOff>
    </xdr:to>
    <xdr:sp macro="" textlink="">
      <xdr:nvSpPr>
        <xdr:cNvPr id="18" name="Rectangle 17">
          <a:extLst>
            <a:ext uri="{FF2B5EF4-FFF2-40B4-BE49-F238E27FC236}">
              <a16:creationId xmlns:a16="http://schemas.microsoft.com/office/drawing/2014/main" id="{AA989A11-0E65-4096-BB6B-7CA7E64D7EA0}"/>
            </a:ext>
          </a:extLst>
        </xdr:cNvPr>
        <xdr:cNvSpPr/>
      </xdr:nvSpPr>
      <xdr:spPr>
        <a:xfrm>
          <a:off x="4544540" y="5656650"/>
          <a:ext cx="3425568" cy="46681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400" b="1" u="sng"/>
            <a:t>2-GENRE</a:t>
          </a:r>
          <a:r>
            <a:rPr lang="en-IN" sz="1400" b="1" u="sng" baseline="0"/>
            <a:t> VS VIEWERSHIP</a:t>
          </a:r>
          <a:endParaRPr lang="en-IN" sz="1400" b="1" u="sng"/>
        </a:p>
      </xdr:txBody>
    </xdr:sp>
    <xdr:clientData/>
  </xdr:twoCellAnchor>
  <xdr:twoCellAnchor>
    <xdr:from>
      <xdr:col>1</xdr:col>
      <xdr:colOff>34325</xdr:colOff>
      <xdr:row>34</xdr:row>
      <xdr:rowOff>27459</xdr:rowOff>
    </xdr:from>
    <xdr:to>
      <xdr:col>8</xdr:col>
      <xdr:colOff>329514</xdr:colOff>
      <xdr:row>48</xdr:row>
      <xdr:rowOff>175740</xdr:rowOff>
    </xdr:to>
    <xdr:graphicFrame macro="">
      <xdr:nvGraphicFramePr>
        <xdr:cNvPr id="19" name="Chart 18">
          <a:extLst>
            <a:ext uri="{FF2B5EF4-FFF2-40B4-BE49-F238E27FC236}">
              <a16:creationId xmlns:a16="http://schemas.microsoft.com/office/drawing/2014/main" id="{0F5F435C-1DFA-4BAB-99EE-0CBB1858E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350108</xdr:colOff>
      <xdr:row>34</xdr:row>
      <xdr:rowOff>61783</xdr:rowOff>
    </xdr:from>
    <xdr:to>
      <xdr:col>12</xdr:col>
      <xdr:colOff>345989</xdr:colOff>
      <xdr:row>47</xdr:row>
      <xdr:rowOff>119190</xdr:rowOff>
    </xdr:to>
    <mc:AlternateContent xmlns:mc="http://schemas.openxmlformats.org/markup-compatibility/2006" xmlns:a14="http://schemas.microsoft.com/office/drawing/2010/main">
      <mc:Choice Requires="a14">
        <xdr:graphicFrame macro="">
          <xdr:nvGraphicFramePr>
            <xdr:cNvPr id="20" name="Duration (mins) 1">
              <a:extLst>
                <a:ext uri="{FF2B5EF4-FFF2-40B4-BE49-F238E27FC236}">
                  <a16:creationId xmlns:a16="http://schemas.microsoft.com/office/drawing/2014/main" id="{2B85BF9F-2A46-4817-A7EB-C65BB9115B0F}"/>
                </a:ext>
              </a:extLst>
            </xdr:cNvPr>
            <xdr:cNvGraphicFramePr/>
          </xdr:nvGraphicFramePr>
          <xdr:xfrm>
            <a:off x="0" y="0"/>
            <a:ext cx="0" cy="0"/>
          </xdr:xfrm>
          <a:graphic>
            <a:graphicData uri="http://schemas.microsoft.com/office/drawing/2010/slicer">
              <sle:slicer xmlns:sle="http://schemas.microsoft.com/office/drawing/2010/slicer" name="Duration (mins) 1"/>
            </a:graphicData>
          </a:graphic>
        </xdr:graphicFrame>
      </mc:Choice>
      <mc:Fallback xmlns="">
        <xdr:sp macro="" textlink="">
          <xdr:nvSpPr>
            <xdr:cNvPr id="0" name=""/>
            <xdr:cNvSpPr>
              <a:spLocks noTextEdit="1"/>
            </xdr:cNvSpPr>
          </xdr:nvSpPr>
          <xdr:spPr>
            <a:xfrm>
              <a:off x="5848865" y="636372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350108</xdr:colOff>
      <xdr:row>36</xdr:row>
      <xdr:rowOff>144162</xdr:rowOff>
    </xdr:from>
    <xdr:to>
      <xdr:col>19</xdr:col>
      <xdr:colOff>21831</xdr:colOff>
      <xdr:row>44</xdr:row>
      <xdr:rowOff>32952</xdr:rowOff>
    </xdr:to>
    <mc:AlternateContent xmlns:mc="http://schemas.openxmlformats.org/markup-compatibility/2006" xmlns:tsle="http://schemas.microsoft.com/office/drawing/2012/timeslicer">
      <mc:Choice Requires="tsle">
        <xdr:graphicFrame macro="">
          <xdr:nvGraphicFramePr>
            <xdr:cNvPr id="21" name="Peak Viewership Time 1">
              <a:extLst>
                <a:ext uri="{FF2B5EF4-FFF2-40B4-BE49-F238E27FC236}">
                  <a16:creationId xmlns:a16="http://schemas.microsoft.com/office/drawing/2014/main" id="{5E74549B-D1EE-4F58-8B6A-20C46886EFC7}"/>
                </a:ext>
              </a:extLst>
            </xdr:cNvPr>
            <xdr:cNvGraphicFramePr/>
          </xdr:nvGraphicFramePr>
          <xdr:xfrm>
            <a:off x="0" y="0"/>
            <a:ext cx="0" cy="0"/>
          </xdr:xfrm>
          <a:graphic>
            <a:graphicData uri="http://schemas.microsoft.com/office/drawing/2012/timeslicer">
              <tsle:timeslicer name="Peak Viewership Time 1"/>
            </a:graphicData>
          </a:graphic>
        </xdr:graphicFrame>
      </mc:Choice>
      <mc:Fallback xmlns="">
        <xdr:sp macro="" textlink="">
          <xdr:nvSpPr>
            <xdr:cNvPr id="0" name=""/>
            <xdr:cNvSpPr>
              <a:spLocks noTextEdit="1"/>
            </xdr:cNvSpPr>
          </xdr:nvSpPr>
          <xdr:spPr>
            <a:xfrm>
              <a:off x="8292757" y="6816811"/>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425622</xdr:colOff>
      <xdr:row>51</xdr:row>
      <xdr:rowOff>151028</xdr:rowOff>
    </xdr:from>
    <xdr:to>
      <xdr:col>13</xdr:col>
      <xdr:colOff>185352</xdr:colOff>
      <xdr:row>54</xdr:row>
      <xdr:rowOff>61785</xdr:rowOff>
    </xdr:to>
    <xdr:sp macro="" textlink="">
      <xdr:nvSpPr>
        <xdr:cNvPr id="22" name="Rectangle 21">
          <a:extLst>
            <a:ext uri="{FF2B5EF4-FFF2-40B4-BE49-F238E27FC236}">
              <a16:creationId xmlns:a16="http://schemas.microsoft.com/office/drawing/2014/main" id="{358A3BF9-73F7-41A2-A4FC-5D382DAE0B67}"/>
            </a:ext>
          </a:extLst>
        </xdr:cNvPr>
        <xdr:cNvSpPr/>
      </xdr:nvSpPr>
      <xdr:spPr>
        <a:xfrm>
          <a:off x="4702433" y="9603947"/>
          <a:ext cx="3425568" cy="46681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400" b="1" u="sng"/>
            <a:t>3-GENRE</a:t>
          </a:r>
          <a:r>
            <a:rPr lang="en-IN" sz="1400" b="1" u="sng" baseline="0"/>
            <a:t> VS LIKES</a:t>
          </a:r>
          <a:endParaRPr lang="en-IN" sz="1400" b="1" u="sng"/>
        </a:p>
      </xdr:txBody>
    </xdr:sp>
    <xdr:clientData/>
  </xdr:twoCellAnchor>
  <xdr:twoCellAnchor>
    <xdr:from>
      <xdr:col>1</xdr:col>
      <xdr:colOff>116703</xdr:colOff>
      <xdr:row>55</xdr:row>
      <xdr:rowOff>116702</xdr:rowOff>
    </xdr:from>
    <xdr:to>
      <xdr:col>8</xdr:col>
      <xdr:colOff>411892</xdr:colOff>
      <xdr:row>70</xdr:row>
      <xdr:rowOff>79631</xdr:rowOff>
    </xdr:to>
    <xdr:graphicFrame macro="">
      <xdr:nvGraphicFramePr>
        <xdr:cNvPr id="23" name="Chart 22">
          <a:extLst>
            <a:ext uri="{FF2B5EF4-FFF2-40B4-BE49-F238E27FC236}">
              <a16:creationId xmlns:a16="http://schemas.microsoft.com/office/drawing/2014/main" id="{6F407982-A135-45A9-9583-30EF2CE94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411892</xdr:colOff>
      <xdr:row>56</xdr:row>
      <xdr:rowOff>48054</xdr:rowOff>
    </xdr:from>
    <xdr:to>
      <xdr:col>12</xdr:col>
      <xdr:colOff>407773</xdr:colOff>
      <xdr:row>69</xdr:row>
      <xdr:rowOff>105462</xdr:rowOff>
    </xdr:to>
    <mc:AlternateContent xmlns:mc="http://schemas.openxmlformats.org/markup-compatibility/2006" xmlns:a14="http://schemas.microsoft.com/office/drawing/2010/main">
      <mc:Choice Requires="a14">
        <xdr:graphicFrame macro="">
          <xdr:nvGraphicFramePr>
            <xdr:cNvPr id="24" name="Day of the Week 1">
              <a:extLst>
                <a:ext uri="{FF2B5EF4-FFF2-40B4-BE49-F238E27FC236}">
                  <a16:creationId xmlns:a16="http://schemas.microsoft.com/office/drawing/2014/main" id="{7E11FC2E-7ED8-4A07-9303-44EA6112A5C4}"/>
                </a:ext>
              </a:extLst>
            </xdr:cNvPr>
            <xdr:cNvGraphicFramePr/>
          </xdr:nvGraphicFramePr>
          <xdr:xfrm>
            <a:off x="0" y="0"/>
            <a:ext cx="0" cy="0"/>
          </xdr:xfrm>
          <a:graphic>
            <a:graphicData uri="http://schemas.microsoft.com/office/drawing/2010/slicer">
              <sle:slicer xmlns:sle="http://schemas.microsoft.com/office/drawing/2010/slicer" name="Day of the Week 1"/>
            </a:graphicData>
          </a:graphic>
        </xdr:graphicFrame>
      </mc:Choice>
      <mc:Fallback xmlns="">
        <xdr:sp macro="" textlink="">
          <xdr:nvSpPr>
            <xdr:cNvPr id="0" name=""/>
            <xdr:cNvSpPr>
              <a:spLocks noTextEdit="1"/>
            </xdr:cNvSpPr>
          </xdr:nvSpPr>
          <xdr:spPr>
            <a:xfrm>
              <a:off x="5910649" y="1042773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315784</xdr:colOff>
      <xdr:row>58</xdr:row>
      <xdr:rowOff>102973</xdr:rowOff>
    </xdr:from>
    <xdr:to>
      <xdr:col>18</xdr:col>
      <xdr:colOff>598479</xdr:colOff>
      <xdr:row>65</xdr:row>
      <xdr:rowOff>177113</xdr:rowOff>
    </xdr:to>
    <mc:AlternateContent xmlns:mc="http://schemas.openxmlformats.org/markup-compatibility/2006" xmlns:tsle="http://schemas.microsoft.com/office/drawing/2012/timeslicer">
      <mc:Choice Requires="tsle">
        <xdr:graphicFrame macro="">
          <xdr:nvGraphicFramePr>
            <xdr:cNvPr id="25" name="Release Date 1">
              <a:extLst>
                <a:ext uri="{FF2B5EF4-FFF2-40B4-BE49-F238E27FC236}">
                  <a16:creationId xmlns:a16="http://schemas.microsoft.com/office/drawing/2014/main" id="{B5E19327-D211-4193-B2EB-ADC334F3ACF0}"/>
                </a:ext>
              </a:extLst>
            </xdr:cNvPr>
            <xdr:cNvGraphicFramePr/>
          </xdr:nvGraphicFramePr>
          <xdr:xfrm>
            <a:off x="0" y="0"/>
            <a:ext cx="0" cy="0"/>
          </xdr:xfrm>
          <a:graphic>
            <a:graphicData uri="http://schemas.microsoft.com/office/drawing/2012/timeslicer">
              <tsle:timeslicer name="Release Date 1"/>
            </a:graphicData>
          </a:graphic>
        </xdr:graphicFrame>
      </mc:Choice>
      <mc:Fallback xmlns="">
        <xdr:sp macro="" textlink="">
          <xdr:nvSpPr>
            <xdr:cNvPr id="0" name=""/>
            <xdr:cNvSpPr>
              <a:spLocks noTextEdit="1"/>
            </xdr:cNvSpPr>
          </xdr:nvSpPr>
          <xdr:spPr>
            <a:xfrm>
              <a:off x="8258433" y="10853351"/>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549188</xdr:colOff>
      <xdr:row>72</xdr:row>
      <xdr:rowOff>144163</xdr:rowOff>
    </xdr:from>
    <xdr:to>
      <xdr:col>12</xdr:col>
      <xdr:colOff>391296</xdr:colOff>
      <xdr:row>75</xdr:row>
      <xdr:rowOff>96109</xdr:rowOff>
    </xdr:to>
    <xdr:sp macro="" textlink="">
      <xdr:nvSpPr>
        <xdr:cNvPr id="26" name="Rectangle 25">
          <a:extLst>
            <a:ext uri="{FF2B5EF4-FFF2-40B4-BE49-F238E27FC236}">
              <a16:creationId xmlns:a16="http://schemas.microsoft.com/office/drawing/2014/main" id="{83D4AD61-485D-B6F0-36FA-423C8B5A5C26}"/>
            </a:ext>
          </a:extLst>
        </xdr:cNvPr>
        <xdr:cNvSpPr/>
      </xdr:nvSpPr>
      <xdr:spPr>
        <a:xfrm>
          <a:off x="4825999" y="13489460"/>
          <a:ext cx="2896973" cy="5080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2000" b="1"/>
            <a:t>KEY INSIGHTS</a:t>
          </a:r>
        </a:p>
      </xdr:txBody>
    </xdr:sp>
    <xdr:clientData/>
  </xdr:twoCellAnchor>
  <xdr:twoCellAnchor>
    <xdr:from>
      <xdr:col>2</xdr:col>
      <xdr:colOff>20595</xdr:colOff>
      <xdr:row>78</xdr:row>
      <xdr:rowOff>0</xdr:rowOff>
    </xdr:from>
    <xdr:to>
      <xdr:col>5</xdr:col>
      <xdr:colOff>576649</xdr:colOff>
      <xdr:row>86</xdr:row>
      <xdr:rowOff>157892</xdr:rowOff>
    </xdr:to>
    <xdr:sp macro="" textlink="">
      <xdr:nvSpPr>
        <xdr:cNvPr id="27" name="Rectangle 26">
          <a:extLst>
            <a:ext uri="{FF2B5EF4-FFF2-40B4-BE49-F238E27FC236}">
              <a16:creationId xmlns:a16="http://schemas.microsoft.com/office/drawing/2014/main" id="{389D4040-A665-093B-3DD6-60281E2AAD1E}"/>
            </a:ext>
          </a:extLst>
        </xdr:cNvPr>
        <xdr:cNvSpPr/>
      </xdr:nvSpPr>
      <xdr:spPr>
        <a:xfrm>
          <a:off x="1242541" y="14457405"/>
          <a:ext cx="2388973" cy="164070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2000" b="1" u="sng"/>
            <a:t>*KPI NAMES</a:t>
          </a:r>
        </a:p>
        <a:p>
          <a:pPr algn="l"/>
          <a:endParaRPr lang="en-IN" sz="2000" b="1" u="sng"/>
        </a:p>
        <a:p>
          <a:pPr algn="l"/>
          <a:r>
            <a:rPr lang="en-IN" sz="1200" b="1" u="none"/>
            <a:t>~TOTAL</a:t>
          </a:r>
          <a:r>
            <a:rPr lang="en-IN" sz="1200" b="1" u="none" baseline="0"/>
            <a:t> VIEWERSHIP</a:t>
          </a:r>
        </a:p>
        <a:p>
          <a:pPr algn="l"/>
          <a:r>
            <a:rPr lang="en-IN" sz="1200" b="1" u="none" baseline="0"/>
            <a:t>~AVERAGE TIME</a:t>
          </a:r>
        </a:p>
        <a:p>
          <a:pPr algn="l"/>
          <a:r>
            <a:rPr lang="en-IN" sz="1200" b="1" u="none" baseline="0"/>
            <a:t>~AVERAGE RATING</a:t>
          </a:r>
        </a:p>
        <a:p>
          <a:pPr algn="l"/>
          <a:r>
            <a:rPr lang="en-IN" sz="1200" b="1" u="none" baseline="0"/>
            <a:t>~CONTENT COUNT</a:t>
          </a:r>
          <a:endParaRPr lang="en-IN" sz="1200" b="1" u="none"/>
        </a:p>
      </xdr:txBody>
    </xdr:sp>
    <xdr:clientData/>
  </xdr:twoCellAnchor>
  <xdr:twoCellAnchor>
    <xdr:from>
      <xdr:col>6</xdr:col>
      <xdr:colOff>418757</xdr:colOff>
      <xdr:row>77</xdr:row>
      <xdr:rowOff>178487</xdr:rowOff>
    </xdr:from>
    <xdr:to>
      <xdr:col>10</xdr:col>
      <xdr:colOff>363838</xdr:colOff>
      <xdr:row>90</xdr:row>
      <xdr:rowOff>0</xdr:rowOff>
    </xdr:to>
    <xdr:sp macro="" textlink="">
      <xdr:nvSpPr>
        <xdr:cNvPr id="28" name="Rectangle 27">
          <a:extLst>
            <a:ext uri="{FF2B5EF4-FFF2-40B4-BE49-F238E27FC236}">
              <a16:creationId xmlns:a16="http://schemas.microsoft.com/office/drawing/2014/main" id="{588A3333-E4A6-45D2-915F-550208D739B0}"/>
            </a:ext>
          </a:extLst>
        </xdr:cNvPr>
        <xdr:cNvSpPr/>
      </xdr:nvSpPr>
      <xdr:spPr>
        <a:xfrm>
          <a:off x="4084595" y="14450541"/>
          <a:ext cx="2388973" cy="223108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2000" b="1" u="sng"/>
            <a:t>*CHART</a:t>
          </a:r>
          <a:r>
            <a:rPr lang="en-IN" sz="2000" b="1" u="sng" baseline="0"/>
            <a:t> TITLES</a:t>
          </a:r>
          <a:endParaRPr lang="en-IN" sz="2000" b="1" u="sng"/>
        </a:p>
        <a:p>
          <a:pPr algn="l"/>
          <a:endParaRPr lang="en-IN" sz="2000" b="1" u="sng"/>
        </a:p>
        <a:p>
          <a:pPr algn="l"/>
          <a:r>
            <a:rPr lang="en-IN" sz="1200" b="1" u="none"/>
            <a:t>~BAR</a:t>
          </a:r>
          <a:r>
            <a:rPr lang="en-IN" sz="1200" b="1" u="none" baseline="0"/>
            <a:t> Chart</a:t>
          </a:r>
        </a:p>
        <a:p>
          <a:pPr algn="l"/>
          <a:r>
            <a:rPr lang="en-IN" sz="1200" b="1" u="none" baseline="0"/>
            <a:t>-viewer age performance</a:t>
          </a:r>
        </a:p>
        <a:p>
          <a:pPr algn="l"/>
          <a:endParaRPr lang="en-IN" sz="1200" b="1" u="none" baseline="0"/>
        </a:p>
        <a:p>
          <a:pPr algn="l"/>
          <a:r>
            <a:rPr lang="en-IN" sz="1200" b="1" u="none" baseline="0"/>
            <a:t>~pie chart</a:t>
          </a:r>
        </a:p>
        <a:p>
          <a:pPr algn="l"/>
          <a:r>
            <a:rPr lang="en-IN" sz="1200" b="1" u="none" baseline="0"/>
            <a:t>-likes performance</a:t>
          </a:r>
        </a:p>
        <a:p>
          <a:pPr algn="l"/>
          <a:endParaRPr lang="en-IN" sz="1200" b="1" u="none" baseline="0"/>
        </a:p>
        <a:p>
          <a:pPr algn="l"/>
          <a:r>
            <a:rPr lang="en-IN" sz="1200" b="1" u="none" baseline="0"/>
            <a:t>~line chart</a:t>
          </a:r>
        </a:p>
        <a:p>
          <a:pPr algn="l"/>
          <a:r>
            <a:rPr lang="en-IN" sz="1200" b="1" u="none" baseline="0"/>
            <a:t>-viewership based performance</a:t>
          </a:r>
        </a:p>
        <a:p>
          <a:pPr algn="l"/>
          <a:endParaRPr lang="en-IN" sz="1200" b="1" u="none" baseline="0"/>
        </a:p>
      </xdr:txBody>
    </xdr:sp>
    <xdr:clientData/>
  </xdr:twoCellAnchor>
  <xdr:twoCellAnchor>
    <xdr:from>
      <xdr:col>11</xdr:col>
      <xdr:colOff>391297</xdr:colOff>
      <xdr:row>78</xdr:row>
      <xdr:rowOff>27460</xdr:rowOff>
    </xdr:from>
    <xdr:to>
      <xdr:col>15</xdr:col>
      <xdr:colOff>336378</xdr:colOff>
      <xdr:row>87</xdr:row>
      <xdr:rowOff>0</xdr:rowOff>
    </xdr:to>
    <xdr:sp macro="" textlink="">
      <xdr:nvSpPr>
        <xdr:cNvPr id="29" name="Rectangle 28">
          <a:extLst>
            <a:ext uri="{FF2B5EF4-FFF2-40B4-BE49-F238E27FC236}">
              <a16:creationId xmlns:a16="http://schemas.microsoft.com/office/drawing/2014/main" id="{8A11F88C-7531-44F2-AA31-5B0895C6E126}"/>
            </a:ext>
          </a:extLst>
        </xdr:cNvPr>
        <xdr:cNvSpPr/>
      </xdr:nvSpPr>
      <xdr:spPr>
        <a:xfrm>
          <a:off x="7112000" y="14484865"/>
          <a:ext cx="2388973" cy="164070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2000" b="1" u="sng"/>
            <a:t>*SLICER</a:t>
          </a:r>
        </a:p>
        <a:p>
          <a:pPr algn="l"/>
          <a:endParaRPr lang="en-IN" sz="2000" b="1" u="sng"/>
        </a:p>
        <a:p>
          <a:pPr algn="l"/>
          <a:r>
            <a:rPr lang="en-IN" sz="1200" b="1" u="none"/>
            <a:t>~Viewer</a:t>
          </a:r>
          <a:r>
            <a:rPr lang="en-IN" sz="1200" b="1" u="none" baseline="0"/>
            <a:t> Gender</a:t>
          </a:r>
        </a:p>
        <a:p>
          <a:pPr algn="l"/>
          <a:r>
            <a:rPr lang="en-IN" sz="1200" b="1" u="none" baseline="0"/>
            <a:t>~Duration(mins)</a:t>
          </a:r>
        </a:p>
        <a:p>
          <a:pPr algn="l"/>
          <a:r>
            <a:rPr lang="en-IN" sz="1200" b="1" u="none" baseline="0"/>
            <a:t>~Day of the week</a:t>
          </a:r>
        </a:p>
      </xdr:txBody>
    </xdr:sp>
    <xdr:clientData/>
  </xdr:twoCellAnchor>
  <xdr:twoCellAnchor>
    <xdr:from>
      <xdr:col>16</xdr:col>
      <xdr:colOff>164757</xdr:colOff>
      <xdr:row>78</xdr:row>
      <xdr:rowOff>20595</xdr:rowOff>
    </xdr:from>
    <xdr:to>
      <xdr:col>20</xdr:col>
      <xdr:colOff>109839</xdr:colOff>
      <xdr:row>86</xdr:row>
      <xdr:rowOff>178487</xdr:rowOff>
    </xdr:to>
    <xdr:sp macro="" textlink="">
      <xdr:nvSpPr>
        <xdr:cNvPr id="30" name="Rectangle 29">
          <a:extLst>
            <a:ext uri="{FF2B5EF4-FFF2-40B4-BE49-F238E27FC236}">
              <a16:creationId xmlns:a16="http://schemas.microsoft.com/office/drawing/2014/main" id="{ACE73DA4-695F-43F6-8D05-FB12654BC53F}"/>
            </a:ext>
          </a:extLst>
        </xdr:cNvPr>
        <xdr:cNvSpPr/>
      </xdr:nvSpPr>
      <xdr:spPr>
        <a:xfrm>
          <a:off x="9940325" y="14478000"/>
          <a:ext cx="2388973" cy="164070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2000" b="1" u="sng"/>
            <a:t>*Timeline</a:t>
          </a:r>
        </a:p>
        <a:p>
          <a:pPr algn="l"/>
          <a:endParaRPr lang="en-IN" sz="2000" b="1" u="sng"/>
        </a:p>
        <a:p>
          <a:pPr algn="l"/>
          <a:r>
            <a:rPr lang="en-IN" sz="1200" b="1" u="none"/>
            <a:t>~Time</a:t>
          </a:r>
          <a:r>
            <a:rPr lang="en-IN" sz="1200" b="1" u="none" baseline="0"/>
            <a:t> of day</a:t>
          </a:r>
        </a:p>
        <a:p>
          <a:pPr algn="l"/>
          <a:r>
            <a:rPr lang="en-IN" sz="1200" b="1" u="none" baseline="0"/>
            <a:t>~Peak viewership time</a:t>
          </a:r>
        </a:p>
        <a:p>
          <a:pPr algn="l"/>
          <a:r>
            <a:rPr lang="en-IN" sz="1200" b="1" u="none" baseline="0"/>
            <a:t>~Release date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u indestris" refreshedDate="46015.662061111114" createdVersion="8" refreshedVersion="8" minRefreshableVersion="3" recordCount="999" xr:uid="{04293322-1925-435E-A786-1CF5A2624FD1}">
  <cacheSource type="worksheet">
    <worksheetSource name="Table1"/>
  </cacheSource>
  <cacheFields count="25">
    <cacheField name="Content ID" numFmtId="0">
      <sharedItems containsString="0" containsBlank="1" containsNumber="1" containsInteger="1" minValue="1" maxValue="507"/>
    </cacheField>
    <cacheField name="Content Type" numFmtId="0">
      <sharedItems containsBlank="1" count="4">
        <s v="Movie"/>
        <s v="Series"/>
        <s v="Documentary"/>
        <m/>
      </sharedItems>
    </cacheField>
    <cacheField name="Genre" numFmtId="0">
      <sharedItems containsBlank="1" count="10">
        <s v="Thriller"/>
        <s v="Comedy"/>
        <s v="Sci-Fi"/>
        <s v="Romance"/>
        <s v="Fantasy"/>
        <s v="Drama"/>
        <s v="Action"/>
        <s v="Nature"/>
        <s v="History"/>
        <m/>
      </sharedItems>
    </cacheField>
    <cacheField name="Release Date" numFmtId="0">
      <sharedItems containsNonDate="0" containsDate="1" containsString="0" containsBlank="1" minDate="2024-07-01T00:00:00" maxDate="2025-07-03T00:00:00" count="78">
        <d v="2024-07-03T00:00:00"/>
        <d v="2024-09-08T00:00:00"/>
        <d v="2024-09-07T00:00:00"/>
        <d v="2024-07-15T00:00:00"/>
        <d v="2024-07-05T00:00:00"/>
        <d v="2024-08-08T00:00:00"/>
        <d v="2024-08-29T00:00:00"/>
        <d v="2024-08-07T00:00:00"/>
        <d v="2024-09-11T00:00:00"/>
        <d v="2024-08-19T00:00:00"/>
        <d v="2024-08-22T00:00:00"/>
        <d v="2024-08-05T00:00:00"/>
        <d v="2024-09-02T00:00:00"/>
        <d v="2024-07-20T00:00:00"/>
        <d v="2024-07-06T00:00:00"/>
        <d v="2024-07-07T00:00:00"/>
        <d v="2024-07-13T00:00:00"/>
        <d v="2024-08-15T00:00:00"/>
        <d v="2024-07-29T00:00:00"/>
        <d v="2024-09-09T00:00:00"/>
        <d v="2024-09-14T00:00:00"/>
        <d v="2024-07-14T00:00:00"/>
        <d v="2024-07-04T00:00:00"/>
        <d v="2024-08-30T00:00:00"/>
        <d v="2025-07-02T00:00:00"/>
        <d v="2024-08-04T00:00:00"/>
        <d v="2024-07-19T00:00:00"/>
        <d v="2024-09-01T00:00:00"/>
        <d v="2024-07-23T00:00:00"/>
        <d v="2024-08-14T00:00:00"/>
        <d v="2024-09-05T00:00:00"/>
        <d v="2024-08-20T00:00:00"/>
        <d v="2024-08-01T00:00:00"/>
        <d v="2024-08-02T00:00:00"/>
        <d v="2024-08-13T00:00:00"/>
        <d v="2024-07-09T00:00:00"/>
        <d v="2024-07-12T00:00:00"/>
        <d v="2024-07-28T00:00:00"/>
        <d v="2024-08-25T00:00:00"/>
        <d v="2024-08-12T00:00:00"/>
        <d v="2024-09-06T00:00:00"/>
        <d v="2024-09-10T00:00:00"/>
        <d v="2024-08-28T00:00:00"/>
        <d v="2024-09-03T00:00:00"/>
        <d v="2024-07-08T00:00:00"/>
        <d v="2024-07-01T00:00:00"/>
        <d v="2024-07-24T00:00:00"/>
        <d v="2024-07-27T00:00:00"/>
        <d v="2024-08-03T00:00:00"/>
        <d v="2024-09-13T00:00:00"/>
        <d v="2024-08-06T00:00:00"/>
        <d v="2024-07-17T00:00:00"/>
        <d v="2024-08-18T00:00:00"/>
        <d v="2024-07-10T00:00:00"/>
        <d v="2024-08-16T00:00:00"/>
        <d v="2024-08-11T00:00:00"/>
        <d v="2024-09-04T00:00:00"/>
        <d v="2024-07-21T00:00:00"/>
        <d v="2024-08-09T00:00:00"/>
        <d v="2024-07-31T00:00:00"/>
        <d v="2024-09-12T00:00:00"/>
        <d v="2024-07-18T00:00:00"/>
        <d v="2024-07-16T00:00:00"/>
        <d v="2024-07-25T00:00:00"/>
        <d v="2024-08-31T00:00:00"/>
        <d v="2024-08-24T00:00:00"/>
        <d v="2024-08-17T00:00:00"/>
        <d v="2024-08-26T00:00:00"/>
        <d v="2024-08-10T00:00:00"/>
        <d v="2024-07-22T00:00:00"/>
        <d v="2024-07-30T00:00:00"/>
        <d v="2024-07-26T00:00:00"/>
        <d v="2024-07-11T00:00:00"/>
        <d v="2024-08-23T00:00:00"/>
        <d v="2024-08-21T00:00:00"/>
        <d v="2024-08-27T00:00:00"/>
        <d v="2024-07-02T00:00:00"/>
        <m/>
      </sharedItems>
    </cacheField>
    <cacheField name="Time of Day" numFmtId="0">
      <sharedItems containsNonDate="0" containsDate="1" containsString="0" containsBlank="1" minDate="1899-12-30T00:01:00" maxDate="1899-12-30T23:57:00" count="427">
        <d v="1899-12-30T23:57:00"/>
        <d v="1899-12-30T20:57:00"/>
        <d v="1899-12-30T23:25:00"/>
        <d v="1899-12-30T06:59:00"/>
        <d v="1899-12-30T18:27:00"/>
        <d v="1899-12-30T17:27:00"/>
        <d v="1899-12-30T02:09:00"/>
        <d v="1899-12-30T20:16:00"/>
        <d v="1899-12-30T19:54:00"/>
        <d v="1899-12-30T12:35:00"/>
        <d v="1899-12-30T02:20:00"/>
        <d v="1899-12-30T11:24:00"/>
        <d v="1899-12-30T00:51:00"/>
        <d v="1899-12-30T08:36:00"/>
        <d v="1899-12-30T15:00:00"/>
        <d v="1899-12-30T14:05:00"/>
        <d v="1899-12-30T16:54:00"/>
        <d v="1899-12-30T06:07:00"/>
        <d v="1899-12-30T20:34:00"/>
        <d v="1899-12-30T02:15:00"/>
        <d v="1899-12-30T13:56:00"/>
        <d v="1899-12-30T12:56:00"/>
        <d v="1899-12-30T16:01:00"/>
        <d v="1899-12-30T14:37:00"/>
        <d v="1899-12-30T22:36:00"/>
        <d v="1899-12-30T08:48:00"/>
        <d v="1899-12-30T13:14:00"/>
        <d v="1899-12-30T11:19:00"/>
        <d v="1899-12-30T20:55:00"/>
        <d v="1899-12-30T12:14:00"/>
        <d v="1899-12-30T17:00:00"/>
        <d v="1899-12-30T03:46:00"/>
        <d v="1899-12-30T15:27:00"/>
        <d v="1899-12-30T08:11:00"/>
        <d v="1899-12-30T07:19:00"/>
        <d v="1899-12-30T20:49:00"/>
        <d v="1899-12-30T11:43:00"/>
        <d v="1899-12-30T21:48:00"/>
        <d v="1899-12-30T11:57:00"/>
        <d v="1899-12-30T19:48:00"/>
        <d v="1899-12-30T02:36:00"/>
        <d v="1899-12-30T05:59:00"/>
        <d v="1899-12-30T20:09:00"/>
        <d v="1899-12-30T23:53:00"/>
        <d v="1899-12-30T21:02:00"/>
        <d v="1899-12-30T00:17:00"/>
        <d v="1899-12-30T21:12:00"/>
        <d v="1899-12-30T11:50:00"/>
        <d v="1899-12-30T01:26:00"/>
        <d v="1899-12-30T02:32:00"/>
        <d v="1899-12-30T06:43:00"/>
        <d v="1899-12-30T10:09:00"/>
        <d v="1899-12-30T21:18:00"/>
        <d v="1899-12-30T18:50:00"/>
        <d v="1899-12-30T01:22:00"/>
        <d v="1899-12-30T06:33:00"/>
        <d v="1899-12-30T06:55:00"/>
        <d v="1899-12-30T08:44:00"/>
        <d v="1899-12-30T13:51:00"/>
        <d v="1899-12-30T23:39:00"/>
        <d v="1899-12-30T07:25:00"/>
        <d v="1899-12-30T17:37:00"/>
        <d v="1899-12-30T08:09:00"/>
        <d v="1899-12-30T18:56:00"/>
        <d v="1899-12-30T22:45:00"/>
        <d v="1899-12-30T04:47:00"/>
        <d v="1899-12-30T13:42:00"/>
        <d v="1899-12-30T16:39:00"/>
        <d v="1899-12-30T10:47:00"/>
        <d v="1899-12-30T05:34:00"/>
        <d v="1899-12-30T00:12:00"/>
        <d v="1899-12-30T16:29:00"/>
        <d v="1899-12-30T18:44:00"/>
        <d v="1899-12-30T13:26:00"/>
        <d v="1899-12-30T00:14:00"/>
        <d v="1899-12-30T22:26:00"/>
        <d v="1899-12-30T06:27:00"/>
        <d v="1899-12-30T10:26:00"/>
        <d v="1899-12-30T05:29:00"/>
        <d v="1899-12-30T05:52:00"/>
        <d v="1899-12-30T05:30:00"/>
        <d v="1899-12-30T06:19:00"/>
        <d v="1899-12-30T17:20:00"/>
        <d v="1899-12-30T09:16:00"/>
        <d v="1899-12-30T09:32:00"/>
        <d v="1899-12-30T14:59:00"/>
        <d v="1899-12-30T04:08:00"/>
        <d v="1899-12-30T01:05:00"/>
        <d v="1899-12-30T22:16:00"/>
        <d v="1899-12-30T15:40:00"/>
        <d v="1899-12-30T04:50:00"/>
        <d v="1899-12-30T07:23:00"/>
        <d v="1899-12-30T03:15:00"/>
        <d v="1899-12-30T22:52:00"/>
        <d v="1899-12-30T02:00:00"/>
        <d v="1899-12-30T09:13:00"/>
        <d v="1899-12-30T06:22:00"/>
        <d v="1899-12-30T18:03:00"/>
        <d v="1899-12-30T14:14:00"/>
        <d v="1899-12-30T03:08:00"/>
        <d v="1899-12-30T17:51:00"/>
        <d v="1899-12-30T05:55:00"/>
        <d v="1899-12-30T12:36:00"/>
        <d v="1899-12-30T21:42:00"/>
        <d v="1899-12-30T13:35:00"/>
        <d v="1899-12-30T18:15:00"/>
        <d v="1899-12-30T22:30:00"/>
        <d v="1899-12-30T22:17:00"/>
        <d v="1899-12-30T20:10:00"/>
        <d v="1899-12-30T13:13:00"/>
        <d v="1899-12-30T23:47:00"/>
        <d v="1899-12-30T03:14:00"/>
        <d v="1899-12-30T02:10:00"/>
        <d v="1899-12-30T07:53:00"/>
        <d v="1899-12-30T06:14:00"/>
        <d v="1899-12-30T05:07:00"/>
        <d v="1899-12-30T09:53:00"/>
        <d v="1899-12-30T13:59:00"/>
        <d v="1899-12-30T13:19:00"/>
        <d v="1899-12-30T02:47:00"/>
        <d v="1899-12-30T01:47:00"/>
        <d v="1899-12-30T16:15:00"/>
        <d v="1899-12-30T15:16:00"/>
        <d v="1899-12-30T16:30:00"/>
        <d v="1899-12-30T20:50:00"/>
        <d v="1899-12-30T14:41:00"/>
        <d v="1899-12-30T09:43:00"/>
        <d v="1899-12-30T08:01:00"/>
        <d v="1899-12-30T07:56:00"/>
        <d v="1899-12-30T11:27:00"/>
        <d v="1899-12-30T06:42:00"/>
        <d v="1899-12-30T00:54:00"/>
        <d v="1899-12-30T09:19:00"/>
        <d v="1899-12-30T07:36:00"/>
        <d v="1899-12-30T14:01:00"/>
        <d v="1899-12-30T12:21:00"/>
        <d v="1899-12-30T10:18:00"/>
        <d v="1899-12-30T15:14:00"/>
        <d v="1899-12-30T01:13:00"/>
        <d v="1899-12-30T08:41:00"/>
        <d v="1899-12-30T00:59:00"/>
        <d v="1899-12-30T23:06:00"/>
        <d v="1899-12-30T03:05:00"/>
        <d v="1899-12-30T16:32:00"/>
        <d v="1899-12-30T01:57:00"/>
        <d v="1899-12-30T12:19:00"/>
        <d v="1899-12-30T07:30:00"/>
        <d v="1899-12-30T15:12:00"/>
        <d v="1899-12-30T18:40:00"/>
        <d v="1899-12-30T02:14:00"/>
        <d v="1899-12-30T18:58:00"/>
        <d v="1899-12-30T06:50:00"/>
        <d v="1899-12-30T08:06:00"/>
        <d v="1899-12-30T10:28:00"/>
        <d v="1899-12-30T02:51:00"/>
        <d v="1899-12-30T20:17:00"/>
        <d v="1899-12-30T05:36:00"/>
        <d v="1899-12-30T21:49:00"/>
        <d v="1899-12-30T10:15:00"/>
        <d v="1899-12-30T15:26:00"/>
        <d v="1899-12-30T14:25:00"/>
        <d v="1899-12-30T17:40:00"/>
        <d v="1899-12-30T12:29:00"/>
        <d v="1899-12-30T22:05:00"/>
        <d v="1899-12-30T08:26:00"/>
        <d v="1899-12-30T21:52:00"/>
        <d v="1899-12-30T02:43:00"/>
        <d v="1899-12-30T15:18:00"/>
        <d v="1899-12-30T22:09:00"/>
        <d v="1899-12-30T04:18:00"/>
        <d v="1899-12-30T16:27:00"/>
        <d v="1899-12-30T12:05:00"/>
        <d v="1899-12-30T12:37:00"/>
        <d v="1899-12-30T21:36:00"/>
        <d v="1899-12-30T14:35:00"/>
        <d v="1899-12-30T01:24:00"/>
        <d v="1899-12-30T23:51:00"/>
        <d v="1899-12-30T11:11:00"/>
        <d v="1899-12-30T01:44:00"/>
        <d v="1899-12-30T01:14:00"/>
        <d v="1899-12-30T21:24:00"/>
        <d v="1899-12-30T03:54:00"/>
        <d v="1899-12-30T19:35:00"/>
        <d v="1899-12-30T22:29:00"/>
        <d v="1899-12-30T09:48:00"/>
        <d v="1899-12-30T09:25:00"/>
        <d v="1899-12-30T02:49:00"/>
        <d v="1899-12-30T00:22:00"/>
        <d v="1899-12-30T14:04:00"/>
        <d v="1899-12-30T08:04:00"/>
        <d v="1899-12-30T04:45:00"/>
        <d v="1899-12-30T05:27:00"/>
        <d v="1899-12-30T23:07:00"/>
        <d v="1899-12-30T22:14:00"/>
        <d v="1899-12-30T21:45:00"/>
        <d v="1899-12-30T20:54:00"/>
        <d v="1899-12-30T15:57:00"/>
        <d v="1899-12-30T09:41:00"/>
        <d v="1899-12-30T23:01:00"/>
        <d v="1899-12-30T19:32:00"/>
        <d v="1899-12-30T16:58:00"/>
        <d v="1899-12-30T05:01:00"/>
        <d v="1899-12-30T06:08:00"/>
        <d v="1899-12-30T13:54:00"/>
        <d v="1899-12-30T23:14:00"/>
        <d v="1899-12-30T20:43:00"/>
        <d v="1899-12-30T04:12:00"/>
        <d v="1899-12-30T06:01:00"/>
        <d v="1899-12-30T22:12:00"/>
        <d v="1899-12-30T09:21:00"/>
        <d v="1899-12-30T22:06:00"/>
        <d v="1899-12-30T00:57:00"/>
        <d v="1899-12-30T06:05:00"/>
        <d v="1899-12-30T07:47:00"/>
        <d v="1899-12-30T22:35:00"/>
        <d v="1899-12-30T12:41:00"/>
        <d v="1899-12-30T08:17:00"/>
        <d v="1899-12-30T10:30:00"/>
        <d v="1899-12-30T10:40:00"/>
        <d v="1899-12-30T19:58:00"/>
        <d v="1899-12-30T20:31:00"/>
        <d v="1899-12-30T06:13:00"/>
        <d v="1899-12-30T00:11:00"/>
        <d v="1899-12-30T03:32:00"/>
        <d v="1899-12-30T16:52:00"/>
        <d v="1899-12-30T09:12:00"/>
        <d v="1899-12-30T14:53:00"/>
        <d v="1899-12-30T19:47:00"/>
        <d v="1899-12-30T11:18:00"/>
        <d v="1899-12-30T18:57:00"/>
        <d v="1899-12-30T04:56:00"/>
        <d v="1899-12-30T19:38:00"/>
        <d v="1899-12-30T10:05:00"/>
        <d v="1899-12-30T07:52:00"/>
        <d v="1899-12-30T16:45:00"/>
        <d v="1899-12-30T04:16:00"/>
        <d v="1899-12-30T01:21:00"/>
        <d v="1899-12-30T00:01:00"/>
        <d v="1899-12-30T09:54:00"/>
        <d v="1899-12-30T11:56:00"/>
        <d v="1899-12-30T04:53:00"/>
        <d v="1899-12-30T13:33:00"/>
        <d v="1899-12-30T17:18:00"/>
        <d v="1899-12-30T12:20:00"/>
        <d v="1899-12-30T06:09:00"/>
        <d v="1899-12-30T03:04:00"/>
        <d v="1899-12-30T13:38:00"/>
        <d v="1899-12-30T20:11:00"/>
        <d v="1899-12-30T09:30:00"/>
        <d v="1899-12-30T19:41:00"/>
        <d v="1899-12-30T16:26:00"/>
        <d v="1899-12-30T01:11:00"/>
        <d v="1899-12-30T11:29:00"/>
        <d v="1899-12-30T01:54:00"/>
        <d v="1899-12-30T10:23:00"/>
        <d v="1899-12-30T07:18:00"/>
        <d v="1899-12-30T06:37:00"/>
        <d v="1899-12-30T16:38:00"/>
        <d v="1899-12-30T13:49:00"/>
        <d v="1899-12-30T02:37:00"/>
        <d v="1899-12-30T17:23:00"/>
        <d v="1899-12-30T03:35:00"/>
        <d v="1899-12-30T21:22:00"/>
        <d v="1899-12-30T07:05:00"/>
        <d v="1899-12-30T10:59:00"/>
        <d v="1899-12-30T08:38:00"/>
        <d v="1899-12-30T04:10:00"/>
        <d v="1899-12-30T15:33:00"/>
        <d v="1899-12-30T11:45:00"/>
        <d v="1899-12-30T11:17:00"/>
        <d v="1899-12-30T22:03:00"/>
        <d v="1899-12-30T13:10:00"/>
        <d v="1899-12-30T13:07:00"/>
        <d v="1899-12-30T07:34:00"/>
        <d v="1899-12-30T10:33:00"/>
        <d v="1899-12-30T06:23:00"/>
        <d v="1899-12-30T00:29:00"/>
        <d v="1899-12-30T06:12:00"/>
        <d v="1899-12-30T08:33:00"/>
        <d v="1899-12-30T16:41:00"/>
        <d v="1899-12-30T07:16:00"/>
        <d v="1899-12-30T12:16:00"/>
        <d v="1899-12-30T08:54:00"/>
        <d v="1899-12-30T12:34:00"/>
        <d v="1899-12-30T14:46:00"/>
        <d v="1899-12-30T05:40:00"/>
        <d v="1899-12-30T02:12:00"/>
        <d v="1899-12-30T09:33:00"/>
        <d v="1899-12-30T17:44:00"/>
        <d v="1899-12-30T07:20:00"/>
        <d v="1899-12-30T10:54:00"/>
        <d v="1899-12-30T15:01:00"/>
        <d v="1899-12-30T02:52:00"/>
        <d v="1899-12-30T18:31:00"/>
        <d v="1899-12-30T09:20:00"/>
        <d v="1899-12-30T22:47:00"/>
        <d v="1899-12-30T06:51:00"/>
        <d v="1899-12-30T03:10:00"/>
        <d v="1899-12-30T14:39:00"/>
        <d v="1899-12-30T12:43:00"/>
        <d v="1899-12-30T14:15:00"/>
        <d v="1899-12-30T04:33:00"/>
        <d v="1899-12-30T11:52:00"/>
        <d v="1899-12-30T12:49:00"/>
        <d v="1899-12-30T04:40:00"/>
        <d v="1899-12-30T13:27:00"/>
        <d v="1899-12-30T11:13:00"/>
        <d v="1899-12-30T13:21:00"/>
        <d v="1899-12-30T15:05:00"/>
        <d v="1899-12-30T15:09:00"/>
        <d v="1899-12-30T21:44:00"/>
        <d v="1899-12-30T02:39:00"/>
        <d v="1899-12-30T23:43:00"/>
        <d v="1899-12-30T06:48:00"/>
        <d v="1899-12-30T20:06:00"/>
        <d v="1899-12-30T23:22:00"/>
        <d v="1899-12-30T00:45:00"/>
        <d v="1899-12-30T14:29:00"/>
        <d v="1899-12-30T12:33:00"/>
        <d v="1899-12-30T15:48:00"/>
        <d v="1899-12-30T10:50:00"/>
        <d v="1899-12-30T15:03:00"/>
        <d v="1899-12-30T06:46:00"/>
        <d v="1899-12-30T06:20:00"/>
        <d v="1899-12-30T23:24:00"/>
        <d v="1899-12-30T15:17:00"/>
        <d v="1899-12-30T04:14:00"/>
        <d v="1899-12-30T20:15:00"/>
        <d v="1899-12-30T11:23:00"/>
        <d v="1899-12-30T20:38:00"/>
        <d v="1899-12-30T10:19:00"/>
        <d v="1899-12-30T07:44:00"/>
        <d v="1899-12-30T09:45:00"/>
        <d v="1899-12-30T16:08:00"/>
        <d v="1899-12-30T14:48:00"/>
        <d v="1899-12-30T23:21:00"/>
        <d v="1899-12-30T22:59:00"/>
        <d v="1899-12-30T18:54:00"/>
        <d v="1899-12-30T16:53:00"/>
        <d v="1899-12-30T13:16:00"/>
        <d v="1899-12-30T17:35:00"/>
        <d v="1899-12-30T12:12:00"/>
        <d v="1899-12-30T11:40:00"/>
        <d v="1899-12-30T15:24:00"/>
        <d v="1899-12-30T12:54:00"/>
        <d v="1899-12-30T06:10:00"/>
        <d v="1899-12-30T17:07:00"/>
        <d v="1899-12-30T05:44:00"/>
        <d v="1899-12-30T19:53:00"/>
        <d v="1899-12-30T15:42:00"/>
        <d v="1899-12-30T23:17:00"/>
        <d v="1899-12-30T03:49:00"/>
        <d v="1899-12-30T13:52:00"/>
        <d v="1899-12-30T21:43:00"/>
        <d v="1899-12-30T18:36:00"/>
        <d v="1899-12-30T21:34:00"/>
        <d v="1899-12-30T16:06:00"/>
        <d v="1899-12-30T21:09:00"/>
        <d v="1899-12-30T02:06:00"/>
        <d v="1899-12-30T20:00:00"/>
        <d v="1899-12-30T01:12:00"/>
        <d v="1899-12-30T02:22:00"/>
        <d v="1899-12-30T13:50:00"/>
        <d v="1899-12-30T13:04:00"/>
        <d v="1899-12-30T14:07:00"/>
        <d v="1899-12-30T08:55:00"/>
        <d v="1899-12-30T04:23:00"/>
        <d v="1899-12-30T05:03:00"/>
        <d v="1899-12-30T20:04:00"/>
        <d v="1899-12-30T20:24:00"/>
        <d v="1899-12-30T02:04:00"/>
        <d v="1899-12-30T04:31:00"/>
        <d v="1899-12-30T05:57:00"/>
        <d v="1899-12-30T14:24:00"/>
        <d v="1899-12-30T17:21:00"/>
        <d v="1899-12-30T23:45:00"/>
        <d v="1899-12-30T11:38:00"/>
        <d v="1899-12-30T10:01:00"/>
        <d v="1899-12-30T09:27:00"/>
        <d v="1899-12-30T21:54:00"/>
        <d v="1899-12-30T23:31:00"/>
        <d v="1899-12-30T14:08:00"/>
        <d v="1899-12-30T23:52:00"/>
        <d v="1899-12-30T17:45:00"/>
        <d v="1899-12-30T06:24:00"/>
        <d v="1899-12-30T16:24:00"/>
        <d v="1899-12-30T09:18:00"/>
        <d v="1899-12-30T14:10:00"/>
        <d v="1899-12-30T05:19:00"/>
        <d v="1899-12-30T07:49:00"/>
        <d v="1899-12-30T21:16:00"/>
        <d v="1899-12-30T17:48:00"/>
        <d v="1899-12-30T11:33:00"/>
        <d v="1899-12-30T13:11:00"/>
        <d v="1899-12-30T15:04:00"/>
        <d v="1899-12-30T02:18:00"/>
        <d v="1899-12-30T09:14:00"/>
        <d v="1899-12-30T20:29:00"/>
        <d v="1899-12-30T04:28:00"/>
        <d v="1899-12-30T09:42:00"/>
        <d v="1899-12-30T20:02:00"/>
        <d v="1899-12-30T12:22:00"/>
        <d v="1899-12-30T07:04:00"/>
        <d v="1899-12-30T01:45:00"/>
        <d v="1899-12-30T21:13:00"/>
        <d v="1899-12-30T14:38:00"/>
        <d v="1899-12-30T00:32:00"/>
        <d v="1899-12-30T10:44:00"/>
        <d v="1899-12-30T03:47:00"/>
        <d v="1899-12-30T06:40:00"/>
        <d v="1899-12-30T10:51:00"/>
        <d v="1899-12-30T04:24:00"/>
        <d v="1899-12-30T07:43:00"/>
        <d v="1899-12-30T20:20:00"/>
        <d v="1899-12-30T20:28:00"/>
        <d v="1899-12-30T22:43:00"/>
        <d v="1899-12-30T17:06:00"/>
        <d v="1899-12-30T15:37:00"/>
        <d v="1899-12-30T11:08:00"/>
        <d v="1899-12-30T18:00:00"/>
        <d v="1899-12-30T19:26:00"/>
        <d v="1899-12-30T17:17:00"/>
        <d v="1899-12-30T16:22:00"/>
        <d v="1899-12-30T01:08:00"/>
        <d v="1899-12-30T13:55:00"/>
        <d v="1899-12-30T22:46:00"/>
        <m/>
      </sharedItems>
      <fieldGroup par="24"/>
    </cacheField>
    <cacheField name="Day of the Week" numFmtId="0">
      <sharedItems containsBlank="1" count="8">
        <s v="Thursday"/>
        <s v="Friday"/>
        <s v="Sunday"/>
        <s v="Saturday"/>
        <s v="Tuesday"/>
        <s v="Monday"/>
        <s v="Wednesday"/>
        <m/>
      </sharedItems>
    </cacheField>
    <cacheField name="Duration (mins)" numFmtId="0">
      <sharedItems containsString="0" containsBlank="1" containsNumber="1" containsInteger="1" minValue="45" maxValue="1225" count="284">
        <n v="121"/>
        <n v="1200"/>
        <n v="170"/>
        <n v="506"/>
        <n v="77"/>
        <n v="125"/>
        <n v="101"/>
        <n v="220"/>
        <n v="1137"/>
        <n v="157"/>
        <n v="109"/>
        <n v="139"/>
        <n v="91"/>
        <n v="104"/>
        <n v="257"/>
        <n v="807"/>
        <n v="783"/>
        <n v="113"/>
        <n v="194"/>
        <n v="827"/>
        <n v="144"/>
        <n v="192"/>
        <n v="52"/>
        <n v="941"/>
        <n v="191"/>
        <n v="146"/>
        <n v="151"/>
        <n v="97"/>
        <n v="182"/>
        <n v="957"/>
        <n v="54"/>
        <n v="164"/>
        <n v="155"/>
        <n v="402"/>
        <n v="87"/>
        <n v="105"/>
        <n v="169"/>
        <n v="410"/>
        <n v="143"/>
        <n v="100"/>
        <n v="565"/>
        <n v="484"/>
        <n v="141"/>
        <n v="81"/>
        <n v="63"/>
        <n v="196"/>
        <n v="142"/>
        <n v="161"/>
        <n v="88"/>
        <n v="800"/>
        <n v="692"/>
        <n v="51"/>
        <n v="190"/>
        <n v="59"/>
        <n v="567"/>
        <n v="147"/>
        <n v="82"/>
        <n v="195"/>
        <n v="111"/>
        <n v="99"/>
        <n v="94"/>
        <n v="117"/>
        <n v="829"/>
        <n v="767"/>
        <n v="156"/>
        <n v="504"/>
        <n v="95"/>
        <n v="134"/>
        <n v="199"/>
        <n v="868"/>
        <n v="55"/>
        <n v="114"/>
        <n v="188"/>
        <n v="178"/>
        <n v="83"/>
        <n v="636"/>
        <n v="903"/>
        <n v="171"/>
        <n v="208"/>
        <n v="712"/>
        <n v="76"/>
        <n v="610"/>
        <n v="106"/>
        <n v="60"/>
        <n v="638"/>
        <n v="124"/>
        <n v="1141"/>
        <n v="572"/>
        <n v="253"/>
        <n v="779"/>
        <n v="1066"/>
        <n v="1052"/>
        <n v="58"/>
        <n v="493"/>
        <n v="90"/>
        <n v="1006"/>
        <n v="186"/>
        <n v="67"/>
        <n v="181"/>
        <n v="163"/>
        <n v="123"/>
        <n v="640"/>
        <n v="107"/>
        <n v="69"/>
        <n v="50"/>
        <n v="168"/>
        <n v="528"/>
        <n v="996"/>
        <n v="167"/>
        <n v="172"/>
        <n v="187"/>
        <n v="145"/>
        <n v="184"/>
        <n v="61"/>
        <n v="833"/>
        <n v="1187"/>
        <n v="79"/>
        <n v="78"/>
        <n v="213"/>
        <n v="57"/>
        <n v="1158"/>
        <n v="110"/>
        <n v="429"/>
        <n v="696"/>
        <n v="180"/>
        <n v="131"/>
        <n v="137"/>
        <n v="497"/>
        <n v="115"/>
        <n v="98"/>
        <n v="1116"/>
        <n v="120"/>
        <n v="485"/>
        <n v="102"/>
        <n v="127"/>
        <n v="62"/>
        <n v="173"/>
        <n v="1155"/>
        <n v="133"/>
        <n v="1144"/>
        <n v="56"/>
        <n v="358"/>
        <n v="185"/>
        <n v="183"/>
        <n v="47"/>
        <n v="661"/>
        <n v="86"/>
        <n v="275"/>
        <n v="864"/>
        <n v="432"/>
        <n v="193"/>
        <n v="454"/>
        <n v="746"/>
        <n v="126"/>
        <n v="522"/>
        <n v="1090"/>
        <n v="987"/>
        <n v="851"/>
        <n v="73"/>
        <n v="129"/>
        <n v="797"/>
        <n v="577"/>
        <n v="198"/>
        <n v="70"/>
        <n v="706"/>
        <n v="108"/>
        <n v="499"/>
        <n v="585"/>
        <n v="308"/>
        <n v="1055"/>
        <n v="64"/>
        <n v="166"/>
        <n v="159"/>
        <n v="422"/>
        <n v="778"/>
        <n v="119"/>
        <n v="1068"/>
        <n v="1178"/>
        <n v="642"/>
        <n v="150"/>
        <n v="1032"/>
        <n v="130"/>
        <n v="725"/>
        <n v="165"/>
        <n v="289"/>
        <n v="96"/>
        <n v="813"/>
        <n v="71"/>
        <n v="160"/>
        <n v="103"/>
        <n v="986"/>
        <n v="112"/>
        <n v="1040"/>
        <n v="756"/>
        <n v="1183"/>
        <n v="266"/>
        <n v="970"/>
        <n v="203"/>
        <n v="116"/>
        <n v="211"/>
        <n v="716"/>
        <n v="1181"/>
        <n v="93"/>
        <n v="516"/>
        <n v="68"/>
        <n v="1007"/>
        <n v="629"/>
        <n v="154"/>
        <n v="753"/>
        <n v="80"/>
        <n v="244"/>
        <n v="943"/>
        <n v="472"/>
        <n v="135"/>
        <n v="72"/>
        <n v="1082"/>
        <n v="85"/>
        <n v="162"/>
        <n v="334"/>
        <n v="672"/>
        <n v="1156"/>
        <n v="84"/>
        <n v="902"/>
        <n v="566"/>
        <n v="152"/>
        <n v="207"/>
        <n v="369"/>
        <n v="853"/>
        <n v="136"/>
        <n v="89"/>
        <n v="148"/>
        <n v="1201"/>
        <n v="197"/>
        <n v="594"/>
        <n v="215"/>
        <n v="1154"/>
        <n v="1019"/>
        <n v="808"/>
        <n v="1086"/>
        <n v="837"/>
        <n v="818"/>
        <n v="307"/>
        <n v="74"/>
        <n v="872"/>
        <n v="118"/>
        <n v="615"/>
        <n v="890"/>
        <n v="571"/>
        <n v="1142"/>
        <n v="544"/>
        <n v="45"/>
        <n v="92"/>
        <n v="250"/>
        <n v="48"/>
        <n v="603"/>
        <n v="176"/>
        <n v="590"/>
        <n v="269"/>
        <n v="1020"/>
        <n v="819"/>
        <n v="262"/>
        <n v="365"/>
        <n v="1099"/>
        <n v="761"/>
        <n v="741"/>
        <n v="786"/>
        <n v="294"/>
        <n v="303"/>
        <n v="418"/>
        <n v="128"/>
        <n v="693"/>
        <n v="892"/>
        <n v="867"/>
        <n v="1117"/>
        <n v="894"/>
        <n v="600"/>
        <n v="175"/>
        <n v="865"/>
        <n v="759"/>
        <n v="1225"/>
        <n v="877"/>
        <n v="557"/>
        <n v="1221"/>
        <m/>
      </sharedItems>
    </cacheField>
    <cacheField name="Viewership" numFmtId="0">
      <sharedItems containsString="0" containsBlank="1" containsNumber="1" containsInteger="1" minValue="691" maxValue="99939" count="506">
        <n v="8203"/>
        <n v="64148"/>
        <n v="8216"/>
        <n v="52848"/>
        <n v="14090"/>
        <n v="98298"/>
        <n v="60062"/>
        <n v="88751"/>
        <n v="26541"/>
        <n v="37753"/>
        <n v="62425"/>
        <n v="78308"/>
        <n v="96842"/>
        <n v="53365"/>
        <n v="2441"/>
        <n v="74964"/>
        <n v="36524"/>
        <n v="56096"/>
        <n v="4713"/>
        <n v="17275"/>
        <n v="37187"/>
        <n v="12399"/>
        <n v="58909"/>
        <n v="49207"/>
        <n v="88949"/>
        <n v="96130"/>
        <n v="23044"/>
        <n v="65258"/>
        <n v="1467"/>
        <n v="18777"/>
        <n v="37129"/>
        <n v="25260"/>
        <n v="67195"/>
        <n v="73472"/>
        <n v="50183"/>
        <n v="78948"/>
        <n v="58718"/>
        <n v="74558"/>
        <n v="52177"/>
        <n v="6133"/>
        <n v="59999"/>
        <n v="66696"/>
        <n v="31423"/>
        <n v="57107"/>
        <n v="83904"/>
        <n v="33253"/>
        <n v="94321"/>
        <n v="30535"/>
        <n v="12332"/>
        <n v="56163"/>
        <n v="63899"/>
        <n v="55964"/>
        <n v="40865"/>
        <n v="33225"/>
        <n v="30567"/>
        <n v="90351"/>
        <n v="65440"/>
        <n v="63101"/>
        <n v="31137"/>
        <n v="23744"/>
        <n v="52286"/>
        <n v="32682"/>
        <n v="70118"/>
        <n v="86517"/>
        <n v="95637"/>
        <n v="24373"/>
        <n v="80794"/>
        <n v="53915"/>
        <n v="97356"/>
        <n v="58747"/>
        <n v="38877"/>
        <n v="87562"/>
        <n v="83313"/>
        <n v="32231"/>
        <n v="84521"/>
        <n v="24611"/>
        <n v="22001"/>
        <n v="20128"/>
        <n v="75853"/>
        <n v="31986"/>
        <n v="69043"/>
        <n v="96182"/>
        <n v="21395"/>
        <n v="65993"/>
        <n v="16141"/>
        <n v="7629"/>
        <n v="97380"/>
        <n v="45223"/>
        <n v="59047"/>
        <n v="75755"/>
        <n v="2549"/>
        <n v="79057"/>
        <n v="85564"/>
        <n v="10396"/>
        <n v="55078"/>
        <n v="64523"/>
        <n v="66598"/>
        <n v="65358"/>
        <n v="45734"/>
        <n v="76566"/>
        <n v="1829"/>
        <n v="76641"/>
        <n v="11348"/>
        <n v="82709"/>
        <n v="44145"/>
        <n v="95645"/>
        <n v="22953"/>
        <n v="39927"/>
        <n v="48339"/>
        <n v="71394"/>
        <n v="34893"/>
        <n v="8778"/>
        <n v="7271"/>
        <n v="59894"/>
        <n v="16537"/>
        <n v="80175"/>
        <n v="33156"/>
        <n v="59313"/>
        <n v="76559"/>
        <n v="13713"/>
        <n v="26409"/>
        <n v="49863"/>
        <n v="91292"/>
        <n v="93913"/>
        <n v="56943"/>
        <n v="53021"/>
        <n v="59215"/>
        <n v="58223"/>
        <n v="64794"/>
        <n v="23610"/>
        <n v="22628"/>
        <n v="83503"/>
        <n v="65929"/>
        <n v="20068"/>
        <n v="99744"/>
        <n v="62758"/>
        <n v="781"/>
        <n v="62163"/>
        <n v="63997"/>
        <n v="72673"/>
        <n v="61234"/>
        <n v="4626"/>
        <n v="84367"/>
        <n v="28702"/>
        <n v="17230"/>
        <n v="35441"/>
        <n v="6423"/>
        <n v="3413"/>
        <n v="23781"/>
        <n v="16221"/>
        <n v="14667"/>
        <n v="96416"/>
        <n v="64457"/>
        <n v="71565"/>
        <n v="65968"/>
        <n v="88909"/>
        <n v="81009"/>
        <n v="31339"/>
        <n v="13095"/>
        <n v="13550"/>
        <n v="69302"/>
        <n v="5903"/>
        <n v="4915"/>
        <n v="68944"/>
        <n v="76865"/>
        <n v="77643"/>
        <n v="47246"/>
        <n v="30903"/>
        <n v="55117"/>
        <n v="63037"/>
        <n v="67777"/>
        <n v="90961"/>
        <n v="6476"/>
        <n v="97319"/>
        <n v="95714"/>
        <n v="67821"/>
        <n v="4795"/>
        <n v="87094"/>
        <n v="40974"/>
        <n v="58453"/>
        <n v="50532"/>
        <n v="91373"/>
        <n v="47418"/>
        <n v="27884"/>
        <n v="67159"/>
        <n v="2058"/>
        <n v="32234"/>
        <n v="80983"/>
        <n v="26695"/>
        <n v="73628"/>
        <n v="63718"/>
        <n v="89401"/>
        <n v="47324"/>
        <n v="49310"/>
        <n v="27642"/>
        <n v="22310"/>
        <n v="4942"/>
        <n v="31956"/>
        <n v="78159"/>
        <n v="71478"/>
        <n v="82822"/>
        <n v="91942"/>
        <n v="59814"/>
        <n v="58857"/>
        <n v="86351"/>
        <n v="22896"/>
        <n v="94642"/>
        <n v="99019"/>
        <n v="80888"/>
        <n v="82310"/>
        <n v="94696"/>
        <n v="98861"/>
        <n v="61113"/>
        <n v="67566"/>
        <n v="93538"/>
        <n v="44614"/>
        <n v="84334"/>
        <n v="82491"/>
        <n v="56059"/>
        <n v="70400"/>
        <n v="41968"/>
        <n v="65347"/>
        <n v="48004"/>
        <n v="34934"/>
        <n v="91659"/>
        <n v="59204"/>
        <n v="34463"/>
        <n v="22665"/>
        <n v="913"/>
        <n v="41335"/>
        <n v="34349"/>
        <n v="27792"/>
        <n v="23087"/>
        <n v="51605"/>
        <n v="27605"/>
        <n v="62300"/>
        <n v="86671"/>
        <n v="16994"/>
        <n v="72045"/>
        <n v="8801"/>
        <n v="13749"/>
        <n v="78806"/>
        <n v="17400"/>
        <n v="64004"/>
        <n v="86024"/>
        <n v="26295"/>
        <n v="10725"/>
        <n v="34358"/>
        <n v="61966"/>
        <n v="71013"/>
        <n v="99939"/>
        <n v="19955"/>
        <n v="91393"/>
        <n v="36028"/>
        <n v="75436"/>
        <n v="77717"/>
        <n v="54958"/>
        <n v="47866"/>
        <n v="7766"/>
        <n v="14585"/>
        <n v="90655"/>
        <n v="61593"/>
        <n v="47986"/>
        <n v="86346"/>
        <n v="52725"/>
        <n v="51673"/>
        <n v="96401"/>
        <n v="39601"/>
        <n v="6729"/>
        <n v="31924"/>
        <n v="75945"/>
        <n v="92488"/>
        <n v="91742"/>
        <n v="20164"/>
        <n v="25046"/>
        <n v="7077"/>
        <n v="52522"/>
        <n v="99483"/>
        <n v="39800"/>
        <n v="80562"/>
        <n v="86310"/>
        <n v="36599"/>
        <n v="67489"/>
        <n v="81862"/>
        <n v="56914"/>
        <n v="98485"/>
        <n v="47607"/>
        <n v="87496"/>
        <n v="18401"/>
        <n v="55635"/>
        <n v="75641"/>
        <n v="26733"/>
        <n v="89601"/>
        <n v="38373"/>
        <n v="81206"/>
        <n v="8508"/>
        <n v="7930"/>
        <n v="5886"/>
        <n v="13766"/>
        <n v="60672"/>
        <n v="24736"/>
        <n v="37091"/>
        <n v="691"/>
        <n v="40151"/>
        <n v="15323"/>
        <n v="25837"/>
        <n v="14591"/>
        <n v="92607"/>
        <n v="76403"/>
        <n v="7430"/>
        <n v="55225"/>
        <n v="37546"/>
        <n v="54517"/>
        <n v="12024"/>
        <n v="27853"/>
        <n v="84802"/>
        <n v="96910"/>
        <n v="74725"/>
        <n v="38723"/>
        <n v="4536"/>
        <n v="8035"/>
        <n v="61417"/>
        <n v="44243"/>
        <n v="86984"/>
        <n v="26610"/>
        <n v="62236"/>
        <n v="12145"/>
        <n v="23813"/>
        <n v="76716"/>
        <n v="37343"/>
        <n v="68655"/>
        <n v="56606"/>
        <n v="44446"/>
        <n v="72326"/>
        <n v="65636"/>
        <n v="42210"/>
        <n v="17504"/>
        <n v="86748"/>
        <n v="65115"/>
        <n v="56432"/>
        <n v="95281"/>
        <n v="40998"/>
        <n v="86906"/>
        <n v="94042"/>
        <n v="22638"/>
        <n v="3786"/>
        <n v="48695"/>
        <n v="6975"/>
        <n v="78205"/>
        <n v="41394"/>
        <n v="59817"/>
        <n v="40635"/>
        <n v="95362"/>
        <n v="54903"/>
        <n v="21808"/>
        <n v="25259"/>
        <n v="97652"/>
        <n v="50528"/>
        <n v="29977"/>
        <n v="10080"/>
        <n v="91486"/>
        <n v="89481"/>
        <n v="74985"/>
        <n v="89320"/>
        <n v="86587"/>
        <n v="86971"/>
        <n v="22457"/>
        <n v="15095"/>
        <n v="33962"/>
        <n v="46557"/>
        <n v="42553"/>
        <n v="5127"/>
        <n v="92544"/>
        <n v="33129"/>
        <n v="29095"/>
        <n v="15496"/>
        <n v="29655"/>
        <n v="78262"/>
        <n v="67714"/>
        <n v="36960"/>
        <n v="33341"/>
        <n v="67661"/>
        <n v="92886"/>
        <n v="39223"/>
        <n v="5074"/>
        <n v="61318"/>
        <n v="88514"/>
        <n v="67700"/>
        <n v="47615"/>
        <n v="80043"/>
        <n v="46758"/>
        <n v="7413"/>
        <n v="11120"/>
        <n v="97394"/>
        <n v="91608"/>
        <n v="17619"/>
        <n v="89271"/>
        <n v="10058"/>
        <n v="24538"/>
        <n v="16792"/>
        <n v="90486"/>
        <n v="28505"/>
        <n v="8180"/>
        <n v="31880"/>
        <n v="62791"/>
        <n v="52424"/>
        <n v="14710"/>
        <n v="86171"/>
        <n v="79190"/>
        <n v="47968"/>
        <n v="24131"/>
        <n v="29063"/>
        <n v="42015"/>
        <n v="38583"/>
        <n v="87889"/>
        <n v="96996"/>
        <n v="70210"/>
        <n v="48255"/>
        <n v="27832"/>
        <n v="96876"/>
        <n v="69084"/>
        <n v="93183"/>
        <n v="38783"/>
        <n v="89027"/>
        <n v="70107"/>
        <n v="38011"/>
        <n v="25408"/>
        <n v="6629"/>
        <n v="6559"/>
        <n v="72130"/>
        <n v="33439"/>
        <n v="12849"/>
        <n v="68694"/>
        <n v="15041"/>
        <n v="64283"/>
        <n v="49876"/>
        <n v="78164"/>
        <n v="43378"/>
        <n v="99427"/>
        <n v="60164"/>
        <n v="26816"/>
        <n v="93700"/>
        <n v="77736"/>
        <n v="94358"/>
        <n v="79333"/>
        <n v="36542"/>
        <n v="39343"/>
        <n v="55733"/>
        <n v="43079"/>
        <n v="57248"/>
        <n v="72237"/>
        <n v="46449"/>
        <n v="78789"/>
        <n v="69990"/>
        <n v="79996"/>
        <n v="67492"/>
        <n v="45699"/>
        <n v="19965"/>
        <n v="79183"/>
        <n v="17119"/>
        <n v="82067"/>
        <n v="7824"/>
        <n v="23449"/>
        <n v="56379"/>
        <n v="31493"/>
        <n v="25246"/>
        <n v="67515"/>
        <n v="28437"/>
        <n v="71553"/>
        <n v="64057"/>
        <n v="43303"/>
        <n v="82412"/>
        <n v="22556"/>
        <n v="31997"/>
        <n v="93107"/>
        <n v="46957"/>
        <n v="84441"/>
        <n v="49202"/>
        <n v="88440"/>
        <n v="78725"/>
        <n v="3420"/>
        <n v="73562"/>
        <n v="98140"/>
        <n v="2173"/>
        <n v="38383"/>
        <n v="81635"/>
        <n v="9808"/>
        <n v="58767"/>
        <n v="66074"/>
        <n v="98717"/>
        <n v="23559"/>
        <n v="11400"/>
        <n v="31321"/>
        <n v="39276"/>
        <n v="88173"/>
        <n v="31438"/>
        <n v="32083"/>
        <n v="92798"/>
        <n v="79882"/>
        <n v="19672"/>
        <n v="64359"/>
        <n v="45259"/>
        <n v="90175"/>
        <n v="12730"/>
        <n v="15677"/>
        <m/>
      </sharedItems>
    </cacheField>
    <cacheField name="Average Watch Time (mins)" numFmtId="0">
      <sharedItems containsString="0" containsBlank="1" containsNumber="1" containsInteger="1" minValue="24" maxValue="134"/>
    </cacheField>
    <cacheField name="Peak Viewership Time" numFmtId="0">
      <sharedItems containsNonDate="0" containsDate="1" containsString="0" containsBlank="1" minDate="1899-12-30T00:07:00" maxDate="1899-12-30T23:57:00" count="427">
        <d v="1899-12-30T10:17:00"/>
        <d v="1899-12-30T15:25:00"/>
        <d v="1899-12-30T08:50:00"/>
        <d v="1899-12-30T14:57:00"/>
        <d v="1899-12-30T03:40:00"/>
        <d v="1899-12-30T14:48:00"/>
        <d v="1899-12-30T22:09:00"/>
        <d v="1899-12-30T08:44:00"/>
        <d v="1899-12-30T00:37:00"/>
        <d v="1899-12-30T14:10:00"/>
        <d v="1899-12-30T19:35:00"/>
        <d v="1899-12-30T11:43:00"/>
        <d v="1899-12-30T02:50:00"/>
        <d v="1899-12-30T16:43:00"/>
        <d v="1899-12-30T06:54:00"/>
        <d v="1899-12-30T01:29:00"/>
        <d v="1899-12-30T09:54:00"/>
        <d v="1899-12-30T14:53:00"/>
        <d v="1899-12-30T00:24:00"/>
        <d v="1899-12-30T18:21:00"/>
        <d v="1899-12-30T12:48:00"/>
        <d v="1899-12-30T01:22:00"/>
        <d v="1899-12-30T02:47:00"/>
        <d v="1899-12-30T01:45:00"/>
        <d v="1899-12-30T01:32:00"/>
        <d v="1899-12-30T02:35:00"/>
        <d v="1899-12-30T06:51:00"/>
        <d v="1899-12-30T11:44:00"/>
        <d v="1899-12-30T04:36:00"/>
        <d v="1899-12-30T18:22:00"/>
        <d v="1899-12-30T18:53:00"/>
        <d v="1899-12-30T20:19:00"/>
        <d v="1899-12-30T10:21:00"/>
        <d v="1899-12-30T11:03:00"/>
        <d v="1899-12-30T23:36:00"/>
        <d v="1899-12-30T09:31:00"/>
        <d v="1899-12-30T02:38:00"/>
        <d v="1899-12-30T22:06:00"/>
        <d v="1899-12-30T05:52:00"/>
        <d v="1899-12-30T02:15:00"/>
        <d v="1899-12-30T13:40:00"/>
        <d v="1899-12-30T20:37:00"/>
        <d v="1899-12-30T02:13:00"/>
        <d v="1899-12-30T04:54:00"/>
        <d v="1899-12-30T15:15:00"/>
        <d v="1899-12-30T11:20:00"/>
        <d v="1899-12-30T18:58:00"/>
        <d v="1899-12-30T01:28:00"/>
        <d v="1899-12-30T18:57:00"/>
        <d v="1899-12-30T23:56:00"/>
        <d v="1899-12-30T11:50:00"/>
        <d v="1899-12-30T12:41:00"/>
        <d v="1899-12-30T08:25:00"/>
        <d v="1899-12-30T16:45:00"/>
        <d v="1899-12-30T05:23:00"/>
        <d v="1899-12-30T14:04:00"/>
        <d v="1899-12-30T07:15:00"/>
        <d v="1899-12-30T01:06:00"/>
        <d v="1899-12-30T02:16:00"/>
        <d v="1899-12-30T23:48:00"/>
        <d v="1899-12-30T22:51:00"/>
        <d v="1899-12-30T00:45:00"/>
        <d v="1899-12-30T21:32:00"/>
        <d v="1899-12-30T02:27:00"/>
        <d v="1899-12-30T02:28:00"/>
        <d v="1899-12-30T22:19:00"/>
        <d v="1899-12-30T07:33:00"/>
        <d v="1899-12-30T22:31:00"/>
        <d v="1899-12-30T15:28:00"/>
        <d v="1899-12-30T10:23:00"/>
        <d v="1899-12-30T23:28:00"/>
        <d v="1899-12-30T09:26:00"/>
        <d v="1899-12-30T05:51:00"/>
        <d v="1899-12-30T21:29:00"/>
        <d v="1899-12-30T07:27:00"/>
        <d v="1899-12-30T06:56:00"/>
        <d v="1899-12-30T23:10:00"/>
        <d v="1899-12-30T18:48:00"/>
        <d v="1899-12-30T02:58:00"/>
        <d v="1899-12-30T21:17:00"/>
        <d v="1899-12-30T12:16:00"/>
        <d v="1899-12-30T10:08:00"/>
        <d v="1899-12-30T19:08:00"/>
        <d v="1899-12-30T17:47:00"/>
        <d v="1899-12-30T20:30:00"/>
        <d v="1899-12-30T12:46:00"/>
        <d v="1899-12-30T18:27:00"/>
        <d v="1899-12-30T07:05:00"/>
        <d v="1899-12-30T18:25:00"/>
        <d v="1899-12-30T03:58:00"/>
        <d v="1899-12-30T08:26:00"/>
        <d v="1899-12-30T20:39:00"/>
        <d v="1899-12-30T21:47:00"/>
        <d v="1899-12-30T10:42:00"/>
        <d v="1899-12-30T02:23:00"/>
        <d v="1899-12-30T10:22:00"/>
        <d v="1899-12-30T20:04:00"/>
        <d v="1899-12-30T16:39:00"/>
        <d v="1899-12-30T04:43:00"/>
        <d v="1899-12-30T16:34:00"/>
        <d v="1899-12-30T16:53:00"/>
        <d v="1899-12-30T02:02:00"/>
        <d v="1899-12-30T19:46:00"/>
        <d v="1899-12-30T08:59:00"/>
        <d v="1899-12-30T23:45:00"/>
        <d v="1899-12-30T02:52:00"/>
        <d v="1899-12-30T08:27:00"/>
        <d v="1899-12-30T15:19:00"/>
        <d v="1899-12-30T22:41:00"/>
        <d v="1899-12-30T13:08:00"/>
        <d v="1899-12-30T01:58:00"/>
        <d v="1899-12-30T03:07:00"/>
        <d v="1899-12-30T08:56:00"/>
        <d v="1899-12-30T23:15:00"/>
        <d v="1899-12-30T23:29:00"/>
        <d v="1899-12-30T11:29:00"/>
        <d v="1899-12-30T21:26:00"/>
        <d v="1899-12-30T17:30:00"/>
        <d v="1899-12-30T04:45:00"/>
        <d v="1899-12-30T04:00:00"/>
        <d v="1899-12-30T02:32:00"/>
        <d v="1899-12-30T08:45:00"/>
        <d v="1899-12-30T12:17:00"/>
        <d v="1899-12-30T03:14:00"/>
        <d v="1899-12-30T22:15:00"/>
        <d v="1899-12-30T20:09:00"/>
        <d v="1899-12-30T16:52:00"/>
        <d v="1899-12-30T09:09:00"/>
        <d v="1899-12-30T00:33:00"/>
        <d v="1899-12-30T19:39:00"/>
        <d v="1899-12-30T16:36:00"/>
        <d v="1899-12-30T09:46:00"/>
        <d v="1899-12-30T05:01:00"/>
        <d v="1899-12-30T13:30:00"/>
        <d v="1899-12-30T18:38:00"/>
        <d v="1899-12-30T21:25:00"/>
        <d v="1899-12-30T03:27:00"/>
        <d v="1899-12-30T03:26:00"/>
        <d v="1899-12-30T12:19:00"/>
        <d v="1899-12-30T21:03:00"/>
        <d v="1899-12-30T15:43:00"/>
        <d v="1899-12-30T13:26:00"/>
        <d v="1899-12-30T10:03:00"/>
        <d v="1899-12-30T02:04:00"/>
        <d v="1899-12-30T07:06:00"/>
        <d v="1899-12-30T17:03:00"/>
        <d v="1899-12-30T18:37:00"/>
        <d v="1899-12-30T02:39:00"/>
        <d v="1899-12-30T19:43:00"/>
        <d v="1899-12-30T21:46:00"/>
        <d v="1899-12-30T23:01:00"/>
        <d v="1899-12-30T23:06:00"/>
        <d v="1899-12-30T16:13:00"/>
        <d v="1899-12-30T08:12:00"/>
        <d v="1899-12-30T01:18:00"/>
        <d v="1899-12-30T14:13:00"/>
        <d v="1899-12-30T08:19:00"/>
        <d v="1899-12-30T00:07:00"/>
        <d v="1899-12-30T03:51:00"/>
        <d v="1899-12-30T19:02:00"/>
        <d v="1899-12-30T03:01:00"/>
        <d v="1899-12-30T21:34:00"/>
        <d v="1899-12-30T02:29:00"/>
        <d v="1899-12-30T02:06:00"/>
        <d v="1899-12-30T15:04:00"/>
        <d v="1899-12-30T01:34:00"/>
        <d v="1899-12-30T02:57:00"/>
        <d v="1899-12-30T21:12:00"/>
        <d v="1899-12-30T08:38:00"/>
        <d v="1899-12-30T20:24:00"/>
        <d v="1899-12-30T19:13:00"/>
        <d v="1899-12-30T18:13:00"/>
        <d v="1899-12-30T15:13:00"/>
        <d v="1899-12-30T08:18:00"/>
        <d v="1899-12-30T22:58:00"/>
        <d v="1899-12-30T12:36:00"/>
        <d v="1899-12-30T06:57:00"/>
        <d v="1899-12-30T17:13:00"/>
        <d v="1899-12-30T14:37:00"/>
        <d v="1899-12-30T04:16:00"/>
        <d v="1899-12-30T13:01:00"/>
        <d v="1899-12-30T15:16:00"/>
        <d v="1899-12-30T21:54:00"/>
        <d v="1899-12-30T00:56:00"/>
        <d v="1899-12-30T23:17:00"/>
        <d v="1899-12-30T21:01:00"/>
        <d v="1899-12-30T19:47:00"/>
        <d v="1899-12-30T05:54:00"/>
        <d v="1899-12-30T12:40:00"/>
        <d v="1899-12-30T03:52:00"/>
        <d v="1899-12-30T01:24:00"/>
        <d v="1899-12-30T05:15:00"/>
        <d v="1899-12-30T05:29:00"/>
        <d v="1899-12-30T18:50:00"/>
        <d v="1899-12-30T09:04:00"/>
        <d v="1899-12-30T00:09:00"/>
        <d v="1899-12-30T21:41:00"/>
        <d v="1899-12-30T07:56:00"/>
        <d v="1899-12-30T16:42:00"/>
        <d v="1899-12-30T09:48:00"/>
        <d v="1899-12-30T10:24:00"/>
        <d v="1899-12-30T02:44:00"/>
        <d v="1899-12-30T13:10:00"/>
        <d v="1899-12-30T19:26:00"/>
        <d v="1899-12-30T17:28:00"/>
        <d v="1899-12-30T20:47:00"/>
        <d v="1899-12-30T20:48:00"/>
        <d v="1899-12-30T17:31:00"/>
        <d v="1899-12-30T01:03:00"/>
        <d v="1899-12-30T13:03:00"/>
        <d v="1899-12-30T03:42:00"/>
        <d v="1899-12-30T07:17:00"/>
        <d v="1899-12-30T18:12:00"/>
        <d v="1899-12-30T11:17:00"/>
        <d v="1899-12-30T07:35:00"/>
        <d v="1899-12-30T08:16:00"/>
        <d v="1899-12-30T12:05:00"/>
        <d v="1899-12-30T15:53:00"/>
        <d v="1899-12-30T08:31:00"/>
        <d v="1899-12-30T11:55:00"/>
        <d v="1899-12-30T01:30:00"/>
        <d v="1899-12-30T01:25:00"/>
        <d v="1899-12-30T02:36:00"/>
        <d v="1899-12-30T00:18:00"/>
        <d v="1899-12-30T09:44:00"/>
        <d v="1899-12-30T09:34:00"/>
        <d v="1899-12-30T13:25:00"/>
        <d v="1899-12-30T01:35:00"/>
        <d v="1899-12-30T01:31:00"/>
        <d v="1899-12-30T01:51:00"/>
        <d v="1899-12-30T08:22:00"/>
        <d v="1899-12-30T15:11:00"/>
        <d v="1899-12-30T05:45:00"/>
        <d v="1899-12-30T23:57:00"/>
        <d v="1899-12-30T03:31:00"/>
        <d v="1899-12-30T04:31:00"/>
        <d v="1899-12-30T05:55:00"/>
        <d v="1899-12-30T19:30:00"/>
        <d v="1899-12-30T06:10:00"/>
        <d v="1899-12-30T18:09:00"/>
        <d v="1899-12-30T04:42:00"/>
        <d v="1899-12-30T07:03:00"/>
        <d v="1899-12-30T03:18:00"/>
        <d v="1899-12-30T03:47:00"/>
        <d v="1899-12-30T05:50:00"/>
        <d v="1899-12-30T17:39:00"/>
        <d v="1899-12-30T11:22:00"/>
        <d v="1899-12-30T11:59:00"/>
        <d v="1899-12-30T01:17:00"/>
        <d v="1899-12-30T19:58:00"/>
        <d v="1899-12-30T05:11:00"/>
        <d v="1899-12-30T07:36:00"/>
        <d v="1899-12-30T15:39:00"/>
        <d v="1899-12-30T21:19:00"/>
        <d v="1899-12-30T10:28:00"/>
        <d v="1899-12-30T14:23:00"/>
        <d v="1899-12-30T18:44:00"/>
        <d v="1899-12-30T02:59:00"/>
        <d v="1899-12-30T22:34:00"/>
        <d v="1899-12-30T04:33:00"/>
        <d v="1899-12-30T13:17:00"/>
        <d v="1899-12-30T03:13:00"/>
        <d v="1899-12-30T11:38:00"/>
        <d v="1899-12-30T19:19:00"/>
        <d v="1899-12-30T06:39:00"/>
        <d v="1899-12-30T16:33:00"/>
        <d v="1899-12-30T18:28:00"/>
        <d v="1899-12-30T23:21:00"/>
        <d v="1899-12-30T18:47:00"/>
        <d v="1899-12-30T03:30:00"/>
        <d v="1899-12-30T16:00:00"/>
        <d v="1899-12-30T17:41:00"/>
        <d v="1899-12-30T19:10:00"/>
        <d v="1899-12-30T13:52:00"/>
        <d v="1899-12-30T12:56:00"/>
        <d v="1899-12-30T03:59:00"/>
        <d v="1899-12-30T05:04:00"/>
        <d v="1899-12-30T14:55:00"/>
        <d v="1899-12-30T21:07:00"/>
        <d v="1899-12-30T04:38:00"/>
        <d v="1899-12-30T18:39:00"/>
        <d v="1899-12-30T17:46:00"/>
        <d v="1899-12-30T13:47:00"/>
        <d v="1899-12-30T06:24:00"/>
        <d v="1899-12-30T11:13:00"/>
        <d v="1899-12-30T15:01:00"/>
        <d v="1899-12-30T02:03:00"/>
        <d v="1899-12-30T12:32:00"/>
        <d v="1899-12-30T19:23:00"/>
        <d v="1899-12-30T11:09:00"/>
        <d v="1899-12-30T04:06:00"/>
        <d v="1899-12-30T21:00:00"/>
        <d v="1899-12-30T10:58:00"/>
        <d v="1899-12-30T13:13:00"/>
        <d v="1899-12-30T05:31:00"/>
        <d v="1899-12-30T17:38:00"/>
        <d v="1899-12-30T14:56:00"/>
        <d v="1899-12-30T04:20:00"/>
        <d v="1899-12-30T16:18:00"/>
        <d v="1899-12-30T00:42:00"/>
        <d v="1899-12-30T03:11:00"/>
        <d v="1899-12-30T23:38:00"/>
        <d v="1899-12-30T01:59:00"/>
        <d v="1899-12-30T12:30:00"/>
        <d v="1899-12-30T07:02:00"/>
        <d v="1899-12-30T11:32:00"/>
        <d v="1899-12-30T17:23:00"/>
        <d v="1899-12-30T16:54:00"/>
        <d v="1899-12-30T03:00:00"/>
        <d v="1899-12-30T14:31:00"/>
        <d v="1899-12-30T16:09:00"/>
        <d v="1899-12-30T19:53:00"/>
        <d v="1899-12-30T02:46:00"/>
        <d v="1899-12-30T04:15:00"/>
        <d v="1899-12-30T05:25:00"/>
        <d v="1899-12-30T14:28:00"/>
        <d v="1899-12-30T18:01:00"/>
        <d v="1899-12-30T12:57:00"/>
        <d v="1899-12-30T08:28:00"/>
        <d v="1899-12-30T10:02:00"/>
        <d v="1899-12-30T05:46:00"/>
        <d v="1899-12-30T08:35:00"/>
        <d v="1899-12-30T06:19:00"/>
        <d v="1899-12-30T02:25:00"/>
        <d v="1899-12-30T13:48:00"/>
        <d v="1899-12-30T12:24:00"/>
        <d v="1899-12-30T15:34:00"/>
        <d v="1899-12-30T11:49:00"/>
        <d v="1899-12-30T10:30:00"/>
        <d v="1899-12-30T00:19:00"/>
        <d v="1899-12-30T09:56:00"/>
        <d v="1899-12-30T14:35:00"/>
        <d v="1899-12-30T11:23:00"/>
        <d v="1899-12-30T22:44:00"/>
        <d v="1899-12-30T15:45:00"/>
        <d v="1899-12-30T21:39:00"/>
        <d v="1899-12-30T20:58:00"/>
        <d v="1899-12-30T07:09:00"/>
        <d v="1899-12-30T18:51:00"/>
        <d v="1899-12-30T02:19:00"/>
        <d v="1899-12-30T17:25:00"/>
        <d v="1899-12-30T01:15:00"/>
        <d v="1899-12-30T02:31:00"/>
        <d v="1899-12-30T17:08:00"/>
        <d v="1899-12-30T05:00:00"/>
        <d v="1899-12-30T10:26:00"/>
        <d v="1899-12-30T08:20:00"/>
        <d v="1899-12-30T00:16:00"/>
        <d v="1899-12-30T10:33:00"/>
        <d v="1899-12-30T04:11:00"/>
        <d v="1899-12-30T18:03:00"/>
        <d v="1899-12-30T00:44:00"/>
        <d v="1899-12-30T20:18:00"/>
        <d v="1899-12-30T04:01:00"/>
        <d v="1899-12-30T05:48:00"/>
        <d v="1899-12-30T22:23:00"/>
        <d v="1899-12-30T22:28:00"/>
        <d v="1899-12-30T22:36:00"/>
        <d v="1899-12-30T10:38:00"/>
        <d v="1899-12-30T20:51:00"/>
        <d v="1899-12-30T03:43:00"/>
        <d v="1899-12-30T15:29:00"/>
        <d v="1899-12-30T05:17:00"/>
        <d v="1899-12-30T01:09:00"/>
        <d v="1899-12-30T18:45:00"/>
        <d v="1899-12-30T03:49:00"/>
        <d v="1899-12-30T12:08:00"/>
        <d v="1899-12-30T00:27:00"/>
        <d v="1899-12-30T04:56:00"/>
        <d v="1899-12-30T08:00:00"/>
        <d v="1899-12-30T10:43:00"/>
        <d v="1899-12-30T17:37:00"/>
        <d v="1899-12-30T05:43:00"/>
        <d v="1899-12-30T13:16:00"/>
        <d v="1899-12-30T08:42:00"/>
        <d v="1899-12-30T23:03:00"/>
        <d v="1899-12-30T04:10:00"/>
        <d v="1899-12-30T00:30:00"/>
        <d v="1899-12-30T16:48:00"/>
        <d v="1899-12-30T10:44:00"/>
        <d v="1899-12-30T01:43:00"/>
        <d v="1899-12-30T14:36:00"/>
        <d v="1899-12-30T20:44:00"/>
        <d v="1899-12-30T02:53:00"/>
        <d v="1899-12-30T10:36:00"/>
        <d v="1899-12-30T10:10:00"/>
        <d v="1899-12-30T03:05:00"/>
        <d v="1899-12-30T19:07:00"/>
        <d v="1899-12-30T14:45:00"/>
        <d v="1899-12-30T05:34:00"/>
        <d v="1899-12-30T14:24:00"/>
        <d v="1899-12-30T18:11:00"/>
        <d v="1899-12-30T00:36:00"/>
        <d v="1899-12-30T00:08:00"/>
        <d v="1899-12-30T01:54:00"/>
        <d v="1899-12-30T14:43:00"/>
        <d v="1899-12-30T11:47:00"/>
        <d v="1899-12-30T00:50:00"/>
        <d v="1899-12-30T05:03:00"/>
        <d v="1899-12-30T09:18:00"/>
        <d v="1899-12-30T13:12:00"/>
        <d v="1899-12-30T15:44:00"/>
        <d v="1899-12-30T10:09:00"/>
        <d v="1899-12-30T17:35:00"/>
        <d v="1899-12-30T09:41:00"/>
        <d v="1899-12-30T20:14:00"/>
        <d v="1899-12-30T06:18:00"/>
        <d v="1899-12-30T01:21:00"/>
        <d v="1899-12-30T22:40:00"/>
        <d v="1899-12-30T07:31:00"/>
        <d v="1899-12-30T08:46:00"/>
        <d v="1899-12-30T11:10:00"/>
        <d v="1899-12-30T12:11:00"/>
        <d v="1899-12-30T16:50:00"/>
        <d v="1899-12-30T10:59:00"/>
        <d v="1899-12-30T15:30:00"/>
        <d v="1899-12-30T20:57:00"/>
        <d v="1899-12-30T01:13:00"/>
        <d v="1899-12-30T01:04:00"/>
        <d v="1899-12-30T06:20:00"/>
        <d v="1899-12-30T06:32:00"/>
        <d v="1899-12-30T04:05:00"/>
        <d v="1899-12-30T10:05:00"/>
        <d v="1899-12-30T03:22:00"/>
        <d v="1899-12-30T03:28:00"/>
        <d v="1899-12-30T09:00:00"/>
        <m/>
      </sharedItems>
    </cacheField>
    <cacheField name="Peak Viewership Day" numFmtId="0">
      <sharedItems containsBlank="1"/>
    </cacheField>
    <cacheField name="Viewer Age" numFmtId="0">
      <sharedItems containsBlank="1"/>
    </cacheField>
    <cacheField name="Viewer Gender" numFmtId="0">
      <sharedItems containsBlank="1" count="3">
        <s v="Male"/>
        <s v="Female"/>
        <m/>
      </sharedItems>
    </cacheField>
    <cacheField name="Viewer Location" numFmtId="0">
      <sharedItems containsBlank="1"/>
    </cacheField>
    <cacheField name="Likes" numFmtId="0">
      <sharedItems containsString="0" containsBlank="1" containsNumber="1" containsInteger="1" minValue="17" maxValue="2996"/>
    </cacheField>
    <cacheField name="Shares" numFmtId="0">
      <sharedItems containsString="0" containsBlank="1" containsNumber="1" containsInteger="1" minValue="4" maxValue="1999"/>
    </cacheField>
    <cacheField name="Comments" numFmtId="0">
      <sharedItems containsString="0" containsBlank="1" containsNumber="1" containsInteger="1" minValue="2" maxValue="1499"/>
    </cacheField>
    <cacheField name="User Ratings" numFmtId="0">
      <sharedItems containsString="0" containsBlank="1" containsNumber="1" minValue="1" maxValue="5" count="42">
        <n v="1.7"/>
        <n v="1.1000000000000001"/>
        <n v="3"/>
        <n v="1"/>
        <n v="4.3"/>
        <n v="2"/>
        <n v="4.9000000000000004"/>
        <n v="3.2"/>
        <n v="1.3"/>
        <n v="2.1"/>
        <n v="4.8"/>
        <n v="2.2999999999999998"/>
        <n v="2.9"/>
        <n v="3.1"/>
        <n v="3.5"/>
        <n v="5"/>
        <n v="3.7"/>
        <n v="4.0999999999999996"/>
        <n v="2.6"/>
        <n v="4.5999999999999996"/>
        <n v="2.2000000000000002"/>
        <n v="1.2"/>
        <n v="3.4"/>
        <n v="2.5"/>
        <n v="1.6"/>
        <n v="2.8"/>
        <n v="4.5"/>
        <n v="4.2"/>
        <n v="3.8"/>
        <n v="2.7"/>
        <n v="1.8"/>
        <n v="3.6"/>
        <n v="1.9"/>
        <n v="3.3"/>
        <n v="4.4000000000000004"/>
        <n v="3.9"/>
        <n v="4.7"/>
        <n v="2.4"/>
        <n v="1.4"/>
        <n v="4"/>
        <n v="1.5"/>
        <m/>
      </sharedItems>
    </cacheField>
    <cacheField name="Seasonality" numFmtId="0">
      <sharedItems containsBlank="1"/>
    </cacheField>
    <cacheField name="Content Popularity" numFmtId="0">
      <sharedItems containsBlank="1"/>
    </cacheField>
    <cacheField name="Competitor Content" numFmtId="0">
      <sharedItems containsBlank="1"/>
    </cacheField>
    <cacheField name="Promotion Data" numFmtId="0">
      <sharedItems containsBlank="1"/>
    </cacheField>
    <cacheField name="Subscription Data" numFmtId="0">
      <sharedItems containsString="0" containsBlank="1" containsNumber="1" containsInteger="1" minValue="16" maxValue="19982"/>
    </cacheField>
    <cacheField name="Minutes (Time of Day)" numFmtId="0" databaseField="0">
      <fieldGroup base="4">
        <rangePr groupBy="minutes" startDate="1899-12-30T00:01:00" endDate="1899-12-30T23:57: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of Day)" numFmtId="0" databaseField="0">
      <fieldGroup base="4">
        <rangePr groupBy="hours" startDate="1899-12-30T00:01:00" endDate="1899-12-30T23:57: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20075751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1"/>
    <x v="0"/>
    <x v="0"/>
    <x v="0"/>
    <x v="0"/>
    <x v="0"/>
    <x v="0"/>
    <x v="0"/>
    <n v="72"/>
    <x v="0"/>
    <s v="Friday"/>
    <s v="45-54"/>
    <x v="0"/>
    <s v="Germany"/>
    <n v="299"/>
    <n v="1746"/>
    <n v="589"/>
    <x v="0"/>
    <s v="Fall"/>
    <s v="Low"/>
    <s v="Similar Doc C"/>
    <s v="Social Media"/>
    <n v="8883"/>
  </r>
  <r>
    <n v="2"/>
    <x v="1"/>
    <x v="1"/>
    <x v="1"/>
    <x v="1"/>
    <x v="1"/>
    <x v="1"/>
    <x v="1"/>
    <n v="115"/>
    <x v="1"/>
    <s v="Saturday"/>
    <s v="18-24"/>
    <x v="1"/>
    <s v="Australia"/>
    <n v="1615"/>
    <n v="36"/>
    <n v="127"/>
    <x v="1"/>
    <s v="Spring"/>
    <s v="Low"/>
    <s v="Similar Series B"/>
    <s v="Print Media"/>
    <n v="3850"/>
  </r>
  <r>
    <n v="3"/>
    <x v="0"/>
    <x v="2"/>
    <x v="2"/>
    <x v="2"/>
    <x v="1"/>
    <x v="2"/>
    <x v="2"/>
    <n v="43"/>
    <x v="2"/>
    <s v="Sunday"/>
    <s v="18-24"/>
    <x v="1"/>
    <s v="Australia"/>
    <n v="1502"/>
    <n v="837"/>
    <n v="1084"/>
    <x v="2"/>
    <s v="Fall"/>
    <s v="Medium"/>
    <s v="Similar Thriller H"/>
    <s v="Email Campaign"/>
    <n v="7835"/>
  </r>
  <r>
    <n v="4"/>
    <x v="1"/>
    <x v="3"/>
    <x v="3"/>
    <x v="3"/>
    <x v="1"/>
    <x v="3"/>
    <x v="3"/>
    <n v="87"/>
    <x v="3"/>
    <s v="Friday"/>
    <s v="35-44"/>
    <x v="0"/>
    <s v="USA"/>
    <n v="2148"/>
    <n v="1743"/>
    <n v="563"/>
    <x v="3"/>
    <s v="Winter"/>
    <s v="Medium"/>
    <s v="Similar History G"/>
    <s v="Online Ads"/>
    <n v="17506"/>
  </r>
  <r>
    <n v="5"/>
    <x v="2"/>
    <x v="4"/>
    <x v="4"/>
    <x v="4"/>
    <x v="2"/>
    <x v="4"/>
    <x v="4"/>
    <n v="42"/>
    <x v="4"/>
    <s v="Saturday"/>
    <s v="25-34"/>
    <x v="1"/>
    <s v="Germany"/>
    <n v="431"/>
    <n v="863"/>
    <n v="1035"/>
    <x v="4"/>
    <s v="Winter"/>
    <s v="Low"/>
    <s v="Similar Movie A"/>
    <s v="30% off"/>
    <n v="8675"/>
  </r>
  <r>
    <n v="6"/>
    <x v="0"/>
    <x v="1"/>
    <x v="5"/>
    <x v="5"/>
    <x v="1"/>
    <x v="5"/>
    <x v="5"/>
    <n v="56"/>
    <x v="5"/>
    <s v="Saturday"/>
    <s v="18-24"/>
    <x v="1"/>
    <s v="Australia"/>
    <n v="106"/>
    <n v="1416"/>
    <n v="421"/>
    <x v="5"/>
    <s v="Fall"/>
    <s v="Low"/>
    <s v="Similar Thriller H"/>
    <s v="Online Ads"/>
    <n v="1514"/>
  </r>
  <r>
    <n v="7"/>
    <x v="0"/>
    <x v="0"/>
    <x v="6"/>
    <x v="6"/>
    <x v="2"/>
    <x v="6"/>
    <x v="6"/>
    <n v="68"/>
    <x v="6"/>
    <s v="Sunday"/>
    <s v="25-34"/>
    <x v="0"/>
    <s v="France"/>
    <n v="2560"/>
    <n v="459"/>
    <n v="1414"/>
    <x v="6"/>
    <s v="Summer"/>
    <s v="Medium"/>
    <s v="Similar Doc C"/>
    <s v="Email Campaign"/>
    <n v="172"/>
  </r>
  <r>
    <n v="9"/>
    <x v="1"/>
    <x v="5"/>
    <x v="7"/>
    <x v="7"/>
    <x v="3"/>
    <x v="7"/>
    <x v="7"/>
    <n v="114"/>
    <x v="7"/>
    <s v="Friday"/>
    <s v="45-54"/>
    <x v="0"/>
    <s v="Italy"/>
    <n v="2260"/>
    <n v="1994"/>
    <n v="1035"/>
    <x v="1"/>
    <s v="Summer"/>
    <s v="Low"/>
    <s v="Similar Sci-Fi E"/>
    <s v="Email Campaign"/>
    <n v="3132"/>
  </r>
  <r>
    <n v="10"/>
    <x v="1"/>
    <x v="4"/>
    <x v="8"/>
    <x v="8"/>
    <x v="4"/>
    <x v="8"/>
    <x v="8"/>
    <n v="118"/>
    <x v="8"/>
    <s v="Saturday"/>
    <s v="45-54"/>
    <x v="0"/>
    <s v="Australia"/>
    <n v="17"/>
    <n v="1770"/>
    <n v="1226"/>
    <x v="7"/>
    <s v="Spring"/>
    <s v="Low"/>
    <s v="Similar Doc C"/>
    <s v="TV Ads"/>
    <n v="16655"/>
  </r>
  <r>
    <n v="11"/>
    <x v="1"/>
    <x v="4"/>
    <x v="9"/>
    <x v="9"/>
    <x v="5"/>
    <x v="9"/>
    <x v="9"/>
    <n v="74"/>
    <x v="9"/>
    <s v="Sunday"/>
    <s v="18-24"/>
    <x v="1"/>
    <s v="UK"/>
    <n v="103"/>
    <n v="1449"/>
    <n v="711"/>
    <x v="8"/>
    <s v="Summer"/>
    <s v="Low"/>
    <s v="Similar Thriller H"/>
    <s v="Email Campaign"/>
    <n v="2664"/>
  </r>
  <r>
    <n v="12"/>
    <x v="0"/>
    <x v="5"/>
    <x v="10"/>
    <x v="10"/>
    <x v="3"/>
    <x v="10"/>
    <x v="10"/>
    <n v="41"/>
    <x v="10"/>
    <s v="Friday"/>
    <s v="45-54"/>
    <x v="1"/>
    <s v="France"/>
    <n v="1122"/>
    <n v="322"/>
    <n v="696"/>
    <x v="5"/>
    <s v="Winter"/>
    <s v="High"/>
    <s v="Similar Doc C"/>
    <s v="TV Ads"/>
    <n v="5411"/>
  </r>
  <r>
    <n v="13"/>
    <x v="0"/>
    <x v="2"/>
    <x v="11"/>
    <x v="11"/>
    <x v="1"/>
    <x v="11"/>
    <x v="11"/>
    <n v="58"/>
    <x v="11"/>
    <s v="Saturday"/>
    <s v="18-24"/>
    <x v="0"/>
    <s v="UK"/>
    <n v="2544"/>
    <n v="1746"/>
    <n v="104"/>
    <x v="9"/>
    <s v="Summer"/>
    <s v="High"/>
    <s v="Similar Action D"/>
    <s v="Email Campaign"/>
    <n v="13857"/>
  </r>
  <r>
    <n v="14"/>
    <x v="2"/>
    <x v="1"/>
    <x v="12"/>
    <x v="12"/>
    <x v="4"/>
    <x v="12"/>
    <x v="12"/>
    <n v="27"/>
    <x v="12"/>
    <s v="Saturday"/>
    <s v="25-34"/>
    <x v="0"/>
    <s v="Canada"/>
    <n v="151"/>
    <n v="1422"/>
    <n v="744"/>
    <x v="10"/>
    <s v="Summer"/>
    <s v="High"/>
    <s v="Similar Series B"/>
    <s v="30% off"/>
    <n v="16500"/>
  </r>
  <r>
    <n v="15"/>
    <x v="2"/>
    <x v="6"/>
    <x v="13"/>
    <x v="13"/>
    <x v="0"/>
    <x v="13"/>
    <x v="13"/>
    <n v="67"/>
    <x v="13"/>
    <s v="Sunday"/>
    <s v="25-34"/>
    <x v="0"/>
    <s v="UK"/>
    <n v="230"/>
    <n v="711"/>
    <n v="950"/>
    <x v="11"/>
    <s v="Summer"/>
    <s v="Medium"/>
    <s v="Similar Doc C"/>
    <s v="30% off"/>
    <n v="15807"/>
  </r>
  <r>
    <n v="16"/>
    <x v="1"/>
    <x v="2"/>
    <x v="14"/>
    <x v="14"/>
    <x v="3"/>
    <x v="14"/>
    <x v="14"/>
    <n v="64"/>
    <x v="14"/>
    <s v="Tuesday"/>
    <s v="18-24"/>
    <x v="0"/>
    <s v="UK"/>
    <n v="199"/>
    <n v="1879"/>
    <n v="569"/>
    <x v="3"/>
    <s v="Winter"/>
    <s v="High"/>
    <s v="Similar Thriller H"/>
    <s v="Email Campaign"/>
    <n v="18176"/>
  </r>
  <r>
    <n v="17"/>
    <x v="1"/>
    <x v="5"/>
    <x v="13"/>
    <x v="15"/>
    <x v="6"/>
    <x v="15"/>
    <x v="15"/>
    <n v="80"/>
    <x v="15"/>
    <s v="Friday"/>
    <s v="45-54"/>
    <x v="1"/>
    <s v="Germany"/>
    <n v="844"/>
    <n v="1234"/>
    <n v="558"/>
    <x v="12"/>
    <s v="Spring"/>
    <s v="Medium"/>
    <s v="Similar Romance F"/>
    <s v="Print Media"/>
    <n v="7341"/>
  </r>
  <r>
    <n v="18"/>
    <x v="1"/>
    <x v="7"/>
    <x v="15"/>
    <x v="16"/>
    <x v="1"/>
    <x v="16"/>
    <x v="16"/>
    <n v="129"/>
    <x v="16"/>
    <s v="Saturday"/>
    <s v="45-54"/>
    <x v="0"/>
    <s v="Germany"/>
    <n v="2670"/>
    <n v="345"/>
    <n v="771"/>
    <x v="3"/>
    <s v="Winter"/>
    <s v="Medium"/>
    <s v="Similar Romance F"/>
    <s v="Online Ads"/>
    <n v="11849"/>
  </r>
  <r>
    <n v="19"/>
    <x v="0"/>
    <x v="5"/>
    <x v="16"/>
    <x v="17"/>
    <x v="2"/>
    <x v="17"/>
    <x v="17"/>
    <n v="64"/>
    <x v="17"/>
    <s v="Sunday"/>
    <s v="45-54"/>
    <x v="1"/>
    <s v="USA"/>
    <n v="2051"/>
    <n v="164"/>
    <n v="387"/>
    <x v="13"/>
    <s v="Fall"/>
    <s v="Low"/>
    <s v="Similar Series B"/>
    <s v="Online Ads"/>
    <n v="12813"/>
  </r>
  <r>
    <n v="20"/>
    <x v="0"/>
    <x v="3"/>
    <x v="17"/>
    <x v="18"/>
    <x v="6"/>
    <x v="18"/>
    <x v="18"/>
    <n v="86"/>
    <x v="18"/>
    <s v="Friday"/>
    <s v="45-54"/>
    <x v="0"/>
    <s v="Australia"/>
    <n v="1360"/>
    <n v="1823"/>
    <n v="1402"/>
    <x v="14"/>
    <s v="Fall"/>
    <s v="Low"/>
    <s v="Similar Movie A"/>
    <s v="Online Ads"/>
    <n v="9615"/>
  </r>
  <r>
    <n v="21"/>
    <x v="1"/>
    <x v="7"/>
    <x v="18"/>
    <x v="19"/>
    <x v="0"/>
    <x v="19"/>
    <x v="19"/>
    <n v="84"/>
    <x v="19"/>
    <s v="Saturday"/>
    <s v="45-54"/>
    <x v="1"/>
    <s v="France"/>
    <n v="2526"/>
    <n v="1050"/>
    <n v="802"/>
    <x v="8"/>
    <s v="Fall"/>
    <s v="Medium"/>
    <s v="Similar Sci-Fi E"/>
    <s v="30% off"/>
    <n v="8633"/>
  </r>
  <r>
    <n v="22"/>
    <x v="0"/>
    <x v="0"/>
    <x v="9"/>
    <x v="20"/>
    <x v="3"/>
    <x v="20"/>
    <x v="20"/>
    <n v="34"/>
    <x v="20"/>
    <s v="Sunday"/>
    <s v="45-54"/>
    <x v="1"/>
    <s v="France"/>
    <n v="1465"/>
    <n v="481"/>
    <n v="1336"/>
    <x v="15"/>
    <s v="Summer"/>
    <s v="Medium"/>
    <s v="Similar Thriller H"/>
    <s v="Email Campaign"/>
    <n v="15438"/>
  </r>
  <r>
    <n v="23"/>
    <x v="0"/>
    <x v="0"/>
    <x v="19"/>
    <x v="21"/>
    <x v="4"/>
    <x v="21"/>
    <x v="21"/>
    <n v="49"/>
    <x v="21"/>
    <s v="Friday"/>
    <s v="45-54"/>
    <x v="1"/>
    <s v="Germany"/>
    <n v="612"/>
    <n v="1160"/>
    <n v="362"/>
    <x v="16"/>
    <s v="Spring"/>
    <s v="Medium"/>
    <s v="Similar Doc C"/>
    <s v="Social Media"/>
    <n v="17334"/>
  </r>
  <r>
    <n v="24"/>
    <x v="2"/>
    <x v="5"/>
    <x v="20"/>
    <x v="22"/>
    <x v="2"/>
    <x v="22"/>
    <x v="22"/>
    <n v="40"/>
    <x v="22"/>
    <s v="Saturday"/>
    <s v="45-54"/>
    <x v="1"/>
    <s v="UK"/>
    <n v="87"/>
    <n v="655"/>
    <n v="412"/>
    <x v="17"/>
    <s v="Summer"/>
    <s v="Low"/>
    <s v="Similar Action D"/>
    <s v="TV Ads"/>
    <n v="13537"/>
  </r>
  <r>
    <n v="25"/>
    <x v="1"/>
    <x v="6"/>
    <x v="21"/>
    <x v="23"/>
    <x v="2"/>
    <x v="23"/>
    <x v="23"/>
    <n v="101"/>
    <x v="23"/>
    <s v="Saturday"/>
    <s v="35-44"/>
    <x v="1"/>
    <s v="UK"/>
    <n v="1932"/>
    <n v="796"/>
    <n v="169"/>
    <x v="14"/>
    <s v="Spring"/>
    <s v="Low"/>
    <s v="Similar Doc C"/>
    <s v="TV Ads"/>
    <n v="3202"/>
  </r>
  <r>
    <n v="26"/>
    <x v="0"/>
    <x v="8"/>
    <x v="22"/>
    <x v="24"/>
    <x v="3"/>
    <x v="24"/>
    <x v="24"/>
    <n v="75"/>
    <x v="24"/>
    <s v="Sunday"/>
    <s v="35-44"/>
    <x v="1"/>
    <s v="Germany"/>
    <n v="569"/>
    <n v="1938"/>
    <n v="295"/>
    <x v="18"/>
    <s v="Summer"/>
    <s v="Medium"/>
    <s v="Similar Movie A"/>
    <s v="Social Media"/>
    <n v="9550"/>
  </r>
  <r>
    <n v="27"/>
    <x v="0"/>
    <x v="4"/>
    <x v="23"/>
    <x v="25"/>
    <x v="6"/>
    <x v="25"/>
    <x v="25"/>
    <n v="45"/>
    <x v="25"/>
    <s v="Tuesday"/>
    <s v="45-54"/>
    <x v="1"/>
    <s v="India"/>
    <n v="1758"/>
    <n v="847"/>
    <n v="414"/>
    <x v="9"/>
    <s v="Summer"/>
    <s v="Low"/>
    <s v="Similar Doc C"/>
    <s v="Print Media"/>
    <n v="12589"/>
  </r>
  <r>
    <n v="28"/>
    <x v="0"/>
    <x v="6"/>
    <x v="8"/>
    <x v="26"/>
    <x v="5"/>
    <x v="26"/>
    <x v="26"/>
    <n v="27"/>
    <x v="26"/>
    <s v="Friday"/>
    <s v="45-54"/>
    <x v="1"/>
    <s v="France"/>
    <n v="1747"/>
    <n v="698"/>
    <n v="1318"/>
    <x v="9"/>
    <s v="Summer"/>
    <s v="Low"/>
    <s v="Similar Action D"/>
    <s v="Email Campaign"/>
    <n v="17516"/>
  </r>
  <r>
    <n v="29"/>
    <x v="2"/>
    <x v="6"/>
    <x v="10"/>
    <x v="27"/>
    <x v="0"/>
    <x v="27"/>
    <x v="27"/>
    <n v="39"/>
    <x v="27"/>
    <s v="Saturday"/>
    <s v="35-44"/>
    <x v="1"/>
    <s v="Australia"/>
    <n v="447"/>
    <n v="20"/>
    <n v="87"/>
    <x v="2"/>
    <s v="Summer"/>
    <s v="High"/>
    <s v="Similar Sci-Fi E"/>
    <s v="TV Ads"/>
    <n v="17132"/>
  </r>
  <r>
    <n v="30"/>
    <x v="0"/>
    <x v="8"/>
    <x v="24"/>
    <x v="28"/>
    <x v="0"/>
    <x v="28"/>
    <x v="28"/>
    <n v="130"/>
    <x v="28"/>
    <s v="Sunday"/>
    <s v="35-44"/>
    <x v="0"/>
    <s v="Canada"/>
    <n v="1526"/>
    <n v="1225"/>
    <n v="1229"/>
    <x v="19"/>
    <s v="Fall"/>
    <s v="Low"/>
    <s v="Similar Thriller H"/>
    <s v="Print Media"/>
    <n v="5140"/>
  </r>
  <r>
    <n v="31"/>
    <x v="1"/>
    <x v="1"/>
    <x v="25"/>
    <x v="29"/>
    <x v="0"/>
    <x v="29"/>
    <x v="29"/>
    <n v="90"/>
    <x v="29"/>
    <s v="Friday"/>
    <s v="45-54"/>
    <x v="0"/>
    <s v="Italy"/>
    <n v="242"/>
    <n v="1401"/>
    <n v="419"/>
    <x v="20"/>
    <s v="Fall"/>
    <s v="Low"/>
    <s v="Similar Series B"/>
    <s v="Print Media"/>
    <n v="2287"/>
  </r>
  <r>
    <n v="32"/>
    <x v="2"/>
    <x v="5"/>
    <x v="26"/>
    <x v="30"/>
    <x v="1"/>
    <x v="30"/>
    <x v="30"/>
    <n v="33"/>
    <x v="30"/>
    <s v="Saturday"/>
    <s v="18-24"/>
    <x v="1"/>
    <s v="Australia"/>
    <n v="207"/>
    <n v="89"/>
    <n v="368"/>
    <x v="21"/>
    <s v="Fall"/>
    <s v="High"/>
    <s v="Similar Series B"/>
    <s v="Email Campaign"/>
    <n v="3065"/>
  </r>
  <r>
    <n v="33"/>
    <x v="0"/>
    <x v="6"/>
    <x v="27"/>
    <x v="31"/>
    <x v="1"/>
    <x v="31"/>
    <x v="31"/>
    <n v="64"/>
    <x v="31"/>
    <s v="Saturday"/>
    <s v="18-24"/>
    <x v="1"/>
    <s v="India"/>
    <n v="402"/>
    <n v="734"/>
    <n v="447"/>
    <x v="22"/>
    <s v="Spring"/>
    <s v="High"/>
    <s v="Similar Thriller H"/>
    <s v="Social Media"/>
    <n v="11355"/>
  </r>
  <r>
    <n v="34"/>
    <x v="1"/>
    <x v="3"/>
    <x v="28"/>
    <x v="32"/>
    <x v="2"/>
    <x v="32"/>
    <x v="32"/>
    <n v="73"/>
    <x v="32"/>
    <s v="Sunday"/>
    <s v="45-54"/>
    <x v="1"/>
    <s v="Italy"/>
    <n v="2850"/>
    <n v="582"/>
    <n v="1469"/>
    <x v="23"/>
    <s v="Spring"/>
    <s v="Low"/>
    <s v="Similar Sci-Fi E"/>
    <s v="Print Media"/>
    <n v="5754"/>
  </r>
  <r>
    <n v="35"/>
    <x v="1"/>
    <x v="4"/>
    <x v="29"/>
    <x v="33"/>
    <x v="5"/>
    <x v="33"/>
    <x v="33"/>
    <n v="107"/>
    <x v="33"/>
    <s v="Tuesday"/>
    <s v="25-34"/>
    <x v="1"/>
    <s v="Germany"/>
    <n v="597"/>
    <n v="631"/>
    <n v="635"/>
    <x v="6"/>
    <s v="Fall"/>
    <s v="High"/>
    <s v="Similar Movie A"/>
    <s v="Online Ads"/>
    <n v="19776"/>
  </r>
  <r>
    <n v="36"/>
    <x v="0"/>
    <x v="3"/>
    <x v="30"/>
    <x v="34"/>
    <x v="4"/>
    <x v="17"/>
    <x v="34"/>
    <n v="68"/>
    <x v="34"/>
    <s v="Friday"/>
    <s v="45-54"/>
    <x v="0"/>
    <s v="India"/>
    <n v="1147"/>
    <n v="1539"/>
    <n v="130"/>
    <x v="5"/>
    <s v="Summer"/>
    <s v="Medium"/>
    <s v="Similar History G"/>
    <s v="Email Campaign"/>
    <n v="10031"/>
  </r>
  <r>
    <n v="37"/>
    <x v="2"/>
    <x v="7"/>
    <x v="31"/>
    <x v="35"/>
    <x v="4"/>
    <x v="34"/>
    <x v="35"/>
    <n v="27"/>
    <x v="35"/>
    <s v="Saturday"/>
    <s v="35-44"/>
    <x v="0"/>
    <s v="Germany"/>
    <n v="2677"/>
    <n v="510"/>
    <n v="873"/>
    <x v="24"/>
    <s v="Summer"/>
    <s v="Medium"/>
    <s v="Similar Series B"/>
    <s v="Email Campaign"/>
    <n v="12261"/>
  </r>
  <r>
    <n v="38"/>
    <x v="0"/>
    <x v="1"/>
    <x v="32"/>
    <x v="36"/>
    <x v="1"/>
    <x v="35"/>
    <x v="36"/>
    <n v="88"/>
    <x v="1"/>
    <s v="Sunday"/>
    <s v="45-54"/>
    <x v="0"/>
    <s v="India"/>
    <n v="1535"/>
    <n v="1641"/>
    <n v="1414"/>
    <x v="2"/>
    <s v="Summer"/>
    <s v="Medium"/>
    <s v="Similar Doc C"/>
    <s v="Online Ads"/>
    <n v="2871"/>
  </r>
  <r>
    <n v="39"/>
    <x v="0"/>
    <x v="1"/>
    <x v="33"/>
    <x v="37"/>
    <x v="1"/>
    <x v="36"/>
    <x v="37"/>
    <n v="101"/>
    <x v="36"/>
    <s v="Monday"/>
    <s v="45-54"/>
    <x v="1"/>
    <s v="Australia"/>
    <n v="911"/>
    <n v="1783"/>
    <n v="555"/>
    <x v="17"/>
    <s v="Fall"/>
    <s v="High"/>
    <s v="Similar History G"/>
    <s v="TV Ads"/>
    <n v="13295"/>
  </r>
  <r>
    <n v="40"/>
    <x v="1"/>
    <x v="0"/>
    <x v="34"/>
    <x v="38"/>
    <x v="0"/>
    <x v="37"/>
    <x v="38"/>
    <n v="99"/>
    <x v="37"/>
    <s v="Tuesday"/>
    <s v="25-34"/>
    <x v="1"/>
    <s v="Canada"/>
    <n v="101"/>
    <n v="1541"/>
    <n v="538"/>
    <x v="25"/>
    <s v="Spring"/>
    <s v="High"/>
    <s v="Similar Sci-Fi E"/>
    <s v="30% off"/>
    <n v="16993"/>
  </r>
  <r>
    <n v="41"/>
    <x v="0"/>
    <x v="3"/>
    <x v="35"/>
    <x v="39"/>
    <x v="3"/>
    <x v="38"/>
    <x v="39"/>
    <n v="69"/>
    <x v="38"/>
    <s v="Wednesday"/>
    <s v="35-44"/>
    <x v="1"/>
    <s v="Canada"/>
    <n v="2673"/>
    <n v="374"/>
    <n v="145"/>
    <x v="6"/>
    <s v="Spring"/>
    <s v="Medium"/>
    <s v="Similar Movie A"/>
    <s v="TV Ads"/>
    <n v="12597"/>
  </r>
  <r>
    <n v="42"/>
    <x v="2"/>
    <x v="8"/>
    <x v="18"/>
    <x v="40"/>
    <x v="1"/>
    <x v="39"/>
    <x v="40"/>
    <n v="28"/>
    <x v="39"/>
    <s v="Thursday"/>
    <s v="45-54"/>
    <x v="0"/>
    <s v="Italy"/>
    <n v="2976"/>
    <n v="701"/>
    <n v="675"/>
    <x v="26"/>
    <s v="Winter"/>
    <s v="High"/>
    <s v="Similar Doc C"/>
    <s v="TV Ads"/>
    <n v="8707"/>
  </r>
  <r>
    <n v="43"/>
    <x v="1"/>
    <x v="5"/>
    <x v="36"/>
    <x v="41"/>
    <x v="0"/>
    <x v="40"/>
    <x v="41"/>
    <n v="32"/>
    <x v="40"/>
    <s v="Friday"/>
    <s v="35-44"/>
    <x v="0"/>
    <s v="Italy"/>
    <n v="2394"/>
    <n v="529"/>
    <n v="285"/>
    <x v="25"/>
    <s v="Winter"/>
    <s v="Low"/>
    <s v="Similar Action D"/>
    <s v="Email Campaign"/>
    <n v="745"/>
  </r>
  <r>
    <n v="44"/>
    <x v="1"/>
    <x v="1"/>
    <x v="9"/>
    <x v="42"/>
    <x v="4"/>
    <x v="41"/>
    <x v="42"/>
    <n v="79"/>
    <x v="41"/>
    <s v="Saturday"/>
    <s v="25-34"/>
    <x v="1"/>
    <s v="Germany"/>
    <n v="2610"/>
    <n v="1327"/>
    <n v="881"/>
    <x v="6"/>
    <s v="Summer"/>
    <s v="Low"/>
    <s v="Similar Action D"/>
    <s v="30% off"/>
    <n v="19509"/>
  </r>
  <r>
    <n v="45"/>
    <x v="0"/>
    <x v="8"/>
    <x v="37"/>
    <x v="43"/>
    <x v="4"/>
    <x v="42"/>
    <x v="43"/>
    <n v="49"/>
    <x v="42"/>
    <s v="Sunday"/>
    <s v="18-24"/>
    <x v="0"/>
    <s v="Canada"/>
    <n v="2162"/>
    <n v="355"/>
    <n v="923"/>
    <x v="27"/>
    <s v="Summer"/>
    <s v="Medium"/>
    <s v="Similar Sci-Fi E"/>
    <s v="Print Media"/>
    <n v="9136"/>
  </r>
  <r>
    <n v="46"/>
    <x v="2"/>
    <x v="3"/>
    <x v="38"/>
    <x v="44"/>
    <x v="5"/>
    <x v="43"/>
    <x v="44"/>
    <n v="51"/>
    <x v="43"/>
    <s v="Tuesday"/>
    <s v="45-54"/>
    <x v="1"/>
    <s v="UK"/>
    <n v="1707"/>
    <n v="79"/>
    <n v="1433"/>
    <x v="21"/>
    <s v="Fall"/>
    <s v="High"/>
    <s v="Similar Romance F"/>
    <s v="Print Media"/>
    <n v="19566"/>
  </r>
  <r>
    <n v="47"/>
    <x v="2"/>
    <x v="7"/>
    <x v="31"/>
    <x v="45"/>
    <x v="0"/>
    <x v="44"/>
    <x v="45"/>
    <n v="48"/>
    <x v="44"/>
    <s v="Friday"/>
    <s v="35-44"/>
    <x v="0"/>
    <s v="Australia"/>
    <n v="327"/>
    <n v="125"/>
    <n v="287"/>
    <x v="3"/>
    <s v="Spring"/>
    <s v="Low"/>
    <s v="Similar Romance F"/>
    <s v="Email Campaign"/>
    <n v="212"/>
  </r>
  <r>
    <n v="48"/>
    <x v="0"/>
    <x v="1"/>
    <x v="4"/>
    <x v="46"/>
    <x v="0"/>
    <x v="45"/>
    <x v="46"/>
    <n v="105"/>
    <x v="45"/>
    <s v="Saturday"/>
    <s v="45-54"/>
    <x v="1"/>
    <s v="France"/>
    <n v="127"/>
    <n v="47"/>
    <n v="952"/>
    <x v="5"/>
    <s v="Winter"/>
    <s v="High"/>
    <s v="Similar Series B"/>
    <s v="Email Campaign"/>
    <n v="4730"/>
  </r>
  <r>
    <n v="49"/>
    <x v="0"/>
    <x v="4"/>
    <x v="11"/>
    <x v="47"/>
    <x v="1"/>
    <x v="46"/>
    <x v="47"/>
    <n v="74"/>
    <x v="46"/>
    <s v="Sunday"/>
    <s v="18-24"/>
    <x v="1"/>
    <s v="India"/>
    <n v="1187"/>
    <n v="721"/>
    <n v="715"/>
    <x v="3"/>
    <s v="Fall"/>
    <s v="Medium"/>
    <s v="Similar Series B"/>
    <s v="30% off"/>
    <n v="3019"/>
  </r>
  <r>
    <n v="50"/>
    <x v="0"/>
    <x v="8"/>
    <x v="1"/>
    <x v="48"/>
    <x v="2"/>
    <x v="47"/>
    <x v="48"/>
    <n v="113"/>
    <x v="47"/>
    <s v="Friday"/>
    <s v="35-44"/>
    <x v="0"/>
    <s v="USA"/>
    <n v="2058"/>
    <n v="1825"/>
    <n v="276"/>
    <x v="26"/>
    <s v="Winter"/>
    <s v="Medium"/>
    <s v="Similar Sci-Fi E"/>
    <s v="Online Ads"/>
    <n v="10089"/>
  </r>
  <r>
    <n v="51"/>
    <x v="2"/>
    <x v="0"/>
    <x v="6"/>
    <x v="49"/>
    <x v="0"/>
    <x v="48"/>
    <x v="49"/>
    <n v="31"/>
    <x v="48"/>
    <s v="Saturday"/>
    <s v="18-24"/>
    <x v="1"/>
    <s v="USA"/>
    <n v="2624"/>
    <n v="1300"/>
    <n v="1285"/>
    <x v="8"/>
    <s v="Spring"/>
    <s v="High"/>
    <s v="Similar History G"/>
    <s v="Print Media"/>
    <n v="4131"/>
  </r>
  <r>
    <n v="52"/>
    <x v="2"/>
    <x v="8"/>
    <x v="39"/>
    <x v="50"/>
    <x v="0"/>
    <x v="6"/>
    <x v="50"/>
    <n v="76"/>
    <x v="49"/>
    <s v="Saturday"/>
    <s v="18-24"/>
    <x v="1"/>
    <s v="France"/>
    <n v="1068"/>
    <n v="1792"/>
    <n v="610"/>
    <x v="9"/>
    <s v="Spring"/>
    <s v="High"/>
    <s v="Similar Action D"/>
    <s v="Online Ads"/>
    <n v="901"/>
  </r>
  <r>
    <n v="53"/>
    <x v="1"/>
    <x v="3"/>
    <x v="40"/>
    <x v="51"/>
    <x v="1"/>
    <x v="49"/>
    <x v="51"/>
    <n v="82"/>
    <x v="50"/>
    <s v="Sunday"/>
    <s v="18-24"/>
    <x v="1"/>
    <s v="Germany"/>
    <n v="71"/>
    <n v="1059"/>
    <n v="140"/>
    <x v="28"/>
    <s v="Fall"/>
    <s v="High"/>
    <s v="Similar Series B"/>
    <s v="Online Ads"/>
    <n v="3292"/>
  </r>
  <r>
    <n v="54"/>
    <x v="1"/>
    <x v="6"/>
    <x v="20"/>
    <x v="52"/>
    <x v="3"/>
    <x v="50"/>
    <x v="52"/>
    <n v="42"/>
    <x v="51"/>
    <s v="Tuesday"/>
    <s v="18-24"/>
    <x v="0"/>
    <s v="Germany"/>
    <n v="529"/>
    <n v="1878"/>
    <n v="155"/>
    <x v="11"/>
    <s v="Winter"/>
    <s v="High"/>
    <s v="Similar Doc C"/>
    <s v="TV Ads"/>
    <n v="8804"/>
  </r>
  <r>
    <n v="55"/>
    <x v="2"/>
    <x v="2"/>
    <x v="35"/>
    <x v="53"/>
    <x v="5"/>
    <x v="51"/>
    <x v="53"/>
    <n v="37"/>
    <x v="52"/>
    <s v="Friday"/>
    <s v="35-44"/>
    <x v="0"/>
    <s v="Germany"/>
    <n v="1539"/>
    <n v="763"/>
    <n v="427"/>
    <x v="29"/>
    <s v="Summer"/>
    <s v="Medium"/>
    <s v="Similar Series B"/>
    <s v="Email Campaign"/>
    <n v="5164"/>
  </r>
  <r>
    <n v="56"/>
    <x v="0"/>
    <x v="0"/>
    <x v="41"/>
    <x v="54"/>
    <x v="4"/>
    <x v="52"/>
    <x v="54"/>
    <n v="110"/>
    <x v="53"/>
    <s v="Saturday"/>
    <s v="25-34"/>
    <x v="0"/>
    <s v="USA"/>
    <n v="2080"/>
    <n v="728"/>
    <n v="145"/>
    <x v="2"/>
    <s v="Summer"/>
    <s v="Low"/>
    <s v="Similar Series B"/>
    <s v="TV Ads"/>
    <n v="5149"/>
  </r>
  <r>
    <n v="57"/>
    <x v="2"/>
    <x v="0"/>
    <x v="42"/>
    <x v="55"/>
    <x v="2"/>
    <x v="53"/>
    <x v="55"/>
    <n v="42"/>
    <x v="54"/>
    <s v="Sunday"/>
    <s v="18-24"/>
    <x v="1"/>
    <s v="India"/>
    <n v="1130"/>
    <n v="817"/>
    <n v="325"/>
    <x v="30"/>
    <s v="Summer"/>
    <s v="Low"/>
    <s v="Similar Doc C"/>
    <s v="Social Media"/>
    <n v="13274"/>
  </r>
  <r>
    <n v="58"/>
    <x v="1"/>
    <x v="3"/>
    <x v="37"/>
    <x v="56"/>
    <x v="3"/>
    <x v="54"/>
    <x v="56"/>
    <n v="52"/>
    <x v="55"/>
    <s v="Friday"/>
    <s v="35-44"/>
    <x v="1"/>
    <s v="Canada"/>
    <n v="230"/>
    <n v="1265"/>
    <n v="181"/>
    <x v="12"/>
    <s v="Spring"/>
    <s v="Low"/>
    <s v="Similar Series B"/>
    <s v="TV Ads"/>
    <n v="3273"/>
  </r>
  <r>
    <n v="59"/>
    <x v="0"/>
    <x v="8"/>
    <x v="43"/>
    <x v="57"/>
    <x v="1"/>
    <x v="55"/>
    <x v="57"/>
    <n v="50"/>
    <x v="56"/>
    <s v="Saturday"/>
    <s v="35-44"/>
    <x v="1"/>
    <s v="Italy"/>
    <n v="2943"/>
    <n v="748"/>
    <n v="1476"/>
    <x v="21"/>
    <s v="Winter"/>
    <s v="Medium"/>
    <s v="Similar Thriller H"/>
    <s v="30% off"/>
    <n v="3221"/>
  </r>
  <r>
    <n v="60"/>
    <x v="2"/>
    <x v="6"/>
    <x v="25"/>
    <x v="58"/>
    <x v="2"/>
    <x v="4"/>
    <x v="58"/>
    <n v="45"/>
    <x v="57"/>
    <s v="Sunday"/>
    <s v="35-44"/>
    <x v="1"/>
    <s v="Canada"/>
    <n v="2076"/>
    <n v="587"/>
    <n v="470"/>
    <x v="3"/>
    <s v="Summer"/>
    <s v="Low"/>
    <s v="Similar Doc C"/>
    <s v="Print Media"/>
    <n v="16872"/>
  </r>
  <r>
    <n v="61"/>
    <x v="0"/>
    <x v="4"/>
    <x v="4"/>
    <x v="59"/>
    <x v="3"/>
    <x v="18"/>
    <x v="59"/>
    <n v="42"/>
    <x v="58"/>
    <s v="Friday"/>
    <s v="35-44"/>
    <x v="1"/>
    <s v="Germany"/>
    <n v="1549"/>
    <n v="789"/>
    <n v="859"/>
    <x v="9"/>
    <s v="Winter"/>
    <s v="Medium"/>
    <s v="Similar Doc C"/>
    <s v="Print Media"/>
    <n v="12267"/>
  </r>
  <r>
    <n v="62"/>
    <x v="0"/>
    <x v="1"/>
    <x v="39"/>
    <x v="60"/>
    <x v="1"/>
    <x v="25"/>
    <x v="60"/>
    <n v="69"/>
    <x v="59"/>
    <s v="Saturday"/>
    <s v="25-34"/>
    <x v="0"/>
    <s v="Italy"/>
    <n v="2331"/>
    <n v="493"/>
    <n v="396"/>
    <x v="0"/>
    <s v="Summer"/>
    <s v="Low"/>
    <s v="Similar History G"/>
    <s v="30% off"/>
    <n v="16051"/>
  </r>
  <r>
    <n v="63"/>
    <x v="2"/>
    <x v="7"/>
    <x v="17"/>
    <x v="61"/>
    <x v="4"/>
    <x v="56"/>
    <x v="61"/>
    <n v="49"/>
    <x v="60"/>
    <s v="Saturday"/>
    <s v="35-44"/>
    <x v="0"/>
    <s v="India"/>
    <n v="2476"/>
    <n v="682"/>
    <n v="123"/>
    <x v="1"/>
    <s v="Spring"/>
    <s v="Medium"/>
    <s v="Similar Movie A"/>
    <s v="TV Ads"/>
    <n v="3112"/>
  </r>
  <r>
    <n v="64"/>
    <x v="0"/>
    <x v="6"/>
    <x v="44"/>
    <x v="62"/>
    <x v="3"/>
    <x v="57"/>
    <x v="62"/>
    <n v="50"/>
    <x v="61"/>
    <s v="Sunday"/>
    <s v="25-34"/>
    <x v="0"/>
    <s v="UK"/>
    <n v="1630"/>
    <n v="1068"/>
    <n v="433"/>
    <x v="31"/>
    <s v="Summer"/>
    <s v="Medium"/>
    <s v="Similar Thriller H"/>
    <s v="Print Media"/>
    <n v="13520"/>
  </r>
  <r>
    <n v="65"/>
    <x v="0"/>
    <x v="1"/>
    <x v="45"/>
    <x v="63"/>
    <x v="2"/>
    <x v="58"/>
    <x v="63"/>
    <n v="27"/>
    <x v="62"/>
    <s v="Tuesday"/>
    <s v="25-34"/>
    <x v="0"/>
    <s v="India"/>
    <n v="2423"/>
    <n v="1173"/>
    <n v="224"/>
    <x v="3"/>
    <s v="Fall"/>
    <s v="High"/>
    <s v="Similar Movie A"/>
    <s v="30% off"/>
    <n v="6549"/>
  </r>
  <r>
    <n v="66"/>
    <x v="0"/>
    <x v="7"/>
    <x v="46"/>
    <x v="64"/>
    <x v="3"/>
    <x v="59"/>
    <x v="64"/>
    <n v="79"/>
    <x v="63"/>
    <s v="Friday"/>
    <s v="25-34"/>
    <x v="1"/>
    <s v="Canada"/>
    <n v="2489"/>
    <n v="331"/>
    <n v="202"/>
    <x v="8"/>
    <s v="Winter"/>
    <s v="Medium"/>
    <s v="Similar Sci-Fi E"/>
    <s v="TV Ads"/>
    <n v="4324"/>
  </r>
  <r>
    <n v="67"/>
    <x v="2"/>
    <x v="6"/>
    <x v="47"/>
    <x v="9"/>
    <x v="6"/>
    <x v="60"/>
    <x v="65"/>
    <n v="43"/>
    <x v="64"/>
    <s v="Saturday"/>
    <s v="45-54"/>
    <x v="0"/>
    <s v="Canada"/>
    <n v="1668"/>
    <n v="483"/>
    <n v="985"/>
    <x v="0"/>
    <s v="Winter"/>
    <s v="Medium"/>
    <s v="Similar Sci-Fi E"/>
    <s v="TV Ads"/>
    <n v="17107"/>
  </r>
  <r>
    <n v="68"/>
    <x v="2"/>
    <x v="5"/>
    <x v="18"/>
    <x v="65"/>
    <x v="1"/>
    <x v="61"/>
    <x v="66"/>
    <n v="71"/>
    <x v="65"/>
    <s v="Sunday"/>
    <s v="35-44"/>
    <x v="0"/>
    <s v="France"/>
    <n v="1401"/>
    <n v="1602"/>
    <n v="393"/>
    <x v="8"/>
    <s v="Fall"/>
    <s v="High"/>
    <s v="Similar Action D"/>
    <s v="30% off"/>
    <n v="2191"/>
  </r>
  <r>
    <n v="69"/>
    <x v="1"/>
    <x v="7"/>
    <x v="40"/>
    <x v="66"/>
    <x v="2"/>
    <x v="62"/>
    <x v="67"/>
    <n v="69"/>
    <x v="66"/>
    <s v="Friday"/>
    <s v="35-44"/>
    <x v="0"/>
    <s v="Australia"/>
    <n v="2385"/>
    <n v="596"/>
    <n v="640"/>
    <x v="32"/>
    <s v="Summer"/>
    <s v="Low"/>
    <s v="Similar Thriller H"/>
    <s v="Email Campaign"/>
    <n v="14809"/>
  </r>
  <r>
    <n v="70"/>
    <x v="0"/>
    <x v="2"/>
    <x v="48"/>
    <x v="67"/>
    <x v="5"/>
    <x v="60"/>
    <x v="68"/>
    <n v="49"/>
    <x v="67"/>
    <s v="Saturday"/>
    <s v="35-44"/>
    <x v="1"/>
    <s v="India"/>
    <n v="1274"/>
    <n v="1720"/>
    <n v="281"/>
    <x v="23"/>
    <s v="Winter"/>
    <s v="High"/>
    <s v="Similar Romance F"/>
    <s v="TV Ads"/>
    <n v="3865"/>
  </r>
  <r>
    <n v="71"/>
    <x v="1"/>
    <x v="4"/>
    <x v="49"/>
    <x v="68"/>
    <x v="5"/>
    <x v="63"/>
    <x v="69"/>
    <n v="108"/>
    <x v="68"/>
    <s v="Saturday"/>
    <s v="45-54"/>
    <x v="0"/>
    <s v="USA"/>
    <n v="2502"/>
    <n v="1977"/>
    <n v="383"/>
    <x v="5"/>
    <s v="Fall"/>
    <s v="Low"/>
    <s v="Similar Thriller H"/>
    <s v="Online Ads"/>
    <n v="3433"/>
  </r>
  <r>
    <n v="72"/>
    <x v="0"/>
    <x v="4"/>
    <x v="50"/>
    <x v="69"/>
    <x v="1"/>
    <x v="64"/>
    <x v="70"/>
    <n v="53"/>
    <x v="69"/>
    <s v="Sunday"/>
    <s v="25-34"/>
    <x v="1"/>
    <s v="Germany"/>
    <n v="445"/>
    <n v="1911"/>
    <n v="1194"/>
    <x v="13"/>
    <s v="Spring"/>
    <s v="Low"/>
    <s v="Similar Thriller H"/>
    <s v="Online Ads"/>
    <n v="4650"/>
  </r>
  <r>
    <n v="73"/>
    <x v="1"/>
    <x v="8"/>
    <x v="51"/>
    <x v="50"/>
    <x v="0"/>
    <x v="65"/>
    <x v="71"/>
    <n v="121"/>
    <x v="70"/>
    <s v="Tuesday"/>
    <s v="18-24"/>
    <x v="1"/>
    <s v="Canada"/>
    <n v="1359"/>
    <n v="109"/>
    <n v="1029"/>
    <x v="15"/>
    <s v="Summer"/>
    <s v="Low"/>
    <s v="Similar History G"/>
    <s v="Print Media"/>
    <n v="11397"/>
  </r>
  <r>
    <n v="74"/>
    <x v="0"/>
    <x v="1"/>
    <x v="19"/>
    <x v="70"/>
    <x v="0"/>
    <x v="66"/>
    <x v="72"/>
    <n v="45"/>
    <x v="71"/>
    <s v="Friday"/>
    <s v="18-24"/>
    <x v="1"/>
    <s v="UK"/>
    <n v="506"/>
    <n v="781"/>
    <n v="286"/>
    <x v="3"/>
    <s v="Fall"/>
    <s v="High"/>
    <s v="Similar History G"/>
    <s v="Social Media"/>
    <n v="12887"/>
  </r>
  <r>
    <n v="75"/>
    <x v="0"/>
    <x v="1"/>
    <x v="14"/>
    <x v="71"/>
    <x v="1"/>
    <x v="67"/>
    <x v="73"/>
    <n v="29"/>
    <x v="72"/>
    <s v="Saturday"/>
    <s v="25-34"/>
    <x v="0"/>
    <s v="Australia"/>
    <n v="249"/>
    <n v="701"/>
    <n v="729"/>
    <x v="17"/>
    <s v="Winter"/>
    <s v="High"/>
    <s v="Similar Sci-Fi E"/>
    <s v="Online Ads"/>
    <n v="17471"/>
  </r>
  <r>
    <n v="76"/>
    <x v="0"/>
    <x v="2"/>
    <x v="23"/>
    <x v="72"/>
    <x v="4"/>
    <x v="25"/>
    <x v="74"/>
    <n v="57"/>
    <x v="73"/>
    <s v="Sunday"/>
    <s v="45-54"/>
    <x v="0"/>
    <s v="Italy"/>
    <n v="2783"/>
    <n v="313"/>
    <n v="300"/>
    <x v="3"/>
    <s v="Spring"/>
    <s v="Low"/>
    <s v="Similar Doc C"/>
    <s v="Print Media"/>
    <n v="14326"/>
  </r>
  <r>
    <n v="77"/>
    <x v="2"/>
    <x v="8"/>
    <x v="52"/>
    <x v="58"/>
    <x v="4"/>
    <x v="58"/>
    <x v="75"/>
    <n v="24"/>
    <x v="74"/>
    <s v="Friday"/>
    <s v="35-44"/>
    <x v="0"/>
    <s v="India"/>
    <n v="1469"/>
    <n v="1407"/>
    <n v="1450"/>
    <x v="3"/>
    <s v="Summer"/>
    <s v="Low"/>
    <s v="Similar Movie A"/>
    <s v="Email Campaign"/>
    <n v="11123"/>
  </r>
  <r>
    <n v="78"/>
    <x v="0"/>
    <x v="5"/>
    <x v="32"/>
    <x v="73"/>
    <x v="1"/>
    <x v="68"/>
    <x v="76"/>
    <n v="82"/>
    <x v="75"/>
    <s v="Saturday"/>
    <s v="35-44"/>
    <x v="1"/>
    <s v="Canada"/>
    <n v="2400"/>
    <n v="1184"/>
    <n v="1426"/>
    <x v="31"/>
    <s v="Summer"/>
    <s v="Medium"/>
    <s v="Similar Doc C"/>
    <s v="Online Ads"/>
    <n v="3975"/>
  </r>
  <r>
    <n v="79"/>
    <x v="1"/>
    <x v="7"/>
    <x v="53"/>
    <x v="74"/>
    <x v="4"/>
    <x v="69"/>
    <x v="77"/>
    <n v="75"/>
    <x v="76"/>
    <s v="Sunday"/>
    <s v="45-54"/>
    <x v="0"/>
    <s v="USA"/>
    <n v="2543"/>
    <n v="753"/>
    <n v="519"/>
    <x v="26"/>
    <s v="Spring"/>
    <s v="Medium"/>
    <s v="Similar Action D"/>
    <s v="Social Media"/>
    <n v="18259"/>
  </r>
  <r>
    <n v="80"/>
    <x v="2"/>
    <x v="2"/>
    <x v="39"/>
    <x v="75"/>
    <x v="0"/>
    <x v="70"/>
    <x v="78"/>
    <n v="50"/>
    <x v="77"/>
    <s v="Friday"/>
    <s v="25-34"/>
    <x v="1"/>
    <s v="India"/>
    <n v="407"/>
    <n v="1224"/>
    <n v="1399"/>
    <x v="33"/>
    <s v="Fall"/>
    <s v="High"/>
    <s v="Similar History G"/>
    <s v="Online Ads"/>
    <n v="18395"/>
  </r>
  <r>
    <n v="81"/>
    <x v="2"/>
    <x v="0"/>
    <x v="54"/>
    <x v="76"/>
    <x v="6"/>
    <x v="71"/>
    <x v="79"/>
    <n v="84"/>
    <x v="78"/>
    <s v="Saturday"/>
    <s v="45-54"/>
    <x v="1"/>
    <s v="Canada"/>
    <n v="444"/>
    <n v="541"/>
    <n v="983"/>
    <x v="3"/>
    <s v="Spring"/>
    <s v="Medium"/>
    <s v="Similar Sci-Fi E"/>
    <s v="Print Media"/>
    <n v="9649"/>
  </r>
  <r>
    <n v="82"/>
    <x v="0"/>
    <x v="2"/>
    <x v="28"/>
    <x v="77"/>
    <x v="2"/>
    <x v="72"/>
    <x v="80"/>
    <n v="71"/>
    <x v="79"/>
    <s v="Saturday"/>
    <s v="18-24"/>
    <x v="1"/>
    <s v="Australia"/>
    <n v="2342"/>
    <n v="787"/>
    <n v="151"/>
    <x v="3"/>
    <s v="Fall"/>
    <s v="Medium"/>
    <s v="Similar Movie A"/>
    <s v="Email Campaign"/>
    <n v="6037"/>
  </r>
  <r>
    <n v="83"/>
    <x v="0"/>
    <x v="7"/>
    <x v="21"/>
    <x v="78"/>
    <x v="2"/>
    <x v="73"/>
    <x v="81"/>
    <n v="98"/>
    <x v="80"/>
    <s v="Sunday"/>
    <s v="25-34"/>
    <x v="0"/>
    <s v="India"/>
    <n v="2351"/>
    <n v="356"/>
    <n v="1449"/>
    <x v="5"/>
    <s v="Winter"/>
    <s v="High"/>
    <s v="Similar History G"/>
    <s v="TV Ads"/>
    <n v="8289"/>
  </r>
  <r>
    <n v="84"/>
    <x v="2"/>
    <x v="0"/>
    <x v="34"/>
    <x v="79"/>
    <x v="6"/>
    <x v="74"/>
    <x v="82"/>
    <n v="54"/>
    <x v="81"/>
    <s v="Tuesday"/>
    <s v="35-44"/>
    <x v="1"/>
    <s v="Italy"/>
    <n v="2684"/>
    <n v="1155"/>
    <n v="295"/>
    <x v="24"/>
    <s v="Spring"/>
    <s v="Medium"/>
    <s v="Similar Action D"/>
    <s v="TV Ads"/>
    <n v="6366"/>
  </r>
  <r>
    <n v="85"/>
    <x v="1"/>
    <x v="2"/>
    <x v="55"/>
    <x v="80"/>
    <x v="4"/>
    <x v="75"/>
    <x v="83"/>
    <n v="40"/>
    <x v="82"/>
    <s v="Friday"/>
    <s v="18-24"/>
    <x v="1"/>
    <s v="Canada"/>
    <n v="1833"/>
    <n v="1442"/>
    <n v="1046"/>
    <x v="2"/>
    <s v="Summer"/>
    <s v="Low"/>
    <s v="Similar History G"/>
    <s v="Email Campaign"/>
    <n v="13310"/>
  </r>
  <r>
    <n v="86"/>
    <x v="2"/>
    <x v="1"/>
    <x v="48"/>
    <x v="81"/>
    <x v="4"/>
    <x v="48"/>
    <x v="84"/>
    <n v="40"/>
    <x v="83"/>
    <s v="Saturday"/>
    <s v="45-54"/>
    <x v="0"/>
    <s v="France"/>
    <n v="2041"/>
    <n v="1071"/>
    <n v="1487"/>
    <x v="24"/>
    <s v="Summer"/>
    <s v="High"/>
    <s v="Similar History G"/>
    <s v="Email Campaign"/>
    <n v="16358"/>
  </r>
  <r>
    <n v="87"/>
    <x v="1"/>
    <x v="7"/>
    <x v="5"/>
    <x v="56"/>
    <x v="5"/>
    <x v="76"/>
    <x v="85"/>
    <n v="69"/>
    <x v="84"/>
    <s v="Sunday"/>
    <s v="45-54"/>
    <x v="1"/>
    <s v="Australia"/>
    <n v="2741"/>
    <n v="1575"/>
    <n v="24"/>
    <x v="5"/>
    <s v="Spring"/>
    <s v="High"/>
    <s v="Similar Series B"/>
    <s v="TV Ads"/>
    <n v="18525"/>
  </r>
  <r>
    <n v="88"/>
    <x v="0"/>
    <x v="6"/>
    <x v="39"/>
    <x v="82"/>
    <x v="2"/>
    <x v="77"/>
    <x v="86"/>
    <n v="83"/>
    <x v="85"/>
    <s v="Friday"/>
    <s v="18-24"/>
    <x v="0"/>
    <s v="Germany"/>
    <n v="2697"/>
    <n v="1138"/>
    <n v="559"/>
    <x v="5"/>
    <s v="Spring"/>
    <s v="Low"/>
    <s v="Similar Series B"/>
    <s v="Print Media"/>
    <n v="18042"/>
  </r>
  <r>
    <n v="89"/>
    <x v="0"/>
    <x v="5"/>
    <x v="22"/>
    <x v="83"/>
    <x v="3"/>
    <x v="25"/>
    <x v="87"/>
    <n v="35"/>
    <x v="86"/>
    <s v="Saturday"/>
    <s v="45-54"/>
    <x v="0"/>
    <s v="Italy"/>
    <n v="2199"/>
    <n v="1868"/>
    <n v="226"/>
    <x v="34"/>
    <s v="Winter"/>
    <s v="High"/>
    <s v="Similar Series B"/>
    <s v="TV Ads"/>
    <n v="5093"/>
  </r>
  <r>
    <n v="90"/>
    <x v="1"/>
    <x v="3"/>
    <x v="17"/>
    <x v="84"/>
    <x v="5"/>
    <x v="78"/>
    <x v="88"/>
    <n v="125"/>
    <x v="87"/>
    <s v="Saturday"/>
    <s v="25-34"/>
    <x v="1"/>
    <s v="Australia"/>
    <n v="2643"/>
    <n v="1684"/>
    <n v="78"/>
    <x v="11"/>
    <s v="Fall"/>
    <s v="Low"/>
    <s v="Similar Romance F"/>
    <s v="Online Ads"/>
    <n v="10044"/>
  </r>
  <r>
    <n v="91"/>
    <x v="0"/>
    <x v="5"/>
    <x v="4"/>
    <x v="85"/>
    <x v="6"/>
    <x v="77"/>
    <x v="89"/>
    <n v="85"/>
    <x v="88"/>
    <s v="Sunday"/>
    <s v="35-44"/>
    <x v="0"/>
    <s v="USA"/>
    <n v="2356"/>
    <n v="990"/>
    <n v="907"/>
    <x v="5"/>
    <s v="Winter"/>
    <s v="Low"/>
    <s v="Similar Doc C"/>
    <s v="Email Campaign"/>
    <n v="13521"/>
  </r>
  <r>
    <n v="92"/>
    <x v="1"/>
    <x v="7"/>
    <x v="11"/>
    <x v="86"/>
    <x v="3"/>
    <x v="79"/>
    <x v="90"/>
    <n v="119"/>
    <x v="89"/>
    <s v="Tuesday"/>
    <s v="25-34"/>
    <x v="1"/>
    <s v="UK"/>
    <n v="700"/>
    <n v="1264"/>
    <n v="1031"/>
    <x v="15"/>
    <s v="Fall"/>
    <s v="Low"/>
    <s v="Similar History G"/>
    <s v="Email Campaign"/>
    <n v="19377"/>
  </r>
  <r>
    <n v="93"/>
    <x v="2"/>
    <x v="4"/>
    <x v="30"/>
    <x v="87"/>
    <x v="1"/>
    <x v="80"/>
    <x v="91"/>
    <n v="33"/>
    <x v="90"/>
    <s v="Friday"/>
    <s v="25-34"/>
    <x v="1"/>
    <s v="Italy"/>
    <n v="511"/>
    <n v="792"/>
    <n v="1401"/>
    <x v="3"/>
    <s v="Fall"/>
    <s v="High"/>
    <s v="Similar History G"/>
    <s v="TV Ads"/>
    <n v="1244"/>
  </r>
  <r>
    <n v="94"/>
    <x v="0"/>
    <x v="7"/>
    <x v="56"/>
    <x v="88"/>
    <x v="5"/>
    <x v="52"/>
    <x v="92"/>
    <n v="28"/>
    <x v="91"/>
    <s v="Saturday"/>
    <s v="25-34"/>
    <x v="1"/>
    <s v="USA"/>
    <n v="427"/>
    <n v="1135"/>
    <n v="304"/>
    <x v="10"/>
    <s v="Fall"/>
    <s v="High"/>
    <s v="Similar Series B"/>
    <s v="Email Campaign"/>
    <n v="18017"/>
  </r>
  <r>
    <n v="95"/>
    <x v="1"/>
    <x v="2"/>
    <x v="57"/>
    <x v="89"/>
    <x v="5"/>
    <x v="81"/>
    <x v="93"/>
    <n v="102"/>
    <x v="92"/>
    <s v="Sunday"/>
    <s v="45-54"/>
    <x v="1"/>
    <s v="Italy"/>
    <n v="2066"/>
    <n v="1589"/>
    <n v="228"/>
    <x v="23"/>
    <s v="Fall"/>
    <s v="Medium"/>
    <s v="Similar Thriller H"/>
    <s v="Email Campaign"/>
    <n v="18388"/>
  </r>
  <r>
    <n v="96"/>
    <x v="2"/>
    <x v="5"/>
    <x v="31"/>
    <x v="90"/>
    <x v="1"/>
    <x v="82"/>
    <x v="94"/>
    <n v="65"/>
    <x v="93"/>
    <s v="Friday"/>
    <s v="45-54"/>
    <x v="1"/>
    <s v="France"/>
    <n v="1405"/>
    <n v="619"/>
    <n v="153"/>
    <x v="5"/>
    <s v="Winter"/>
    <s v="High"/>
    <s v="Similar History G"/>
    <s v="Social Media"/>
    <n v="7805"/>
  </r>
  <r>
    <n v="97"/>
    <x v="2"/>
    <x v="7"/>
    <x v="15"/>
    <x v="91"/>
    <x v="5"/>
    <x v="83"/>
    <x v="95"/>
    <n v="24"/>
    <x v="94"/>
    <s v="Saturday"/>
    <s v="35-44"/>
    <x v="0"/>
    <s v="Australia"/>
    <n v="2861"/>
    <n v="1204"/>
    <n v="1133"/>
    <x v="7"/>
    <s v="Winter"/>
    <s v="Low"/>
    <s v="Similar Movie A"/>
    <s v="30% off"/>
    <n v="12451"/>
  </r>
  <r>
    <n v="98"/>
    <x v="1"/>
    <x v="2"/>
    <x v="34"/>
    <x v="92"/>
    <x v="5"/>
    <x v="84"/>
    <x v="96"/>
    <n v="107"/>
    <x v="95"/>
    <s v="Sunday"/>
    <s v="25-34"/>
    <x v="0"/>
    <s v="Australia"/>
    <n v="2785"/>
    <n v="1430"/>
    <n v="465"/>
    <x v="14"/>
    <s v="Spring"/>
    <s v="High"/>
    <s v="Similar Action D"/>
    <s v="Email Campaign"/>
    <n v="136"/>
  </r>
  <r>
    <n v="99"/>
    <x v="0"/>
    <x v="7"/>
    <x v="28"/>
    <x v="93"/>
    <x v="2"/>
    <x v="85"/>
    <x v="97"/>
    <n v="40"/>
    <x v="96"/>
    <s v="Friday"/>
    <s v="25-34"/>
    <x v="0"/>
    <s v="Canada"/>
    <n v="956"/>
    <n v="1162"/>
    <n v="1077"/>
    <x v="4"/>
    <s v="Spring"/>
    <s v="High"/>
    <s v="Similar Romance F"/>
    <s v="Social Media"/>
    <n v="1011"/>
  </r>
  <r>
    <n v="100"/>
    <x v="1"/>
    <x v="2"/>
    <x v="58"/>
    <x v="94"/>
    <x v="1"/>
    <x v="86"/>
    <x v="98"/>
    <n v="119"/>
    <x v="97"/>
    <s v="Saturday"/>
    <s v="25-34"/>
    <x v="1"/>
    <s v="UK"/>
    <n v="1247"/>
    <n v="788"/>
    <n v="1142"/>
    <x v="4"/>
    <s v="Fall"/>
    <s v="Medium"/>
    <s v="Similar History G"/>
    <s v="30% off"/>
    <n v="10886"/>
  </r>
  <r>
    <n v="101"/>
    <x v="1"/>
    <x v="7"/>
    <x v="59"/>
    <x v="95"/>
    <x v="1"/>
    <x v="87"/>
    <x v="99"/>
    <n v="61"/>
    <x v="98"/>
    <s v="Saturday"/>
    <s v="35-44"/>
    <x v="1"/>
    <s v="USA"/>
    <n v="2563"/>
    <n v="1707"/>
    <n v="856"/>
    <x v="35"/>
    <s v="Spring"/>
    <s v="High"/>
    <s v="Similar Series B"/>
    <s v="Online Ads"/>
    <n v="4525"/>
  </r>
  <r>
    <n v="102"/>
    <x v="1"/>
    <x v="5"/>
    <x v="57"/>
    <x v="96"/>
    <x v="6"/>
    <x v="88"/>
    <x v="100"/>
    <n v="98"/>
    <x v="99"/>
    <s v="Sunday"/>
    <s v="18-24"/>
    <x v="0"/>
    <s v="Canada"/>
    <n v="1009"/>
    <n v="1306"/>
    <n v="669"/>
    <x v="2"/>
    <s v="Spring"/>
    <s v="High"/>
    <s v="Similar Action D"/>
    <s v="30% off"/>
    <n v="7709"/>
  </r>
  <r>
    <n v="103"/>
    <x v="1"/>
    <x v="7"/>
    <x v="46"/>
    <x v="97"/>
    <x v="2"/>
    <x v="89"/>
    <x v="101"/>
    <n v="116"/>
    <x v="100"/>
    <s v="Tuesday"/>
    <s v="18-24"/>
    <x v="1"/>
    <s v="India"/>
    <n v="158"/>
    <n v="475"/>
    <n v="1076"/>
    <x v="3"/>
    <s v="Spring"/>
    <s v="High"/>
    <s v="Similar Sci-Fi E"/>
    <s v="Print Media"/>
    <n v="16978"/>
  </r>
  <r>
    <n v="104"/>
    <x v="1"/>
    <x v="2"/>
    <x v="60"/>
    <x v="98"/>
    <x v="4"/>
    <x v="90"/>
    <x v="102"/>
    <n v="110"/>
    <x v="101"/>
    <s v="Friday"/>
    <s v="45-54"/>
    <x v="0"/>
    <s v="Italy"/>
    <n v="2356"/>
    <n v="1683"/>
    <n v="960"/>
    <x v="5"/>
    <s v="Fall"/>
    <s v="Medium"/>
    <s v="Similar Sci-Fi E"/>
    <s v="Online Ads"/>
    <n v="17701"/>
  </r>
  <r>
    <n v="105"/>
    <x v="1"/>
    <x v="5"/>
    <x v="47"/>
    <x v="99"/>
    <x v="1"/>
    <x v="91"/>
    <x v="103"/>
    <n v="49"/>
    <x v="102"/>
    <s v="Saturday"/>
    <s v="35-44"/>
    <x v="1"/>
    <s v="Germany"/>
    <n v="1428"/>
    <n v="141"/>
    <n v="650"/>
    <x v="35"/>
    <s v="Winter"/>
    <s v="Low"/>
    <s v="Similar Doc C"/>
    <s v="Social Media"/>
    <n v="8849"/>
  </r>
  <r>
    <n v="106"/>
    <x v="2"/>
    <x v="6"/>
    <x v="30"/>
    <x v="100"/>
    <x v="5"/>
    <x v="92"/>
    <x v="104"/>
    <n v="35"/>
    <x v="103"/>
    <s v="Sunday"/>
    <s v="35-44"/>
    <x v="0"/>
    <s v="Italy"/>
    <n v="183"/>
    <n v="1873"/>
    <n v="1231"/>
    <x v="34"/>
    <s v="Fall"/>
    <s v="Low"/>
    <s v="Similar History G"/>
    <s v="Email Campaign"/>
    <n v="1010"/>
  </r>
  <r>
    <n v="107"/>
    <x v="1"/>
    <x v="0"/>
    <x v="61"/>
    <x v="101"/>
    <x v="4"/>
    <x v="93"/>
    <x v="105"/>
    <n v="117"/>
    <x v="104"/>
    <s v="Friday"/>
    <s v="45-54"/>
    <x v="1"/>
    <s v="Italy"/>
    <n v="159"/>
    <n v="282"/>
    <n v="914"/>
    <x v="30"/>
    <s v="Winter"/>
    <s v="Low"/>
    <s v="Similar Series B"/>
    <s v="Print Media"/>
    <n v="1415"/>
  </r>
  <r>
    <n v="108"/>
    <x v="2"/>
    <x v="5"/>
    <x v="7"/>
    <x v="102"/>
    <x v="3"/>
    <x v="94"/>
    <x v="106"/>
    <n v="34"/>
    <x v="105"/>
    <s v="Saturday"/>
    <s v="45-54"/>
    <x v="1"/>
    <s v="Australia"/>
    <n v="301"/>
    <n v="448"/>
    <n v="300"/>
    <x v="5"/>
    <s v="Fall"/>
    <s v="Low"/>
    <s v="Similar Doc C"/>
    <s v="Email Campaign"/>
    <n v="11079"/>
  </r>
  <r>
    <n v="109"/>
    <x v="1"/>
    <x v="2"/>
    <x v="9"/>
    <x v="103"/>
    <x v="2"/>
    <x v="95"/>
    <x v="107"/>
    <n v="107"/>
    <x v="106"/>
    <s v="Saturday"/>
    <s v="25-34"/>
    <x v="1"/>
    <s v="Australia"/>
    <n v="132"/>
    <n v="228"/>
    <n v="550"/>
    <x v="6"/>
    <s v="Summer"/>
    <s v="Medium"/>
    <s v="Similar Sci-Fi E"/>
    <s v="Online Ads"/>
    <n v="8085"/>
  </r>
  <r>
    <n v="110"/>
    <x v="0"/>
    <x v="2"/>
    <x v="23"/>
    <x v="104"/>
    <x v="5"/>
    <x v="96"/>
    <x v="108"/>
    <n v="108"/>
    <x v="107"/>
    <s v="Sunday"/>
    <s v="35-44"/>
    <x v="0"/>
    <s v="Australia"/>
    <n v="139"/>
    <n v="1831"/>
    <n v="134"/>
    <x v="17"/>
    <s v="Winter"/>
    <s v="High"/>
    <s v="Similar Sci-Fi E"/>
    <s v="Email Campaign"/>
    <n v="740"/>
  </r>
  <r>
    <n v="111"/>
    <x v="0"/>
    <x v="4"/>
    <x v="44"/>
    <x v="105"/>
    <x v="4"/>
    <x v="47"/>
    <x v="109"/>
    <n v="86"/>
    <x v="108"/>
    <s v="Tuesday"/>
    <s v="35-44"/>
    <x v="0"/>
    <s v="Italy"/>
    <n v="2758"/>
    <n v="151"/>
    <n v="1166"/>
    <x v="1"/>
    <s v="Spring"/>
    <s v="High"/>
    <s v="Similar Movie A"/>
    <s v="Print Media"/>
    <n v="8631"/>
  </r>
  <r>
    <n v="112"/>
    <x v="2"/>
    <x v="3"/>
    <x v="28"/>
    <x v="106"/>
    <x v="3"/>
    <x v="97"/>
    <x v="110"/>
    <n v="39"/>
    <x v="109"/>
    <s v="Friday"/>
    <s v="18-24"/>
    <x v="1"/>
    <s v="Germany"/>
    <n v="1656"/>
    <n v="8"/>
    <n v="757"/>
    <x v="36"/>
    <s v="Spring"/>
    <s v="High"/>
    <s v="Similar Doc C"/>
    <s v="Social Media"/>
    <n v="7725"/>
  </r>
  <r>
    <n v="113"/>
    <x v="2"/>
    <x v="4"/>
    <x v="25"/>
    <x v="107"/>
    <x v="6"/>
    <x v="92"/>
    <x v="111"/>
    <n v="51"/>
    <x v="110"/>
    <s v="Saturday"/>
    <s v="45-54"/>
    <x v="1"/>
    <s v="Australia"/>
    <n v="2817"/>
    <n v="9"/>
    <n v="1398"/>
    <x v="22"/>
    <s v="Fall"/>
    <s v="Medium"/>
    <s v="Similar Romance F"/>
    <s v="Social Media"/>
    <n v="14574"/>
  </r>
  <r>
    <n v="114"/>
    <x v="0"/>
    <x v="7"/>
    <x v="62"/>
    <x v="108"/>
    <x v="0"/>
    <x v="98"/>
    <x v="112"/>
    <n v="110"/>
    <x v="53"/>
    <s v="Sunday"/>
    <s v="35-44"/>
    <x v="1"/>
    <s v="USA"/>
    <n v="1949"/>
    <n v="345"/>
    <n v="1266"/>
    <x v="2"/>
    <s v="Summer"/>
    <s v="Medium"/>
    <s v="Similar Series B"/>
    <s v="Social Media"/>
    <n v="19058"/>
  </r>
  <r>
    <n v="115"/>
    <x v="1"/>
    <x v="1"/>
    <x v="22"/>
    <x v="109"/>
    <x v="1"/>
    <x v="99"/>
    <x v="113"/>
    <n v="129"/>
    <x v="111"/>
    <s v="Friday"/>
    <s v="45-54"/>
    <x v="1"/>
    <s v="Germany"/>
    <n v="843"/>
    <n v="1206"/>
    <n v="1467"/>
    <x v="19"/>
    <s v="Summer"/>
    <s v="Medium"/>
    <s v="Similar Sci-Fi E"/>
    <s v="Print Media"/>
    <n v="1326"/>
  </r>
  <r>
    <n v="116"/>
    <x v="1"/>
    <x v="6"/>
    <x v="63"/>
    <x v="110"/>
    <x v="4"/>
    <x v="100"/>
    <x v="114"/>
    <n v="51"/>
    <x v="112"/>
    <s v="Saturday"/>
    <s v="25-34"/>
    <x v="1"/>
    <s v="USA"/>
    <n v="915"/>
    <n v="507"/>
    <n v="336"/>
    <x v="2"/>
    <s v="Winter"/>
    <s v="High"/>
    <s v="Similar Sci-Fi E"/>
    <s v="Social Media"/>
    <n v="13480"/>
  </r>
  <r>
    <n v="117"/>
    <x v="0"/>
    <x v="8"/>
    <x v="56"/>
    <x v="84"/>
    <x v="5"/>
    <x v="2"/>
    <x v="115"/>
    <n v="107"/>
    <x v="113"/>
    <s v="Sunday"/>
    <s v="35-44"/>
    <x v="0"/>
    <s v="France"/>
    <n v="2705"/>
    <n v="1722"/>
    <n v="1339"/>
    <x v="3"/>
    <s v="Fall"/>
    <s v="High"/>
    <s v="Similar Romance F"/>
    <s v="Print Media"/>
    <n v="6459"/>
  </r>
  <r>
    <n v="118"/>
    <x v="0"/>
    <x v="0"/>
    <x v="21"/>
    <x v="111"/>
    <x v="0"/>
    <x v="11"/>
    <x v="116"/>
    <n v="86"/>
    <x v="114"/>
    <s v="Friday"/>
    <s v="25-34"/>
    <x v="0"/>
    <s v="USA"/>
    <n v="583"/>
    <n v="422"/>
    <n v="96"/>
    <x v="13"/>
    <s v="Fall"/>
    <s v="High"/>
    <s v="Similar History G"/>
    <s v="TV Ads"/>
    <n v="12256"/>
  </r>
  <r>
    <n v="119"/>
    <x v="1"/>
    <x v="6"/>
    <x v="21"/>
    <x v="112"/>
    <x v="3"/>
    <x v="101"/>
    <x v="117"/>
    <n v="70"/>
    <x v="115"/>
    <s v="Saturday"/>
    <s v="25-34"/>
    <x v="1"/>
    <s v="France"/>
    <n v="2452"/>
    <n v="100"/>
    <n v="577"/>
    <x v="2"/>
    <s v="Winter"/>
    <s v="Medium"/>
    <s v="Similar Thriller H"/>
    <s v="Online Ads"/>
    <n v="18862"/>
  </r>
  <r>
    <n v="120"/>
    <x v="2"/>
    <x v="7"/>
    <x v="63"/>
    <x v="113"/>
    <x v="2"/>
    <x v="102"/>
    <x v="118"/>
    <n v="85"/>
    <x v="116"/>
    <s v="Saturday"/>
    <s v="18-24"/>
    <x v="0"/>
    <s v="Canada"/>
    <n v="2021"/>
    <n v="1000"/>
    <n v="199"/>
    <x v="7"/>
    <s v="Spring"/>
    <s v="Medium"/>
    <s v="Similar Action D"/>
    <s v="Email Campaign"/>
    <n v="11270"/>
  </r>
  <r>
    <n v="121"/>
    <x v="2"/>
    <x v="4"/>
    <x v="41"/>
    <x v="114"/>
    <x v="6"/>
    <x v="103"/>
    <x v="119"/>
    <n v="24"/>
    <x v="117"/>
    <s v="Sunday"/>
    <s v="18-24"/>
    <x v="1"/>
    <s v="Italy"/>
    <n v="2840"/>
    <n v="629"/>
    <n v="78"/>
    <x v="7"/>
    <s v="Spring"/>
    <s v="High"/>
    <s v="Similar Series B"/>
    <s v="30% off"/>
    <n v="11698"/>
  </r>
  <r>
    <n v="122"/>
    <x v="2"/>
    <x v="4"/>
    <x v="64"/>
    <x v="115"/>
    <x v="6"/>
    <x v="6"/>
    <x v="120"/>
    <n v="31"/>
    <x v="75"/>
    <s v="Tuesday"/>
    <s v="35-44"/>
    <x v="1"/>
    <s v="France"/>
    <n v="1232"/>
    <n v="996"/>
    <n v="1042"/>
    <x v="37"/>
    <s v="Fall"/>
    <s v="Low"/>
    <s v="Similar History G"/>
    <s v="TV Ads"/>
    <n v="5772"/>
  </r>
  <r>
    <n v="123"/>
    <x v="2"/>
    <x v="4"/>
    <x v="51"/>
    <x v="116"/>
    <x v="3"/>
    <x v="104"/>
    <x v="121"/>
    <n v="40"/>
    <x v="118"/>
    <s v="Friday"/>
    <s v="45-54"/>
    <x v="1"/>
    <s v="India"/>
    <n v="1040"/>
    <n v="750"/>
    <n v="45"/>
    <x v="34"/>
    <s v="Fall"/>
    <s v="Medium"/>
    <s v="Similar Sci-Fi E"/>
    <s v="Print Media"/>
    <n v="11897"/>
  </r>
  <r>
    <n v="124"/>
    <x v="0"/>
    <x v="4"/>
    <x v="39"/>
    <x v="117"/>
    <x v="2"/>
    <x v="100"/>
    <x v="122"/>
    <n v="61"/>
    <x v="119"/>
    <s v="Saturday"/>
    <s v="18-24"/>
    <x v="1"/>
    <s v="Italy"/>
    <n v="2538"/>
    <n v="1313"/>
    <n v="480"/>
    <x v="31"/>
    <s v="Spring"/>
    <s v="Low"/>
    <s v="Similar Movie A"/>
    <s v="30% off"/>
    <n v="8112"/>
  </r>
  <r>
    <n v="125"/>
    <x v="0"/>
    <x v="0"/>
    <x v="40"/>
    <x v="118"/>
    <x v="1"/>
    <x v="105"/>
    <x v="123"/>
    <n v="58"/>
    <x v="120"/>
    <s v="Sunday"/>
    <s v="18-24"/>
    <x v="0"/>
    <s v="Italy"/>
    <n v="749"/>
    <n v="30"/>
    <n v="1485"/>
    <x v="2"/>
    <s v="Winter"/>
    <s v="Low"/>
    <s v="Similar Thriller H"/>
    <s v="Email Campaign"/>
    <n v="2549"/>
  </r>
  <r>
    <n v="126"/>
    <x v="1"/>
    <x v="4"/>
    <x v="50"/>
    <x v="119"/>
    <x v="3"/>
    <x v="106"/>
    <x v="124"/>
    <n v="68"/>
    <x v="121"/>
    <s v="Friday"/>
    <s v="18-24"/>
    <x v="1"/>
    <s v="Canada"/>
    <n v="1703"/>
    <n v="469"/>
    <n v="1492"/>
    <x v="0"/>
    <s v="Spring"/>
    <s v="High"/>
    <s v="Similar Doc C"/>
    <s v="Social Media"/>
    <n v="19592"/>
  </r>
  <r>
    <n v="127"/>
    <x v="2"/>
    <x v="0"/>
    <x v="65"/>
    <x v="120"/>
    <x v="0"/>
    <x v="34"/>
    <x v="125"/>
    <n v="33"/>
    <x v="122"/>
    <s v="Saturday"/>
    <s v="45-54"/>
    <x v="1"/>
    <s v="USA"/>
    <n v="96"/>
    <n v="1479"/>
    <n v="382"/>
    <x v="2"/>
    <s v="Fall"/>
    <s v="Medium"/>
    <s v="Similar Thriller H"/>
    <s v="TV Ads"/>
    <n v="4399"/>
  </r>
  <r>
    <n v="128"/>
    <x v="1"/>
    <x v="4"/>
    <x v="4"/>
    <x v="121"/>
    <x v="0"/>
    <x v="107"/>
    <x v="126"/>
    <n v="102"/>
    <x v="123"/>
    <s v="Saturday"/>
    <s v="35-44"/>
    <x v="1"/>
    <s v="USA"/>
    <n v="252"/>
    <n v="1365"/>
    <n v="1105"/>
    <x v="5"/>
    <s v="Summer"/>
    <s v="Low"/>
    <s v="Similar Romance F"/>
    <s v="Social Media"/>
    <n v="34"/>
  </r>
  <r>
    <n v="129"/>
    <x v="1"/>
    <x v="4"/>
    <x v="59"/>
    <x v="122"/>
    <x v="1"/>
    <x v="3"/>
    <x v="127"/>
    <n v="42"/>
    <x v="124"/>
    <s v="Sunday"/>
    <s v="18-24"/>
    <x v="1"/>
    <s v="Australia"/>
    <n v="2008"/>
    <n v="692"/>
    <n v="446"/>
    <x v="0"/>
    <s v="Summer"/>
    <s v="Medium"/>
    <s v="Similar Sci-Fi E"/>
    <s v="TV Ads"/>
    <n v="2112"/>
  </r>
  <r>
    <n v="130"/>
    <x v="0"/>
    <x v="0"/>
    <x v="42"/>
    <x v="123"/>
    <x v="4"/>
    <x v="108"/>
    <x v="128"/>
    <n v="38"/>
    <x v="125"/>
    <s v="Tuesday"/>
    <s v="45-54"/>
    <x v="1"/>
    <s v="India"/>
    <n v="194"/>
    <n v="1228"/>
    <n v="1496"/>
    <x v="5"/>
    <s v="Spring"/>
    <s v="Medium"/>
    <s v="Similar Romance F"/>
    <s v="Email Campaign"/>
    <n v="18158"/>
  </r>
  <r>
    <n v="131"/>
    <x v="0"/>
    <x v="5"/>
    <x v="36"/>
    <x v="124"/>
    <x v="2"/>
    <x v="109"/>
    <x v="129"/>
    <n v="94"/>
    <x v="126"/>
    <s v="Friday"/>
    <s v="45-54"/>
    <x v="1"/>
    <s v="USA"/>
    <n v="1968"/>
    <n v="513"/>
    <n v="416"/>
    <x v="28"/>
    <s v="Fall"/>
    <s v="Medium"/>
    <s v="Similar History G"/>
    <s v="Social Media"/>
    <n v="10749"/>
  </r>
  <r>
    <n v="132"/>
    <x v="0"/>
    <x v="0"/>
    <x v="18"/>
    <x v="125"/>
    <x v="3"/>
    <x v="110"/>
    <x v="130"/>
    <n v="62"/>
    <x v="127"/>
    <s v="Saturday"/>
    <s v="25-34"/>
    <x v="1"/>
    <s v="USA"/>
    <n v="1635"/>
    <n v="1455"/>
    <n v="560"/>
    <x v="3"/>
    <s v="Winter"/>
    <s v="Low"/>
    <s v="Similar Doc C"/>
    <s v="Social Media"/>
    <n v="6852"/>
  </r>
  <r>
    <n v="133"/>
    <x v="0"/>
    <x v="5"/>
    <x v="64"/>
    <x v="109"/>
    <x v="3"/>
    <x v="111"/>
    <x v="131"/>
    <n v="88"/>
    <x v="128"/>
    <s v="Sunday"/>
    <s v="45-54"/>
    <x v="1"/>
    <s v="UK"/>
    <n v="1602"/>
    <n v="644"/>
    <n v="980"/>
    <x v="6"/>
    <s v="Summer"/>
    <s v="Medium"/>
    <s v="Similar Thriller H"/>
    <s v="Email Campaign"/>
    <n v="6429"/>
  </r>
  <r>
    <n v="134"/>
    <x v="0"/>
    <x v="4"/>
    <x v="3"/>
    <x v="126"/>
    <x v="3"/>
    <x v="60"/>
    <x v="132"/>
    <n v="35"/>
    <x v="92"/>
    <s v="Friday"/>
    <s v="18-24"/>
    <x v="0"/>
    <s v="Canada"/>
    <n v="479"/>
    <n v="1333"/>
    <n v="1072"/>
    <x v="5"/>
    <s v="Winter"/>
    <s v="Medium"/>
    <s v="Similar Sci-Fi E"/>
    <s v="Print Media"/>
    <n v="13401"/>
  </r>
  <r>
    <n v="135"/>
    <x v="0"/>
    <x v="3"/>
    <x v="50"/>
    <x v="127"/>
    <x v="3"/>
    <x v="27"/>
    <x v="133"/>
    <n v="44"/>
    <x v="129"/>
    <s v="Saturday"/>
    <s v="18-24"/>
    <x v="0"/>
    <s v="UK"/>
    <n v="386"/>
    <n v="1234"/>
    <n v="391"/>
    <x v="31"/>
    <s v="Spring"/>
    <s v="Medium"/>
    <s v="Similar Movie A"/>
    <s v="TV Ads"/>
    <n v="9479"/>
  </r>
  <r>
    <n v="136"/>
    <x v="0"/>
    <x v="5"/>
    <x v="66"/>
    <x v="128"/>
    <x v="6"/>
    <x v="112"/>
    <x v="134"/>
    <n v="113"/>
    <x v="130"/>
    <s v="Sunday"/>
    <s v="25-34"/>
    <x v="0"/>
    <s v="Italy"/>
    <n v="557"/>
    <n v="99"/>
    <n v="1082"/>
    <x v="12"/>
    <s v="Spring"/>
    <s v="Medium"/>
    <s v="Similar Sci-Fi E"/>
    <s v="Print Media"/>
    <n v="3102"/>
  </r>
  <r>
    <n v="137"/>
    <x v="1"/>
    <x v="2"/>
    <x v="33"/>
    <x v="129"/>
    <x v="2"/>
    <x v="77"/>
    <x v="135"/>
    <n v="108"/>
    <x v="131"/>
    <s v="Friday"/>
    <s v="35-44"/>
    <x v="0"/>
    <s v="Germany"/>
    <n v="493"/>
    <n v="614"/>
    <n v="1067"/>
    <x v="17"/>
    <s v="Winter"/>
    <s v="Low"/>
    <s v="Similar Doc C"/>
    <s v="Social Media"/>
    <n v="7022"/>
  </r>
  <r>
    <n v="138"/>
    <x v="2"/>
    <x v="3"/>
    <x v="21"/>
    <x v="130"/>
    <x v="2"/>
    <x v="27"/>
    <x v="136"/>
    <n v="27"/>
    <x v="132"/>
    <s v="Saturday"/>
    <s v="35-44"/>
    <x v="1"/>
    <s v="Germany"/>
    <n v="446"/>
    <n v="769"/>
    <n v="997"/>
    <x v="5"/>
    <s v="Winter"/>
    <s v="Medium"/>
    <s v="Similar Action D"/>
    <s v="Social Media"/>
    <n v="15471"/>
  </r>
  <r>
    <n v="139"/>
    <x v="0"/>
    <x v="8"/>
    <x v="30"/>
    <x v="131"/>
    <x v="6"/>
    <x v="32"/>
    <x v="137"/>
    <n v="32"/>
    <x v="133"/>
    <s v="Saturday"/>
    <s v="18-24"/>
    <x v="1"/>
    <s v="Italy"/>
    <n v="270"/>
    <n v="246"/>
    <n v="528"/>
    <x v="5"/>
    <s v="Spring"/>
    <s v="High"/>
    <s v="Similar Action D"/>
    <s v="Print Media"/>
    <n v="14841"/>
  </r>
  <r>
    <n v="140"/>
    <x v="2"/>
    <x v="6"/>
    <x v="33"/>
    <x v="132"/>
    <x v="3"/>
    <x v="113"/>
    <x v="138"/>
    <n v="32"/>
    <x v="134"/>
    <s v="Sunday"/>
    <s v="18-24"/>
    <x v="0"/>
    <s v="France"/>
    <n v="2643"/>
    <n v="816"/>
    <n v="1057"/>
    <x v="2"/>
    <s v="Summer"/>
    <s v="High"/>
    <s v="Similar History G"/>
    <s v="Print Media"/>
    <n v="10483"/>
  </r>
  <r>
    <n v="141"/>
    <x v="2"/>
    <x v="5"/>
    <x v="3"/>
    <x v="133"/>
    <x v="5"/>
    <x v="83"/>
    <x v="139"/>
    <n v="46"/>
    <x v="135"/>
    <s v="Tuesday"/>
    <s v="18-24"/>
    <x v="0"/>
    <s v="Italy"/>
    <n v="335"/>
    <n v="642"/>
    <n v="322"/>
    <x v="29"/>
    <s v="Winter"/>
    <s v="Low"/>
    <s v="Similar Action D"/>
    <s v="Online Ads"/>
    <n v="10062"/>
  </r>
  <r>
    <n v="142"/>
    <x v="1"/>
    <x v="1"/>
    <x v="28"/>
    <x v="134"/>
    <x v="5"/>
    <x v="114"/>
    <x v="140"/>
    <n v="114"/>
    <x v="136"/>
    <s v="Friday"/>
    <s v="45-54"/>
    <x v="1"/>
    <s v="UK"/>
    <n v="2516"/>
    <n v="1040"/>
    <n v="528"/>
    <x v="1"/>
    <s v="Summer"/>
    <s v="Medium"/>
    <s v="Similar Thriller H"/>
    <s v="Social Media"/>
    <n v="4648"/>
  </r>
  <r>
    <n v="143"/>
    <x v="0"/>
    <x v="4"/>
    <x v="62"/>
    <x v="92"/>
    <x v="3"/>
    <x v="102"/>
    <x v="141"/>
    <n v="28"/>
    <x v="137"/>
    <s v="Saturday"/>
    <s v="35-44"/>
    <x v="1"/>
    <s v="Italy"/>
    <n v="1045"/>
    <n v="599"/>
    <n v="823"/>
    <x v="30"/>
    <s v="Winter"/>
    <s v="Medium"/>
    <s v="Similar Series B"/>
    <s v="Print Media"/>
    <n v="18006"/>
  </r>
  <r>
    <n v="144"/>
    <x v="1"/>
    <x v="5"/>
    <x v="20"/>
    <x v="135"/>
    <x v="5"/>
    <x v="115"/>
    <x v="142"/>
    <n v="28"/>
    <x v="138"/>
    <s v="Sunday"/>
    <s v="45-54"/>
    <x v="1"/>
    <s v="Australia"/>
    <n v="991"/>
    <n v="1639"/>
    <n v="845"/>
    <x v="23"/>
    <s v="Fall"/>
    <s v="High"/>
    <s v="Similar Series B"/>
    <s v="Online Ads"/>
    <n v="19385"/>
  </r>
  <r>
    <n v="145"/>
    <x v="2"/>
    <x v="3"/>
    <x v="45"/>
    <x v="136"/>
    <x v="3"/>
    <x v="34"/>
    <x v="143"/>
    <n v="47"/>
    <x v="139"/>
    <s v="Friday"/>
    <s v="18-24"/>
    <x v="0"/>
    <s v="Australia"/>
    <n v="1351"/>
    <n v="525"/>
    <n v="261"/>
    <x v="20"/>
    <s v="Winter"/>
    <s v="Medium"/>
    <s v="Similar Sci-Fi E"/>
    <s v="Online Ads"/>
    <n v="19982"/>
  </r>
  <r>
    <n v="146"/>
    <x v="2"/>
    <x v="1"/>
    <x v="27"/>
    <x v="137"/>
    <x v="1"/>
    <x v="116"/>
    <x v="144"/>
    <n v="52"/>
    <x v="140"/>
    <s v="Saturday"/>
    <s v="25-34"/>
    <x v="1"/>
    <s v="Italy"/>
    <n v="946"/>
    <n v="1930"/>
    <n v="1452"/>
    <x v="38"/>
    <s v="Summer"/>
    <s v="High"/>
    <s v="Similar Sci-Fi E"/>
    <s v="Online Ads"/>
    <n v="16377"/>
  </r>
  <r>
    <n v="147"/>
    <x v="2"/>
    <x v="3"/>
    <x v="29"/>
    <x v="138"/>
    <x v="6"/>
    <x v="117"/>
    <x v="145"/>
    <n v="54"/>
    <x v="141"/>
    <s v="Saturday"/>
    <s v="25-34"/>
    <x v="0"/>
    <s v="Canada"/>
    <n v="2028"/>
    <n v="554"/>
    <n v="79"/>
    <x v="31"/>
    <s v="Winter"/>
    <s v="Medium"/>
    <s v="Similar History G"/>
    <s v="TV Ads"/>
    <n v="985"/>
  </r>
  <r>
    <n v="148"/>
    <x v="1"/>
    <x v="7"/>
    <x v="45"/>
    <x v="139"/>
    <x v="0"/>
    <x v="118"/>
    <x v="146"/>
    <n v="36"/>
    <x v="142"/>
    <s v="Sunday"/>
    <s v="25-34"/>
    <x v="1"/>
    <s v="France"/>
    <n v="766"/>
    <n v="547"/>
    <n v="911"/>
    <x v="0"/>
    <s v="Winter"/>
    <s v="Medium"/>
    <s v="Similar Action D"/>
    <s v="30% off"/>
    <n v="16292"/>
  </r>
  <r>
    <n v="149"/>
    <x v="2"/>
    <x v="8"/>
    <x v="55"/>
    <x v="140"/>
    <x v="1"/>
    <x v="119"/>
    <x v="147"/>
    <n v="55"/>
    <x v="143"/>
    <s v="Tuesday"/>
    <s v="35-44"/>
    <x v="1"/>
    <s v="India"/>
    <n v="2519"/>
    <n v="597"/>
    <n v="378"/>
    <x v="3"/>
    <s v="Fall"/>
    <s v="High"/>
    <s v="Similar History G"/>
    <s v="Online Ads"/>
    <n v="13258"/>
  </r>
  <r>
    <n v="150"/>
    <x v="1"/>
    <x v="4"/>
    <x v="53"/>
    <x v="141"/>
    <x v="0"/>
    <x v="120"/>
    <x v="148"/>
    <n v="78"/>
    <x v="144"/>
    <s v="Friday"/>
    <s v="18-24"/>
    <x v="1"/>
    <s v="Italy"/>
    <n v="1804"/>
    <n v="710"/>
    <n v="213"/>
    <x v="38"/>
    <s v="Summer"/>
    <s v="Low"/>
    <s v="Similar History G"/>
    <s v="Online Ads"/>
    <n v="3989"/>
  </r>
  <r>
    <n v="151"/>
    <x v="2"/>
    <x v="3"/>
    <x v="54"/>
    <x v="142"/>
    <x v="3"/>
    <x v="121"/>
    <x v="149"/>
    <n v="64"/>
    <x v="145"/>
    <s v="Saturday"/>
    <s v="35-44"/>
    <x v="1"/>
    <s v="Australia"/>
    <n v="2342"/>
    <n v="1648"/>
    <n v="464"/>
    <x v="33"/>
    <s v="Summer"/>
    <s v="Medium"/>
    <s v="Similar Series B"/>
    <s v="30% off"/>
    <n v="17809"/>
  </r>
  <r>
    <n v="152"/>
    <x v="1"/>
    <x v="0"/>
    <x v="49"/>
    <x v="143"/>
    <x v="5"/>
    <x v="122"/>
    <x v="150"/>
    <n v="34"/>
    <x v="146"/>
    <s v="Sunday"/>
    <s v="18-24"/>
    <x v="0"/>
    <s v="USA"/>
    <n v="2741"/>
    <n v="1087"/>
    <n v="467"/>
    <x v="14"/>
    <s v="Spring"/>
    <s v="Medium"/>
    <s v="Similar Series B"/>
    <s v="TV Ads"/>
    <n v="13347"/>
  </r>
  <r>
    <n v="153"/>
    <x v="2"/>
    <x v="7"/>
    <x v="61"/>
    <x v="144"/>
    <x v="2"/>
    <x v="97"/>
    <x v="151"/>
    <n v="55"/>
    <x v="71"/>
    <s v="Friday"/>
    <s v="35-44"/>
    <x v="1"/>
    <s v="USA"/>
    <n v="2517"/>
    <n v="552"/>
    <n v="1173"/>
    <x v="31"/>
    <s v="Spring"/>
    <s v="High"/>
    <s v="Similar Series B"/>
    <s v="30% off"/>
    <n v="11931"/>
  </r>
  <r>
    <n v="154"/>
    <x v="1"/>
    <x v="0"/>
    <x v="32"/>
    <x v="145"/>
    <x v="2"/>
    <x v="123"/>
    <x v="152"/>
    <n v="94"/>
    <x v="147"/>
    <s v="Saturday"/>
    <s v="18-24"/>
    <x v="1"/>
    <s v="UK"/>
    <n v="1953"/>
    <n v="674"/>
    <n v="1359"/>
    <x v="14"/>
    <s v="Summer"/>
    <s v="Low"/>
    <s v="Similar History G"/>
    <s v="TV Ads"/>
    <n v="16853"/>
  </r>
  <r>
    <n v="155"/>
    <x v="0"/>
    <x v="7"/>
    <x v="52"/>
    <x v="146"/>
    <x v="2"/>
    <x v="6"/>
    <x v="153"/>
    <n v="31"/>
    <x v="36"/>
    <s v="Sunday"/>
    <s v="25-34"/>
    <x v="0"/>
    <s v="Canada"/>
    <n v="571"/>
    <n v="458"/>
    <n v="296"/>
    <x v="19"/>
    <s v="Summer"/>
    <s v="Medium"/>
    <s v="Similar Sci-Fi E"/>
    <s v="TV Ads"/>
    <n v="14399"/>
  </r>
  <r>
    <n v="156"/>
    <x v="0"/>
    <x v="4"/>
    <x v="14"/>
    <x v="147"/>
    <x v="5"/>
    <x v="124"/>
    <x v="154"/>
    <n v="73"/>
    <x v="148"/>
    <s v="Friday"/>
    <s v="18-24"/>
    <x v="1"/>
    <s v="Italy"/>
    <n v="1599"/>
    <n v="767"/>
    <n v="1321"/>
    <x v="29"/>
    <s v="Summer"/>
    <s v="Low"/>
    <s v="Similar Thriller H"/>
    <s v="30% off"/>
    <n v="14195"/>
  </r>
  <r>
    <n v="157"/>
    <x v="0"/>
    <x v="0"/>
    <x v="42"/>
    <x v="148"/>
    <x v="3"/>
    <x v="125"/>
    <x v="155"/>
    <n v="82"/>
    <x v="149"/>
    <s v="Saturday"/>
    <s v="35-44"/>
    <x v="1"/>
    <s v="Canada"/>
    <n v="2525"/>
    <n v="506"/>
    <n v="890"/>
    <x v="4"/>
    <s v="Summer"/>
    <s v="High"/>
    <s v="Similar Romance F"/>
    <s v="Online Ads"/>
    <n v="8305"/>
  </r>
  <r>
    <n v="158"/>
    <x v="0"/>
    <x v="7"/>
    <x v="49"/>
    <x v="149"/>
    <x v="1"/>
    <x v="9"/>
    <x v="156"/>
    <n v="129"/>
    <x v="150"/>
    <s v="Saturday"/>
    <s v="25-34"/>
    <x v="0"/>
    <s v="Italy"/>
    <n v="989"/>
    <n v="1422"/>
    <n v="1487"/>
    <x v="25"/>
    <s v="Fall"/>
    <s v="Low"/>
    <s v="Similar History G"/>
    <s v="Social Media"/>
    <n v="14832"/>
  </r>
  <r>
    <n v="159"/>
    <x v="0"/>
    <x v="7"/>
    <x v="11"/>
    <x v="150"/>
    <x v="1"/>
    <x v="126"/>
    <x v="157"/>
    <n v="61"/>
    <x v="151"/>
    <s v="Sunday"/>
    <s v="35-44"/>
    <x v="1"/>
    <s v="UK"/>
    <n v="374"/>
    <n v="1000"/>
    <n v="652"/>
    <x v="8"/>
    <s v="Spring"/>
    <s v="Low"/>
    <s v="Similar Romance F"/>
    <s v="Online Ads"/>
    <n v="16059"/>
  </r>
  <r>
    <n v="160"/>
    <x v="2"/>
    <x v="7"/>
    <x v="65"/>
    <x v="151"/>
    <x v="3"/>
    <x v="13"/>
    <x v="158"/>
    <n v="77"/>
    <x v="152"/>
    <s v="Tuesday"/>
    <s v="35-44"/>
    <x v="0"/>
    <s v="Canada"/>
    <n v="118"/>
    <n v="527"/>
    <n v="360"/>
    <x v="17"/>
    <s v="Spring"/>
    <s v="Low"/>
    <s v="Similar Series B"/>
    <s v="Social Media"/>
    <n v="4011"/>
  </r>
  <r>
    <n v="161"/>
    <x v="1"/>
    <x v="5"/>
    <x v="60"/>
    <x v="152"/>
    <x v="5"/>
    <x v="127"/>
    <x v="159"/>
    <n v="117"/>
    <x v="153"/>
    <s v="Friday"/>
    <s v="18-24"/>
    <x v="1"/>
    <s v="France"/>
    <n v="1499"/>
    <n v="1267"/>
    <n v="837"/>
    <x v="2"/>
    <s v="Summer"/>
    <s v="High"/>
    <s v="Similar Doc C"/>
    <s v="Online Ads"/>
    <n v="4388"/>
  </r>
  <r>
    <n v="162"/>
    <x v="2"/>
    <x v="5"/>
    <x v="12"/>
    <x v="153"/>
    <x v="0"/>
    <x v="128"/>
    <x v="160"/>
    <n v="58"/>
    <x v="154"/>
    <s v="Saturday"/>
    <s v="18-24"/>
    <x v="1"/>
    <s v="France"/>
    <n v="674"/>
    <n v="1057"/>
    <n v="1194"/>
    <x v="1"/>
    <s v="Summer"/>
    <s v="Low"/>
    <s v="Similar Series B"/>
    <s v="30% off"/>
    <n v="19823"/>
  </r>
  <r>
    <n v="163"/>
    <x v="2"/>
    <x v="4"/>
    <x v="1"/>
    <x v="154"/>
    <x v="5"/>
    <x v="48"/>
    <x v="161"/>
    <n v="53"/>
    <x v="155"/>
    <s v="Sunday"/>
    <s v="35-44"/>
    <x v="1"/>
    <s v="USA"/>
    <n v="756"/>
    <n v="748"/>
    <n v="241"/>
    <x v="5"/>
    <s v="Summer"/>
    <s v="Low"/>
    <s v="Similar Action D"/>
    <s v="Online Ads"/>
    <n v="5842"/>
  </r>
  <r>
    <n v="164"/>
    <x v="0"/>
    <x v="8"/>
    <x v="36"/>
    <x v="155"/>
    <x v="4"/>
    <x v="129"/>
    <x v="162"/>
    <n v="41"/>
    <x v="65"/>
    <s v="Friday"/>
    <s v="45-54"/>
    <x v="0"/>
    <s v="UK"/>
    <n v="817"/>
    <n v="321"/>
    <n v="211"/>
    <x v="34"/>
    <s v="Summer"/>
    <s v="High"/>
    <s v="Similar Action D"/>
    <s v="30% off"/>
    <n v="14327"/>
  </r>
  <r>
    <n v="165"/>
    <x v="1"/>
    <x v="0"/>
    <x v="67"/>
    <x v="156"/>
    <x v="6"/>
    <x v="130"/>
    <x v="163"/>
    <n v="133"/>
    <x v="156"/>
    <s v="Saturday"/>
    <s v="25-34"/>
    <x v="0"/>
    <s v="UK"/>
    <n v="2764"/>
    <n v="341"/>
    <n v="236"/>
    <x v="38"/>
    <s v="Winter"/>
    <s v="High"/>
    <s v="Similar Movie A"/>
    <s v="TV Ads"/>
    <n v="36"/>
  </r>
  <r>
    <n v="166"/>
    <x v="2"/>
    <x v="8"/>
    <x v="55"/>
    <x v="157"/>
    <x v="1"/>
    <x v="131"/>
    <x v="164"/>
    <n v="38"/>
    <x v="157"/>
    <s v="Saturday"/>
    <s v="25-34"/>
    <x v="0"/>
    <s v="Australia"/>
    <n v="1036"/>
    <n v="1673"/>
    <n v="1441"/>
    <x v="5"/>
    <s v="Winter"/>
    <s v="Medium"/>
    <s v="Similar Thriller H"/>
    <s v="Print Media"/>
    <n v="5966"/>
  </r>
  <r>
    <n v="167"/>
    <x v="0"/>
    <x v="3"/>
    <x v="9"/>
    <x v="158"/>
    <x v="6"/>
    <x v="94"/>
    <x v="165"/>
    <n v="39"/>
    <x v="158"/>
    <s v="Sunday"/>
    <s v="25-34"/>
    <x v="0"/>
    <s v="USA"/>
    <n v="1810"/>
    <n v="977"/>
    <n v="1471"/>
    <x v="38"/>
    <s v="Spring"/>
    <s v="High"/>
    <s v="Similar Romance F"/>
    <s v="TV Ads"/>
    <n v="11815"/>
  </r>
  <r>
    <n v="168"/>
    <x v="2"/>
    <x v="5"/>
    <x v="68"/>
    <x v="159"/>
    <x v="6"/>
    <x v="35"/>
    <x v="166"/>
    <n v="46"/>
    <x v="159"/>
    <s v="Tuesday"/>
    <s v="25-34"/>
    <x v="1"/>
    <s v="USA"/>
    <n v="2337"/>
    <n v="1570"/>
    <n v="900"/>
    <x v="2"/>
    <s v="Summer"/>
    <s v="Low"/>
    <s v="Similar Movie A"/>
    <s v="Online Ads"/>
    <n v="6799"/>
  </r>
  <r>
    <n v="169"/>
    <x v="1"/>
    <x v="4"/>
    <x v="69"/>
    <x v="160"/>
    <x v="1"/>
    <x v="132"/>
    <x v="167"/>
    <n v="94"/>
    <x v="160"/>
    <s v="Friday"/>
    <s v="18-24"/>
    <x v="1"/>
    <s v="India"/>
    <n v="1785"/>
    <n v="238"/>
    <n v="107"/>
    <x v="34"/>
    <s v="Summer"/>
    <s v="Low"/>
    <s v="Similar Action D"/>
    <s v="Online Ads"/>
    <n v="8971"/>
  </r>
  <r>
    <n v="170"/>
    <x v="2"/>
    <x v="6"/>
    <x v="65"/>
    <x v="161"/>
    <x v="1"/>
    <x v="133"/>
    <x v="168"/>
    <n v="30"/>
    <x v="161"/>
    <s v="Saturday"/>
    <s v="25-34"/>
    <x v="0"/>
    <s v="India"/>
    <n v="1944"/>
    <n v="1512"/>
    <n v="1341"/>
    <x v="33"/>
    <s v="Fall"/>
    <s v="High"/>
    <s v="Similar Movie A"/>
    <s v="30% off"/>
    <n v="16886"/>
  </r>
  <r>
    <n v="171"/>
    <x v="0"/>
    <x v="4"/>
    <x v="65"/>
    <x v="162"/>
    <x v="4"/>
    <x v="134"/>
    <x v="169"/>
    <n v="65"/>
    <x v="162"/>
    <s v="Sunday"/>
    <s v="45-54"/>
    <x v="1"/>
    <s v="UK"/>
    <n v="1889"/>
    <n v="656"/>
    <n v="95"/>
    <x v="19"/>
    <s v="Fall"/>
    <s v="Low"/>
    <s v="Similar Doc C"/>
    <s v="Social Media"/>
    <n v="16743"/>
  </r>
  <r>
    <n v="172"/>
    <x v="2"/>
    <x v="8"/>
    <x v="17"/>
    <x v="17"/>
    <x v="4"/>
    <x v="135"/>
    <x v="170"/>
    <n v="36"/>
    <x v="163"/>
    <s v="Friday"/>
    <s v="18-24"/>
    <x v="0"/>
    <s v="Australia"/>
    <n v="1974"/>
    <n v="1265"/>
    <n v="330"/>
    <x v="27"/>
    <s v="Winter"/>
    <s v="High"/>
    <s v="Similar Movie A"/>
    <s v="Print Media"/>
    <n v="2774"/>
  </r>
  <r>
    <n v="173"/>
    <x v="2"/>
    <x v="3"/>
    <x v="47"/>
    <x v="163"/>
    <x v="3"/>
    <x v="131"/>
    <x v="171"/>
    <n v="61"/>
    <x v="164"/>
    <s v="Saturday"/>
    <s v="35-44"/>
    <x v="1"/>
    <s v="Italy"/>
    <n v="1028"/>
    <n v="1608"/>
    <n v="1131"/>
    <x v="3"/>
    <s v="Summer"/>
    <s v="Low"/>
    <s v="Similar Doc C"/>
    <s v="30% off"/>
    <n v="3319"/>
  </r>
  <r>
    <n v="174"/>
    <x v="0"/>
    <x v="6"/>
    <x v="47"/>
    <x v="80"/>
    <x v="0"/>
    <x v="136"/>
    <x v="172"/>
    <n v="78"/>
    <x v="165"/>
    <s v="Sunday"/>
    <s v="18-24"/>
    <x v="1"/>
    <s v="Germany"/>
    <n v="1169"/>
    <n v="1619"/>
    <n v="107"/>
    <x v="7"/>
    <s v="Fall"/>
    <s v="Medium"/>
    <s v="Similar Series B"/>
    <s v="Social Media"/>
    <n v="11472"/>
  </r>
  <r>
    <n v="175"/>
    <x v="1"/>
    <x v="1"/>
    <x v="62"/>
    <x v="54"/>
    <x v="1"/>
    <x v="137"/>
    <x v="173"/>
    <n v="46"/>
    <x v="166"/>
    <s v="Friday"/>
    <s v="18-24"/>
    <x v="0"/>
    <s v="India"/>
    <n v="519"/>
    <n v="860"/>
    <n v="80"/>
    <x v="3"/>
    <s v="Spring"/>
    <s v="Low"/>
    <s v="Similar Romance F"/>
    <s v="Email Campaign"/>
    <n v="8569"/>
  </r>
  <r>
    <n v="176"/>
    <x v="0"/>
    <x v="4"/>
    <x v="42"/>
    <x v="94"/>
    <x v="6"/>
    <x v="138"/>
    <x v="174"/>
    <n v="66"/>
    <x v="167"/>
    <s v="Saturday"/>
    <s v="25-34"/>
    <x v="1"/>
    <s v="Italy"/>
    <n v="2592"/>
    <n v="111"/>
    <n v="92"/>
    <x v="14"/>
    <s v="Winter"/>
    <s v="Medium"/>
    <s v="Similar Thriller H"/>
    <s v="Email Campaign"/>
    <n v="9403"/>
  </r>
  <r>
    <n v="177"/>
    <x v="0"/>
    <x v="6"/>
    <x v="65"/>
    <x v="164"/>
    <x v="5"/>
    <x v="2"/>
    <x v="175"/>
    <n v="42"/>
    <x v="89"/>
    <s v="Saturday"/>
    <s v="35-44"/>
    <x v="1"/>
    <s v="Germany"/>
    <n v="2219"/>
    <n v="54"/>
    <n v="124"/>
    <x v="16"/>
    <s v="Summer"/>
    <s v="Low"/>
    <s v="Similar Romance F"/>
    <s v="30% off"/>
    <n v="15712"/>
  </r>
  <r>
    <n v="178"/>
    <x v="1"/>
    <x v="4"/>
    <x v="68"/>
    <x v="165"/>
    <x v="5"/>
    <x v="139"/>
    <x v="176"/>
    <n v="68"/>
    <x v="30"/>
    <s v="Sunday"/>
    <s v="35-44"/>
    <x v="0"/>
    <s v="USA"/>
    <n v="765"/>
    <n v="57"/>
    <n v="954"/>
    <x v="16"/>
    <s v="Fall"/>
    <s v="Low"/>
    <s v="Similar Thriller H"/>
    <s v="Social Media"/>
    <n v="2767"/>
  </r>
  <r>
    <n v="179"/>
    <x v="2"/>
    <x v="3"/>
    <x v="63"/>
    <x v="166"/>
    <x v="6"/>
    <x v="140"/>
    <x v="177"/>
    <n v="31"/>
    <x v="168"/>
    <s v="Tuesday"/>
    <s v="35-44"/>
    <x v="0"/>
    <s v="Germany"/>
    <n v="1509"/>
    <n v="479"/>
    <n v="336"/>
    <x v="30"/>
    <s v="Spring"/>
    <s v="Low"/>
    <s v="Similar Romance F"/>
    <s v="Email Campaign"/>
    <n v="8705"/>
  </r>
  <r>
    <n v="180"/>
    <x v="1"/>
    <x v="4"/>
    <x v="11"/>
    <x v="167"/>
    <x v="0"/>
    <x v="141"/>
    <x v="178"/>
    <n v="59"/>
    <x v="169"/>
    <s v="Friday"/>
    <s v="18-24"/>
    <x v="0"/>
    <s v="Germany"/>
    <n v="289"/>
    <n v="1141"/>
    <n v="185"/>
    <x v="2"/>
    <s v="Spring"/>
    <s v="Medium"/>
    <s v="Similar Movie A"/>
    <s v="Social Media"/>
    <n v="4813"/>
  </r>
  <r>
    <n v="181"/>
    <x v="0"/>
    <x v="6"/>
    <x v="38"/>
    <x v="168"/>
    <x v="5"/>
    <x v="142"/>
    <x v="179"/>
    <n v="101"/>
    <x v="170"/>
    <s v="Saturday"/>
    <s v="25-34"/>
    <x v="1"/>
    <s v="Australia"/>
    <n v="1347"/>
    <n v="1310"/>
    <n v="327"/>
    <x v="36"/>
    <s v="Winter"/>
    <s v="Medium"/>
    <s v="Similar Series B"/>
    <s v="30% off"/>
    <n v="7254"/>
  </r>
  <r>
    <n v="182"/>
    <x v="0"/>
    <x v="6"/>
    <x v="62"/>
    <x v="169"/>
    <x v="1"/>
    <x v="143"/>
    <x v="180"/>
    <n v="98"/>
    <x v="171"/>
    <s v="Sunday"/>
    <s v="25-34"/>
    <x v="0"/>
    <s v="Germany"/>
    <n v="1719"/>
    <n v="1537"/>
    <n v="143"/>
    <x v="35"/>
    <s v="Spring"/>
    <s v="Medium"/>
    <s v="Similar Romance F"/>
    <s v="Social Media"/>
    <n v="1762"/>
  </r>
  <r>
    <n v="183"/>
    <x v="2"/>
    <x v="8"/>
    <x v="52"/>
    <x v="170"/>
    <x v="4"/>
    <x v="144"/>
    <x v="181"/>
    <n v="35"/>
    <x v="172"/>
    <s v="Friday"/>
    <s v="25-34"/>
    <x v="0"/>
    <s v="UK"/>
    <n v="2553"/>
    <n v="192"/>
    <n v="887"/>
    <x v="8"/>
    <s v="Fall"/>
    <s v="High"/>
    <s v="Similar Doc C"/>
    <s v="TV Ads"/>
    <n v="19345"/>
  </r>
  <r>
    <n v="184"/>
    <x v="1"/>
    <x v="5"/>
    <x v="32"/>
    <x v="171"/>
    <x v="2"/>
    <x v="145"/>
    <x v="182"/>
    <n v="28"/>
    <x v="173"/>
    <s v="Saturday"/>
    <s v="25-34"/>
    <x v="0"/>
    <s v="UK"/>
    <n v="2513"/>
    <n v="1107"/>
    <n v="1395"/>
    <x v="5"/>
    <s v="Spring"/>
    <s v="High"/>
    <s v="Similar Movie A"/>
    <s v="Social Media"/>
    <n v="10703"/>
  </r>
  <r>
    <n v="185"/>
    <x v="2"/>
    <x v="3"/>
    <x v="47"/>
    <x v="172"/>
    <x v="3"/>
    <x v="71"/>
    <x v="183"/>
    <n v="75"/>
    <x v="174"/>
    <s v="Saturday"/>
    <s v="35-44"/>
    <x v="1"/>
    <s v="India"/>
    <n v="1337"/>
    <n v="162"/>
    <n v="60"/>
    <x v="19"/>
    <s v="Spring"/>
    <s v="High"/>
    <s v="Similar Action D"/>
    <s v="TV Ads"/>
    <n v="7615"/>
  </r>
  <r>
    <n v="186"/>
    <x v="2"/>
    <x v="0"/>
    <x v="7"/>
    <x v="173"/>
    <x v="6"/>
    <x v="117"/>
    <x v="184"/>
    <n v="31"/>
    <x v="175"/>
    <s v="Sunday"/>
    <s v="35-44"/>
    <x v="0"/>
    <s v="USA"/>
    <n v="1311"/>
    <n v="1344"/>
    <n v="827"/>
    <x v="8"/>
    <s v="Winter"/>
    <s v="High"/>
    <s v="Similar History G"/>
    <s v="Online Ads"/>
    <n v="8406"/>
  </r>
  <r>
    <n v="187"/>
    <x v="2"/>
    <x v="8"/>
    <x v="35"/>
    <x v="174"/>
    <x v="6"/>
    <x v="51"/>
    <x v="185"/>
    <n v="36"/>
    <x v="176"/>
    <s v="Tuesday"/>
    <s v="25-34"/>
    <x v="1"/>
    <s v="Italy"/>
    <n v="1236"/>
    <n v="763"/>
    <n v="1120"/>
    <x v="3"/>
    <s v="Summer"/>
    <s v="High"/>
    <s v="Similar Romance F"/>
    <s v="TV Ads"/>
    <n v="12705"/>
  </r>
  <r>
    <n v="188"/>
    <x v="1"/>
    <x v="8"/>
    <x v="69"/>
    <x v="175"/>
    <x v="1"/>
    <x v="115"/>
    <x v="186"/>
    <n v="30"/>
    <x v="177"/>
    <s v="Friday"/>
    <s v="18-24"/>
    <x v="0"/>
    <s v="UK"/>
    <n v="1524"/>
    <n v="1981"/>
    <n v="475"/>
    <x v="19"/>
    <s v="Fall"/>
    <s v="Medium"/>
    <s v="Similar Doc C"/>
    <s v="Print Media"/>
    <n v="1886"/>
  </r>
  <r>
    <n v="189"/>
    <x v="2"/>
    <x v="5"/>
    <x v="42"/>
    <x v="176"/>
    <x v="5"/>
    <x v="146"/>
    <x v="187"/>
    <n v="54"/>
    <x v="178"/>
    <s v="Saturday"/>
    <s v="18-24"/>
    <x v="1"/>
    <s v="UK"/>
    <n v="571"/>
    <n v="1907"/>
    <n v="435"/>
    <x v="4"/>
    <s v="Fall"/>
    <s v="Medium"/>
    <s v="Similar Action D"/>
    <s v="30% off"/>
    <n v="9776"/>
  </r>
  <r>
    <n v="190"/>
    <x v="0"/>
    <x v="4"/>
    <x v="70"/>
    <x v="177"/>
    <x v="0"/>
    <x v="68"/>
    <x v="188"/>
    <n v="106"/>
    <x v="179"/>
    <s v="Sunday"/>
    <s v="45-54"/>
    <x v="1"/>
    <s v="USA"/>
    <n v="257"/>
    <n v="1306"/>
    <n v="1499"/>
    <x v="2"/>
    <s v="Fall"/>
    <s v="High"/>
    <s v="Similar Sci-Fi E"/>
    <s v="Online Ads"/>
    <n v="4342"/>
  </r>
  <r>
    <n v="191"/>
    <x v="1"/>
    <x v="2"/>
    <x v="43"/>
    <x v="178"/>
    <x v="0"/>
    <x v="147"/>
    <x v="189"/>
    <n v="119"/>
    <x v="134"/>
    <s v="Friday"/>
    <s v="35-44"/>
    <x v="0"/>
    <s v="France"/>
    <n v="2525"/>
    <n v="681"/>
    <n v="333"/>
    <x v="30"/>
    <s v="Winter"/>
    <s v="Medium"/>
    <s v="Similar Movie A"/>
    <s v="Print Media"/>
    <n v="3027"/>
  </r>
  <r>
    <n v="192"/>
    <x v="2"/>
    <x v="2"/>
    <x v="71"/>
    <x v="179"/>
    <x v="2"/>
    <x v="100"/>
    <x v="190"/>
    <n v="58"/>
    <x v="94"/>
    <s v="Saturday"/>
    <s v="18-24"/>
    <x v="1"/>
    <s v="Canada"/>
    <n v="194"/>
    <n v="1140"/>
    <n v="610"/>
    <x v="16"/>
    <s v="Summer"/>
    <s v="High"/>
    <s v="Similar Series B"/>
    <s v="Email Campaign"/>
    <n v="11043"/>
  </r>
  <r>
    <n v="193"/>
    <x v="2"/>
    <x v="6"/>
    <x v="64"/>
    <x v="180"/>
    <x v="0"/>
    <x v="80"/>
    <x v="191"/>
    <n v="32"/>
    <x v="180"/>
    <s v="Sunday"/>
    <s v="35-44"/>
    <x v="1"/>
    <s v="Canada"/>
    <n v="965"/>
    <n v="1915"/>
    <n v="189"/>
    <x v="14"/>
    <s v="Fall"/>
    <s v="High"/>
    <s v="Similar Sci-Fi E"/>
    <s v="Online Ads"/>
    <n v="8438"/>
  </r>
  <r>
    <n v="194"/>
    <x v="1"/>
    <x v="7"/>
    <x v="42"/>
    <x v="181"/>
    <x v="4"/>
    <x v="148"/>
    <x v="192"/>
    <n v="102"/>
    <x v="181"/>
    <s v="Friday"/>
    <s v="45-54"/>
    <x v="0"/>
    <s v="Italy"/>
    <n v="202"/>
    <n v="578"/>
    <n v="620"/>
    <x v="24"/>
    <s v="Winter"/>
    <s v="Low"/>
    <s v="Similar History G"/>
    <s v="Social Media"/>
    <n v="5267"/>
  </r>
  <r>
    <n v="195"/>
    <x v="0"/>
    <x v="5"/>
    <x v="11"/>
    <x v="182"/>
    <x v="6"/>
    <x v="28"/>
    <x v="193"/>
    <n v="56"/>
    <x v="182"/>
    <s v="Saturday"/>
    <s v="25-34"/>
    <x v="1"/>
    <s v="Canada"/>
    <n v="1852"/>
    <n v="1245"/>
    <n v="368"/>
    <x v="0"/>
    <s v="Summer"/>
    <s v="High"/>
    <s v="Similar Sci-Fi E"/>
    <s v="Email Campaign"/>
    <n v="17825"/>
  </r>
  <r>
    <n v="196"/>
    <x v="1"/>
    <x v="6"/>
    <x v="59"/>
    <x v="183"/>
    <x v="2"/>
    <x v="149"/>
    <x v="194"/>
    <n v="71"/>
    <x v="183"/>
    <s v="Saturday"/>
    <s v="45-54"/>
    <x v="0"/>
    <s v="Italy"/>
    <n v="2422"/>
    <n v="715"/>
    <n v="1058"/>
    <x v="2"/>
    <s v="Fall"/>
    <s v="Low"/>
    <s v="Similar Action D"/>
    <s v="Print Media"/>
    <n v="3044"/>
  </r>
  <r>
    <n v="197"/>
    <x v="2"/>
    <x v="1"/>
    <x v="53"/>
    <x v="40"/>
    <x v="2"/>
    <x v="103"/>
    <x v="195"/>
    <n v="54"/>
    <x v="184"/>
    <s v="Sunday"/>
    <s v="18-24"/>
    <x v="1"/>
    <s v="USA"/>
    <n v="2083"/>
    <n v="54"/>
    <n v="1442"/>
    <x v="2"/>
    <s v="Fall"/>
    <s v="Medium"/>
    <s v="Similar Action D"/>
    <s v="30% off"/>
    <n v="1339"/>
  </r>
  <r>
    <n v="198"/>
    <x v="0"/>
    <x v="6"/>
    <x v="49"/>
    <x v="184"/>
    <x v="1"/>
    <x v="0"/>
    <x v="196"/>
    <n v="40"/>
    <x v="185"/>
    <s v="Tuesday"/>
    <s v="25-34"/>
    <x v="0"/>
    <s v="UK"/>
    <n v="1755"/>
    <n v="1786"/>
    <n v="139"/>
    <x v="16"/>
    <s v="Winter"/>
    <s v="High"/>
    <s v="Similar Movie A"/>
    <s v="TV Ads"/>
    <n v="19719"/>
  </r>
  <r>
    <n v="199"/>
    <x v="0"/>
    <x v="8"/>
    <x v="71"/>
    <x v="185"/>
    <x v="6"/>
    <x v="150"/>
    <x v="197"/>
    <n v="39"/>
    <x v="186"/>
    <s v="Friday"/>
    <s v="45-54"/>
    <x v="0"/>
    <s v="USA"/>
    <n v="2664"/>
    <n v="1491"/>
    <n v="620"/>
    <x v="2"/>
    <s v="Fall"/>
    <s v="Medium"/>
    <s v="Similar Romance F"/>
    <s v="Print Media"/>
    <n v="3887"/>
  </r>
  <r>
    <n v="200"/>
    <x v="0"/>
    <x v="0"/>
    <x v="17"/>
    <x v="186"/>
    <x v="4"/>
    <x v="111"/>
    <x v="198"/>
    <n v="69"/>
    <x v="187"/>
    <s v="Saturday"/>
    <s v="45-54"/>
    <x v="0"/>
    <s v="India"/>
    <n v="2141"/>
    <n v="938"/>
    <n v="1261"/>
    <x v="11"/>
    <s v="Fall"/>
    <s v="Medium"/>
    <s v="Similar History G"/>
    <s v="Email Campaign"/>
    <n v="3576"/>
  </r>
  <r>
    <n v="201"/>
    <x v="2"/>
    <x v="6"/>
    <x v="27"/>
    <x v="187"/>
    <x v="0"/>
    <x v="117"/>
    <x v="199"/>
    <n v="46"/>
    <x v="188"/>
    <s v="Sunday"/>
    <s v="35-44"/>
    <x v="0"/>
    <s v="Canada"/>
    <n v="2971"/>
    <n v="1003"/>
    <n v="294"/>
    <x v="12"/>
    <s v="Summer"/>
    <s v="Low"/>
    <s v="Similar History G"/>
    <s v="Social Media"/>
    <n v="17409"/>
  </r>
  <r>
    <n v="202"/>
    <x v="1"/>
    <x v="4"/>
    <x v="65"/>
    <x v="188"/>
    <x v="6"/>
    <x v="151"/>
    <x v="200"/>
    <n v="58"/>
    <x v="189"/>
    <s v="Friday"/>
    <s v="25-34"/>
    <x v="1"/>
    <s v="UK"/>
    <n v="46"/>
    <n v="1617"/>
    <n v="987"/>
    <x v="37"/>
    <s v="Fall"/>
    <s v="Medium"/>
    <s v="Similar Series B"/>
    <s v="30% off"/>
    <n v="15016"/>
  </r>
  <r>
    <n v="203"/>
    <x v="1"/>
    <x v="7"/>
    <x v="34"/>
    <x v="189"/>
    <x v="4"/>
    <x v="152"/>
    <x v="201"/>
    <n v="72"/>
    <x v="190"/>
    <s v="Saturday"/>
    <s v="18-24"/>
    <x v="0"/>
    <s v="UK"/>
    <n v="305"/>
    <n v="25"/>
    <n v="747"/>
    <x v="2"/>
    <s v="Spring"/>
    <s v="High"/>
    <s v="Similar Action D"/>
    <s v="Social Media"/>
    <n v="6354"/>
  </r>
  <r>
    <n v="204"/>
    <x v="0"/>
    <x v="3"/>
    <x v="70"/>
    <x v="190"/>
    <x v="4"/>
    <x v="153"/>
    <x v="202"/>
    <n v="86"/>
    <x v="191"/>
    <s v="Saturday"/>
    <s v="18-24"/>
    <x v="0"/>
    <s v="India"/>
    <n v="2221"/>
    <n v="966"/>
    <n v="1239"/>
    <x v="27"/>
    <s v="Fall"/>
    <s v="Low"/>
    <s v="Similar Series B"/>
    <s v="Email Campaign"/>
    <n v="12983"/>
  </r>
  <r>
    <n v="205"/>
    <x v="0"/>
    <x v="0"/>
    <x v="2"/>
    <x v="191"/>
    <x v="6"/>
    <x v="72"/>
    <x v="203"/>
    <n v="94"/>
    <x v="192"/>
    <s v="Sunday"/>
    <s v="25-34"/>
    <x v="0"/>
    <s v="UK"/>
    <n v="2538"/>
    <n v="719"/>
    <n v="455"/>
    <x v="39"/>
    <s v="Winter"/>
    <s v="Medium"/>
    <s v="Similar Movie A"/>
    <s v="Online Ads"/>
    <n v="12973"/>
  </r>
  <r>
    <n v="206"/>
    <x v="0"/>
    <x v="6"/>
    <x v="9"/>
    <x v="192"/>
    <x v="5"/>
    <x v="99"/>
    <x v="204"/>
    <n v="133"/>
    <x v="136"/>
    <s v="Tuesday"/>
    <s v="35-44"/>
    <x v="0"/>
    <s v="USA"/>
    <n v="314"/>
    <n v="897"/>
    <n v="1372"/>
    <x v="2"/>
    <s v="Fall"/>
    <s v="Low"/>
    <s v="Similar History G"/>
    <s v="Email Campaign"/>
    <n v="10647"/>
  </r>
  <r>
    <n v="207"/>
    <x v="2"/>
    <x v="4"/>
    <x v="63"/>
    <x v="193"/>
    <x v="0"/>
    <x v="44"/>
    <x v="205"/>
    <n v="53"/>
    <x v="193"/>
    <s v="Friday"/>
    <s v="35-44"/>
    <x v="1"/>
    <s v="France"/>
    <n v="2623"/>
    <n v="304"/>
    <n v="15"/>
    <x v="3"/>
    <s v="Fall"/>
    <s v="High"/>
    <s v="Similar Romance F"/>
    <s v="30% off"/>
    <n v="14067"/>
  </r>
  <r>
    <n v="208"/>
    <x v="1"/>
    <x v="1"/>
    <x v="28"/>
    <x v="194"/>
    <x v="4"/>
    <x v="14"/>
    <x v="206"/>
    <n v="115"/>
    <x v="194"/>
    <s v="Saturday"/>
    <s v="45-54"/>
    <x v="1"/>
    <s v="USA"/>
    <n v="1799"/>
    <n v="241"/>
    <n v="365"/>
    <x v="28"/>
    <s v="Fall"/>
    <s v="Low"/>
    <s v="Similar History G"/>
    <s v="TV Ads"/>
    <n v="15400"/>
  </r>
  <r>
    <n v="209"/>
    <x v="1"/>
    <x v="6"/>
    <x v="4"/>
    <x v="195"/>
    <x v="0"/>
    <x v="154"/>
    <x v="207"/>
    <n v="26"/>
    <x v="195"/>
    <s v="Sunday"/>
    <s v="35-44"/>
    <x v="0"/>
    <s v="France"/>
    <n v="109"/>
    <n v="341"/>
    <n v="22"/>
    <x v="27"/>
    <s v="Summer"/>
    <s v="Low"/>
    <s v="Similar Action D"/>
    <s v="Print Media"/>
    <n v="9918"/>
  </r>
  <r>
    <n v="210"/>
    <x v="1"/>
    <x v="2"/>
    <x v="7"/>
    <x v="196"/>
    <x v="6"/>
    <x v="93"/>
    <x v="208"/>
    <n v="102"/>
    <x v="196"/>
    <s v="Friday"/>
    <s v="18-24"/>
    <x v="0"/>
    <s v="Canada"/>
    <n v="2823"/>
    <n v="1292"/>
    <n v="1148"/>
    <x v="5"/>
    <s v="Winter"/>
    <s v="Medium"/>
    <s v="Similar Movie A"/>
    <s v="Print Media"/>
    <n v="3421"/>
  </r>
  <r>
    <n v="211"/>
    <x v="2"/>
    <x v="0"/>
    <x v="23"/>
    <x v="197"/>
    <x v="3"/>
    <x v="133"/>
    <x v="209"/>
    <n v="83"/>
    <x v="197"/>
    <s v="Saturday"/>
    <s v="25-34"/>
    <x v="1"/>
    <s v="Italy"/>
    <n v="2821"/>
    <n v="1692"/>
    <n v="1433"/>
    <x v="14"/>
    <s v="Spring"/>
    <s v="Medium"/>
    <s v="Similar Thriller H"/>
    <s v="Print Media"/>
    <n v="14109"/>
  </r>
  <r>
    <n v="212"/>
    <x v="2"/>
    <x v="4"/>
    <x v="11"/>
    <x v="198"/>
    <x v="1"/>
    <x v="80"/>
    <x v="210"/>
    <n v="55"/>
    <x v="198"/>
    <s v="Sunday"/>
    <s v="35-44"/>
    <x v="1"/>
    <s v="USA"/>
    <n v="1595"/>
    <n v="1189"/>
    <n v="580"/>
    <x v="37"/>
    <s v="Spring"/>
    <s v="Low"/>
    <s v="Similar Thriller H"/>
    <s v="Email Campaign"/>
    <n v="888"/>
  </r>
  <r>
    <n v="213"/>
    <x v="1"/>
    <x v="3"/>
    <x v="65"/>
    <x v="199"/>
    <x v="5"/>
    <x v="155"/>
    <x v="211"/>
    <n v="50"/>
    <x v="199"/>
    <s v="Friday"/>
    <s v="45-54"/>
    <x v="0"/>
    <s v="USA"/>
    <n v="142"/>
    <n v="31"/>
    <n v="368"/>
    <x v="31"/>
    <s v="Fall"/>
    <s v="High"/>
    <s v="Similar Movie A"/>
    <s v="Email Campaign"/>
    <n v="10942"/>
  </r>
  <r>
    <n v="214"/>
    <x v="2"/>
    <x v="8"/>
    <x v="39"/>
    <x v="200"/>
    <x v="1"/>
    <x v="66"/>
    <x v="212"/>
    <n v="31"/>
    <x v="200"/>
    <s v="Saturday"/>
    <s v="18-24"/>
    <x v="1"/>
    <s v="India"/>
    <n v="722"/>
    <n v="1253"/>
    <n v="999"/>
    <x v="39"/>
    <s v="Spring"/>
    <s v="Medium"/>
    <s v="Similar History G"/>
    <s v="Social Media"/>
    <n v="3070"/>
  </r>
  <r>
    <n v="215"/>
    <x v="1"/>
    <x v="4"/>
    <x v="65"/>
    <x v="201"/>
    <x v="0"/>
    <x v="156"/>
    <x v="213"/>
    <n v="102"/>
    <x v="201"/>
    <s v="Saturday"/>
    <s v="35-44"/>
    <x v="1"/>
    <s v="UK"/>
    <n v="823"/>
    <n v="1258"/>
    <n v="903"/>
    <x v="22"/>
    <s v="Summer"/>
    <s v="High"/>
    <s v="Similar Doc C"/>
    <s v="Email Campaign"/>
    <n v="3498"/>
  </r>
  <r>
    <n v="216"/>
    <x v="0"/>
    <x v="3"/>
    <x v="20"/>
    <x v="202"/>
    <x v="4"/>
    <x v="35"/>
    <x v="214"/>
    <n v="41"/>
    <x v="202"/>
    <s v="Sunday"/>
    <s v="18-24"/>
    <x v="0"/>
    <s v="Italy"/>
    <n v="820"/>
    <n v="594"/>
    <n v="8"/>
    <x v="13"/>
    <s v="Spring"/>
    <s v="Low"/>
    <s v="Similar Romance F"/>
    <s v="Email Campaign"/>
    <n v="17270"/>
  </r>
  <r>
    <n v="217"/>
    <x v="1"/>
    <x v="5"/>
    <x v="22"/>
    <x v="203"/>
    <x v="1"/>
    <x v="157"/>
    <x v="215"/>
    <n v="124"/>
    <x v="203"/>
    <s v="Tuesday"/>
    <s v="45-54"/>
    <x v="0"/>
    <s v="USA"/>
    <n v="2064"/>
    <n v="1639"/>
    <n v="484"/>
    <x v="13"/>
    <s v="Spring"/>
    <s v="High"/>
    <s v="Similar Thriller H"/>
    <s v="Email Campaign"/>
    <n v="14830"/>
  </r>
  <r>
    <n v="218"/>
    <x v="2"/>
    <x v="5"/>
    <x v="34"/>
    <x v="204"/>
    <x v="4"/>
    <x v="158"/>
    <x v="216"/>
    <n v="46"/>
    <x v="204"/>
    <s v="Friday"/>
    <s v="25-34"/>
    <x v="1"/>
    <s v="USA"/>
    <n v="1747"/>
    <n v="566"/>
    <n v="759"/>
    <x v="5"/>
    <s v="Spring"/>
    <s v="Low"/>
    <s v="Similar Doc C"/>
    <s v="Print Media"/>
    <n v="18275"/>
  </r>
  <r>
    <n v="219"/>
    <x v="0"/>
    <x v="6"/>
    <x v="52"/>
    <x v="205"/>
    <x v="6"/>
    <x v="159"/>
    <x v="217"/>
    <n v="78"/>
    <x v="205"/>
    <s v="Saturday"/>
    <s v="45-54"/>
    <x v="1"/>
    <s v="Canada"/>
    <n v="656"/>
    <n v="980"/>
    <n v="95"/>
    <x v="5"/>
    <s v="Spring"/>
    <s v="Low"/>
    <s v="Similar Sci-Fi E"/>
    <s v="Social Media"/>
    <n v="12868"/>
  </r>
  <r>
    <n v="220"/>
    <x v="2"/>
    <x v="8"/>
    <x v="44"/>
    <x v="95"/>
    <x v="0"/>
    <x v="6"/>
    <x v="218"/>
    <n v="50"/>
    <x v="206"/>
    <s v="Sunday"/>
    <s v="35-44"/>
    <x v="1"/>
    <s v="Germany"/>
    <n v="1461"/>
    <n v="1116"/>
    <n v="220"/>
    <x v="4"/>
    <s v="Summer"/>
    <s v="Low"/>
    <s v="Similar Romance F"/>
    <s v="Email Campaign"/>
    <n v="15241"/>
  </r>
  <r>
    <n v="221"/>
    <x v="1"/>
    <x v="0"/>
    <x v="37"/>
    <x v="206"/>
    <x v="4"/>
    <x v="160"/>
    <x v="219"/>
    <n v="25"/>
    <x v="183"/>
    <s v="Friday"/>
    <s v="45-54"/>
    <x v="1"/>
    <s v="Germany"/>
    <n v="1941"/>
    <n v="1380"/>
    <n v="606"/>
    <x v="31"/>
    <s v="Winter"/>
    <s v="High"/>
    <s v="Similar Thriller H"/>
    <s v="Email Campaign"/>
    <n v="12487"/>
  </r>
  <r>
    <n v="222"/>
    <x v="1"/>
    <x v="7"/>
    <x v="19"/>
    <x v="207"/>
    <x v="0"/>
    <x v="161"/>
    <x v="220"/>
    <n v="129"/>
    <x v="207"/>
    <s v="Saturday"/>
    <s v="25-34"/>
    <x v="1"/>
    <s v="Australia"/>
    <n v="1426"/>
    <n v="686"/>
    <n v="182"/>
    <x v="4"/>
    <s v="Fall"/>
    <s v="Medium"/>
    <s v="Similar Sci-Fi E"/>
    <s v="Social Media"/>
    <n v="11260"/>
  </r>
  <r>
    <n v="223"/>
    <x v="0"/>
    <x v="6"/>
    <x v="4"/>
    <x v="28"/>
    <x v="1"/>
    <x v="162"/>
    <x v="221"/>
    <n v="34"/>
    <x v="208"/>
    <s v="Saturday"/>
    <s v="35-44"/>
    <x v="0"/>
    <s v="Australia"/>
    <n v="2793"/>
    <n v="579"/>
    <n v="730"/>
    <x v="3"/>
    <s v="Spring"/>
    <s v="High"/>
    <s v="Similar Thriller H"/>
    <s v="Email Campaign"/>
    <n v="15251"/>
  </r>
  <r>
    <n v="224"/>
    <x v="2"/>
    <x v="8"/>
    <x v="28"/>
    <x v="208"/>
    <x v="5"/>
    <x v="163"/>
    <x v="222"/>
    <n v="48"/>
    <x v="209"/>
    <s v="Sunday"/>
    <s v="45-54"/>
    <x v="1"/>
    <s v="Australia"/>
    <n v="537"/>
    <n v="98"/>
    <n v="1477"/>
    <x v="38"/>
    <s v="Winter"/>
    <s v="Medium"/>
    <s v="Similar Series B"/>
    <s v="Email Campaign"/>
    <n v="12200"/>
  </r>
  <r>
    <n v="225"/>
    <x v="1"/>
    <x v="7"/>
    <x v="48"/>
    <x v="209"/>
    <x v="2"/>
    <x v="164"/>
    <x v="223"/>
    <n v="49"/>
    <x v="210"/>
    <s v="Tuesday"/>
    <s v="25-34"/>
    <x v="0"/>
    <s v="France"/>
    <n v="1563"/>
    <n v="1092"/>
    <n v="459"/>
    <x v="22"/>
    <s v="Spring"/>
    <s v="Medium"/>
    <s v="Similar History G"/>
    <s v="Social Media"/>
    <n v="12733"/>
  </r>
  <r>
    <n v="226"/>
    <x v="0"/>
    <x v="5"/>
    <x v="38"/>
    <x v="210"/>
    <x v="3"/>
    <x v="24"/>
    <x v="224"/>
    <n v="76"/>
    <x v="211"/>
    <s v="Friday"/>
    <s v="25-34"/>
    <x v="1"/>
    <s v="France"/>
    <n v="84"/>
    <n v="1676"/>
    <n v="404"/>
    <x v="21"/>
    <s v="Fall"/>
    <s v="High"/>
    <s v="Similar Action D"/>
    <s v="Print Media"/>
    <n v="14994"/>
  </r>
  <r>
    <n v="227"/>
    <x v="0"/>
    <x v="6"/>
    <x v="17"/>
    <x v="211"/>
    <x v="3"/>
    <x v="165"/>
    <x v="225"/>
    <n v="37"/>
    <x v="212"/>
    <s v="Saturday"/>
    <s v="45-54"/>
    <x v="1"/>
    <s v="Australia"/>
    <n v="2850"/>
    <n v="675"/>
    <n v="720"/>
    <x v="4"/>
    <s v="Spring"/>
    <s v="High"/>
    <s v="Similar Movie A"/>
    <s v="30% off"/>
    <n v="18472"/>
  </r>
  <r>
    <n v="228"/>
    <x v="1"/>
    <x v="4"/>
    <x v="42"/>
    <x v="212"/>
    <x v="5"/>
    <x v="166"/>
    <x v="226"/>
    <n v="86"/>
    <x v="213"/>
    <s v="Sunday"/>
    <s v="25-34"/>
    <x v="1"/>
    <s v="France"/>
    <n v="1938"/>
    <n v="412"/>
    <n v="426"/>
    <x v="35"/>
    <s v="Summer"/>
    <s v="High"/>
    <s v="Similar History G"/>
    <s v="Online Ads"/>
    <n v="5078"/>
  </r>
  <r>
    <n v="229"/>
    <x v="1"/>
    <x v="7"/>
    <x v="52"/>
    <x v="213"/>
    <x v="2"/>
    <x v="167"/>
    <x v="227"/>
    <n v="117"/>
    <x v="214"/>
    <s v="Friday"/>
    <s v="35-44"/>
    <x v="0"/>
    <s v="Australia"/>
    <n v="2047"/>
    <n v="1776"/>
    <n v="1108"/>
    <x v="1"/>
    <s v="Spring"/>
    <s v="High"/>
    <s v="Similar Series B"/>
    <s v="Online Ads"/>
    <n v="7865"/>
  </r>
  <r>
    <n v="230"/>
    <x v="1"/>
    <x v="8"/>
    <x v="17"/>
    <x v="214"/>
    <x v="2"/>
    <x v="99"/>
    <x v="228"/>
    <n v="50"/>
    <x v="215"/>
    <s v="Saturday"/>
    <s v="35-44"/>
    <x v="0"/>
    <s v="India"/>
    <n v="1017"/>
    <n v="974"/>
    <n v="354"/>
    <x v="27"/>
    <s v="Summer"/>
    <s v="Low"/>
    <s v="Similar Series B"/>
    <s v="Print Media"/>
    <n v="8136"/>
  </r>
  <r>
    <n v="231"/>
    <x v="2"/>
    <x v="2"/>
    <x v="2"/>
    <x v="215"/>
    <x v="5"/>
    <x v="74"/>
    <x v="229"/>
    <n v="52"/>
    <x v="216"/>
    <s v="Sunday"/>
    <s v="45-54"/>
    <x v="1"/>
    <s v="UK"/>
    <n v="1538"/>
    <n v="934"/>
    <n v="472"/>
    <x v="7"/>
    <s v="Spring"/>
    <s v="High"/>
    <s v="Similar Movie A"/>
    <s v="Print Media"/>
    <n v="16517"/>
  </r>
  <r>
    <n v="232"/>
    <x v="1"/>
    <x v="2"/>
    <x v="21"/>
    <x v="216"/>
    <x v="3"/>
    <x v="168"/>
    <x v="230"/>
    <n v="68"/>
    <x v="217"/>
    <s v="Friday"/>
    <s v="25-34"/>
    <x v="0"/>
    <s v="Australia"/>
    <n v="773"/>
    <n v="638"/>
    <n v="775"/>
    <x v="33"/>
    <s v="Fall"/>
    <s v="High"/>
    <s v="Similar Romance F"/>
    <s v="Email Campaign"/>
    <n v="1611"/>
  </r>
  <r>
    <n v="233"/>
    <x v="2"/>
    <x v="2"/>
    <x v="54"/>
    <x v="217"/>
    <x v="5"/>
    <x v="4"/>
    <x v="231"/>
    <n v="36"/>
    <x v="218"/>
    <s v="Saturday"/>
    <s v="45-54"/>
    <x v="0"/>
    <s v="USA"/>
    <n v="513"/>
    <n v="549"/>
    <n v="1486"/>
    <x v="40"/>
    <s v="Spring"/>
    <s v="Medium"/>
    <s v="Similar Movie A"/>
    <s v="Social Media"/>
    <n v="3296"/>
  </r>
  <r>
    <n v="234"/>
    <x v="2"/>
    <x v="2"/>
    <x v="27"/>
    <x v="218"/>
    <x v="5"/>
    <x v="119"/>
    <x v="232"/>
    <n v="35"/>
    <x v="74"/>
    <s v="Saturday"/>
    <s v="25-34"/>
    <x v="0"/>
    <s v="Germany"/>
    <n v="1892"/>
    <n v="551"/>
    <n v="577"/>
    <x v="2"/>
    <s v="Winter"/>
    <s v="Medium"/>
    <s v="Similar Sci-Fi E"/>
    <s v="30% off"/>
    <n v="10122"/>
  </r>
  <r>
    <n v="235"/>
    <x v="0"/>
    <x v="5"/>
    <x v="67"/>
    <x v="219"/>
    <x v="1"/>
    <x v="100"/>
    <x v="233"/>
    <n v="42"/>
    <x v="219"/>
    <s v="Sunday"/>
    <s v="35-44"/>
    <x v="1"/>
    <s v="Canada"/>
    <n v="2269"/>
    <n v="417"/>
    <n v="65"/>
    <x v="28"/>
    <s v="Winter"/>
    <s v="Low"/>
    <s v="Similar Doc C"/>
    <s v="Online Ads"/>
    <n v="7983"/>
  </r>
  <r>
    <n v="236"/>
    <x v="2"/>
    <x v="5"/>
    <x v="14"/>
    <x v="220"/>
    <x v="5"/>
    <x v="85"/>
    <x v="234"/>
    <n v="31"/>
    <x v="10"/>
    <s v="Tuesday"/>
    <s v="18-24"/>
    <x v="0"/>
    <s v="Australia"/>
    <n v="1898"/>
    <n v="1451"/>
    <n v="1121"/>
    <x v="6"/>
    <s v="Winter"/>
    <s v="Medium"/>
    <s v="Similar Romance F"/>
    <s v="TV Ads"/>
    <n v="3114"/>
  </r>
  <r>
    <n v="237"/>
    <x v="2"/>
    <x v="3"/>
    <x v="72"/>
    <x v="221"/>
    <x v="3"/>
    <x v="121"/>
    <x v="235"/>
    <n v="68"/>
    <x v="220"/>
    <s v="Friday"/>
    <s v="35-44"/>
    <x v="0"/>
    <s v="UK"/>
    <n v="1484"/>
    <n v="1815"/>
    <n v="104"/>
    <x v="25"/>
    <s v="Fall"/>
    <s v="High"/>
    <s v="Similar Movie A"/>
    <s v="30% off"/>
    <n v="18910"/>
  </r>
  <r>
    <n v="238"/>
    <x v="1"/>
    <x v="4"/>
    <x v="28"/>
    <x v="222"/>
    <x v="6"/>
    <x v="169"/>
    <x v="236"/>
    <n v="37"/>
    <x v="201"/>
    <s v="Saturday"/>
    <s v="35-44"/>
    <x v="1"/>
    <s v="France"/>
    <n v="44"/>
    <n v="1964"/>
    <n v="710"/>
    <x v="27"/>
    <s v="Spring"/>
    <s v="High"/>
    <s v="Similar Thriller H"/>
    <s v="Social Media"/>
    <n v="1050"/>
  </r>
  <r>
    <n v="239"/>
    <x v="0"/>
    <x v="0"/>
    <x v="1"/>
    <x v="135"/>
    <x v="6"/>
    <x v="12"/>
    <x v="237"/>
    <n v="37"/>
    <x v="221"/>
    <s v="Sunday"/>
    <s v="18-24"/>
    <x v="1"/>
    <s v="Italy"/>
    <n v="1825"/>
    <n v="38"/>
    <n v="1425"/>
    <x v="29"/>
    <s v="Spring"/>
    <s v="High"/>
    <s v="Similar Action D"/>
    <s v="Email Campaign"/>
    <n v="2208"/>
  </r>
  <r>
    <n v="240"/>
    <x v="2"/>
    <x v="2"/>
    <x v="66"/>
    <x v="223"/>
    <x v="4"/>
    <x v="117"/>
    <x v="238"/>
    <n v="48"/>
    <x v="222"/>
    <s v="Friday"/>
    <s v="18-24"/>
    <x v="1"/>
    <s v="Germany"/>
    <n v="2822"/>
    <n v="1399"/>
    <n v="707"/>
    <x v="1"/>
    <s v="Fall"/>
    <s v="Low"/>
    <s v="Similar History G"/>
    <s v="TV Ads"/>
    <n v="1364"/>
  </r>
  <r>
    <n v="241"/>
    <x v="0"/>
    <x v="8"/>
    <x v="69"/>
    <x v="224"/>
    <x v="3"/>
    <x v="21"/>
    <x v="239"/>
    <n v="77"/>
    <x v="101"/>
    <s v="Saturday"/>
    <s v="45-54"/>
    <x v="1"/>
    <s v="Italy"/>
    <n v="1391"/>
    <n v="1781"/>
    <n v="652"/>
    <x v="19"/>
    <s v="Summer"/>
    <s v="Low"/>
    <s v="Similar Action D"/>
    <s v="TV Ads"/>
    <n v="18716"/>
  </r>
  <r>
    <n v="242"/>
    <x v="2"/>
    <x v="8"/>
    <x v="42"/>
    <x v="225"/>
    <x v="5"/>
    <x v="144"/>
    <x v="240"/>
    <n v="47"/>
    <x v="223"/>
    <s v="Saturday"/>
    <s v="18-24"/>
    <x v="0"/>
    <s v="France"/>
    <n v="2557"/>
    <n v="1420"/>
    <n v="881"/>
    <x v="34"/>
    <s v="Fall"/>
    <s v="Low"/>
    <s v="Similar Doc C"/>
    <s v="Social Media"/>
    <n v="1286"/>
  </r>
  <r>
    <n v="243"/>
    <x v="2"/>
    <x v="3"/>
    <x v="57"/>
    <x v="157"/>
    <x v="6"/>
    <x v="170"/>
    <x v="241"/>
    <n v="51"/>
    <x v="224"/>
    <s v="Sunday"/>
    <s v="45-54"/>
    <x v="0"/>
    <s v="Canada"/>
    <n v="220"/>
    <n v="33"/>
    <n v="844"/>
    <x v="38"/>
    <s v="Summer"/>
    <s v="Medium"/>
    <s v="Similar Doc C"/>
    <s v="TV Ads"/>
    <n v="7858"/>
  </r>
  <r>
    <n v="244"/>
    <x v="0"/>
    <x v="3"/>
    <x v="28"/>
    <x v="226"/>
    <x v="2"/>
    <x v="171"/>
    <x v="242"/>
    <n v="122"/>
    <x v="225"/>
    <s v="Tuesday"/>
    <s v="18-24"/>
    <x v="0"/>
    <s v="France"/>
    <n v="246"/>
    <n v="1894"/>
    <n v="1317"/>
    <x v="9"/>
    <s v="Spring"/>
    <s v="Medium"/>
    <s v="Similar Movie A"/>
    <s v="30% off"/>
    <n v="1731"/>
  </r>
  <r>
    <n v="245"/>
    <x v="0"/>
    <x v="3"/>
    <x v="12"/>
    <x v="227"/>
    <x v="0"/>
    <x v="153"/>
    <x v="243"/>
    <n v="33"/>
    <x v="226"/>
    <s v="Friday"/>
    <s v="25-34"/>
    <x v="0"/>
    <s v="Italy"/>
    <n v="417"/>
    <n v="1805"/>
    <n v="44"/>
    <x v="5"/>
    <s v="Winter"/>
    <s v="Low"/>
    <s v="Similar Series B"/>
    <s v="Online Ads"/>
    <n v="19529"/>
  </r>
  <r>
    <n v="246"/>
    <x v="2"/>
    <x v="1"/>
    <x v="72"/>
    <x v="228"/>
    <x v="5"/>
    <x v="71"/>
    <x v="244"/>
    <n v="58"/>
    <x v="227"/>
    <s v="Saturday"/>
    <s v="45-54"/>
    <x v="1"/>
    <s v="USA"/>
    <n v="2748"/>
    <n v="723"/>
    <n v="46"/>
    <x v="4"/>
    <s v="Winter"/>
    <s v="Low"/>
    <s v="Similar Doc C"/>
    <s v="Online Ads"/>
    <n v="19058"/>
  </r>
  <r>
    <n v="247"/>
    <x v="0"/>
    <x v="2"/>
    <x v="11"/>
    <x v="153"/>
    <x v="6"/>
    <x v="172"/>
    <x v="245"/>
    <n v="111"/>
    <x v="53"/>
    <s v="Sunday"/>
    <s v="45-54"/>
    <x v="0"/>
    <s v="India"/>
    <n v="1608"/>
    <n v="857"/>
    <n v="81"/>
    <x v="0"/>
    <s v="Fall"/>
    <s v="Low"/>
    <s v="Similar Doc C"/>
    <s v="30% off"/>
    <n v="13666"/>
  </r>
  <r>
    <n v="248"/>
    <x v="2"/>
    <x v="1"/>
    <x v="62"/>
    <x v="229"/>
    <x v="2"/>
    <x v="56"/>
    <x v="246"/>
    <n v="35"/>
    <x v="228"/>
    <s v="Friday"/>
    <s v="18-24"/>
    <x v="0"/>
    <s v="Canada"/>
    <n v="543"/>
    <n v="365"/>
    <n v="1017"/>
    <x v="5"/>
    <s v="Spring"/>
    <s v="Low"/>
    <s v="Similar Thriller H"/>
    <s v="30% off"/>
    <n v="10341"/>
  </r>
  <r>
    <n v="249"/>
    <x v="1"/>
    <x v="5"/>
    <x v="30"/>
    <x v="230"/>
    <x v="3"/>
    <x v="173"/>
    <x v="247"/>
    <n v="84"/>
    <x v="229"/>
    <s v="Saturday"/>
    <s v="45-54"/>
    <x v="1"/>
    <s v="France"/>
    <n v="280"/>
    <n v="1667"/>
    <n v="169"/>
    <x v="3"/>
    <s v="Fall"/>
    <s v="High"/>
    <s v="Similar History G"/>
    <s v="Email Campaign"/>
    <n v="17706"/>
  </r>
  <r>
    <n v="250"/>
    <x v="2"/>
    <x v="3"/>
    <x v="11"/>
    <x v="231"/>
    <x v="3"/>
    <x v="103"/>
    <x v="248"/>
    <n v="30"/>
    <x v="56"/>
    <s v="Sunday"/>
    <s v="18-24"/>
    <x v="1"/>
    <s v="Germany"/>
    <n v="146"/>
    <n v="1540"/>
    <n v="181"/>
    <x v="38"/>
    <s v="Fall"/>
    <s v="Medium"/>
    <s v="Similar Romance F"/>
    <s v="30% off"/>
    <n v="10379"/>
  </r>
  <r>
    <n v="251"/>
    <x v="1"/>
    <x v="0"/>
    <x v="59"/>
    <x v="232"/>
    <x v="1"/>
    <x v="174"/>
    <x v="249"/>
    <n v="100"/>
    <x v="201"/>
    <s v="Friday"/>
    <s v="18-24"/>
    <x v="0"/>
    <s v="France"/>
    <n v="2396"/>
    <n v="1615"/>
    <n v="338"/>
    <x v="31"/>
    <s v="Summer"/>
    <s v="Medium"/>
    <s v="Similar Doc C"/>
    <s v="Social Media"/>
    <n v="9439"/>
  </r>
  <r>
    <n v="252"/>
    <x v="2"/>
    <x v="5"/>
    <x v="22"/>
    <x v="233"/>
    <x v="2"/>
    <x v="34"/>
    <x v="250"/>
    <n v="46"/>
    <x v="8"/>
    <s v="Saturday"/>
    <s v="25-34"/>
    <x v="1"/>
    <s v="Canada"/>
    <n v="2340"/>
    <n v="1361"/>
    <n v="387"/>
    <x v="2"/>
    <s v="Summer"/>
    <s v="Medium"/>
    <s v="Similar Doc C"/>
    <s v="30% off"/>
    <n v="9665"/>
  </r>
  <r>
    <n v="253"/>
    <x v="1"/>
    <x v="8"/>
    <x v="21"/>
    <x v="234"/>
    <x v="5"/>
    <x v="11"/>
    <x v="251"/>
    <n v="68"/>
    <x v="230"/>
    <s v="Saturday"/>
    <s v="25-34"/>
    <x v="1"/>
    <s v="Canada"/>
    <n v="2676"/>
    <n v="1011"/>
    <n v="124"/>
    <x v="3"/>
    <s v="Summer"/>
    <s v="High"/>
    <s v="Similar Romance F"/>
    <s v="Print Media"/>
    <n v="17190"/>
  </r>
  <r>
    <n v="254"/>
    <x v="2"/>
    <x v="5"/>
    <x v="18"/>
    <x v="235"/>
    <x v="0"/>
    <x v="13"/>
    <x v="252"/>
    <n v="71"/>
    <x v="231"/>
    <s v="Sunday"/>
    <s v="25-34"/>
    <x v="1"/>
    <s v="Italy"/>
    <n v="2401"/>
    <n v="1687"/>
    <n v="166"/>
    <x v="4"/>
    <s v="Spring"/>
    <s v="Medium"/>
    <s v="Similar Movie A"/>
    <s v="Print Media"/>
    <n v="11970"/>
  </r>
  <r>
    <n v="255"/>
    <x v="0"/>
    <x v="2"/>
    <x v="72"/>
    <x v="236"/>
    <x v="3"/>
    <x v="175"/>
    <x v="253"/>
    <n v="51"/>
    <x v="48"/>
    <s v="Tuesday"/>
    <s v="25-34"/>
    <x v="0"/>
    <s v="Germany"/>
    <n v="1564"/>
    <n v="700"/>
    <n v="997"/>
    <x v="5"/>
    <s v="Spring"/>
    <s v="High"/>
    <s v="Similar Series B"/>
    <s v="Email Campaign"/>
    <n v="5757"/>
  </r>
  <r>
    <n v="256"/>
    <x v="1"/>
    <x v="2"/>
    <x v="65"/>
    <x v="237"/>
    <x v="4"/>
    <x v="176"/>
    <x v="254"/>
    <n v="87"/>
    <x v="232"/>
    <s v="Friday"/>
    <s v="45-54"/>
    <x v="0"/>
    <s v="UK"/>
    <n v="2574"/>
    <n v="16"/>
    <n v="1111"/>
    <x v="26"/>
    <s v="Summer"/>
    <s v="High"/>
    <s v="Similar Action D"/>
    <s v="Online Ads"/>
    <n v="8450"/>
  </r>
  <r>
    <n v="257"/>
    <x v="1"/>
    <x v="6"/>
    <x v="43"/>
    <x v="238"/>
    <x v="4"/>
    <x v="177"/>
    <x v="255"/>
    <n v="116"/>
    <x v="233"/>
    <s v="Saturday"/>
    <s v="45-54"/>
    <x v="1"/>
    <s v="Australia"/>
    <n v="2543"/>
    <n v="1556"/>
    <n v="469"/>
    <x v="32"/>
    <s v="Fall"/>
    <s v="High"/>
    <s v="Similar Doc C"/>
    <s v="30% off"/>
    <n v="1967"/>
  </r>
  <r>
    <n v="258"/>
    <x v="1"/>
    <x v="2"/>
    <x v="44"/>
    <x v="239"/>
    <x v="2"/>
    <x v="178"/>
    <x v="256"/>
    <n v="63"/>
    <x v="234"/>
    <s v="Sunday"/>
    <s v="25-34"/>
    <x v="0"/>
    <s v="Germany"/>
    <n v="2229"/>
    <n v="1279"/>
    <n v="1330"/>
    <x v="23"/>
    <s v="Winter"/>
    <s v="Low"/>
    <s v="Similar Doc C"/>
    <s v="Online Ads"/>
    <n v="12084"/>
  </r>
  <r>
    <n v="259"/>
    <x v="0"/>
    <x v="0"/>
    <x v="46"/>
    <x v="240"/>
    <x v="5"/>
    <x v="179"/>
    <x v="257"/>
    <n v="47"/>
    <x v="235"/>
    <s v="Friday"/>
    <s v="35-44"/>
    <x v="0"/>
    <s v="Canada"/>
    <n v="1470"/>
    <n v="1607"/>
    <n v="1064"/>
    <x v="29"/>
    <s v="Winter"/>
    <s v="Medium"/>
    <s v="Similar History G"/>
    <s v="Social Media"/>
    <n v="12432"/>
  </r>
  <r>
    <n v="260"/>
    <x v="1"/>
    <x v="0"/>
    <x v="7"/>
    <x v="241"/>
    <x v="1"/>
    <x v="180"/>
    <x v="258"/>
    <n v="77"/>
    <x v="236"/>
    <s v="Saturday"/>
    <s v="35-44"/>
    <x v="0"/>
    <s v="Canada"/>
    <n v="2490"/>
    <n v="1692"/>
    <n v="1123"/>
    <x v="28"/>
    <s v="Winter"/>
    <s v="Low"/>
    <s v="Similar Doc C"/>
    <s v="Social Media"/>
    <n v="19863"/>
  </r>
  <r>
    <n v="261"/>
    <x v="2"/>
    <x v="4"/>
    <x v="4"/>
    <x v="242"/>
    <x v="5"/>
    <x v="85"/>
    <x v="259"/>
    <n v="84"/>
    <x v="115"/>
    <s v="Saturday"/>
    <s v="45-54"/>
    <x v="1"/>
    <s v="USA"/>
    <n v="2607"/>
    <n v="1287"/>
    <n v="1234"/>
    <x v="30"/>
    <s v="Summer"/>
    <s v="Low"/>
    <s v="Similar Doc C"/>
    <s v="TV Ads"/>
    <n v="13034"/>
  </r>
  <r>
    <n v="262"/>
    <x v="0"/>
    <x v="7"/>
    <x v="65"/>
    <x v="243"/>
    <x v="6"/>
    <x v="181"/>
    <x v="260"/>
    <n v="43"/>
    <x v="237"/>
    <s v="Sunday"/>
    <s v="18-24"/>
    <x v="0"/>
    <s v="Germany"/>
    <n v="489"/>
    <n v="1830"/>
    <n v="15"/>
    <x v="36"/>
    <s v="Summer"/>
    <s v="Low"/>
    <s v="Similar Romance F"/>
    <s v="TV Ads"/>
    <n v="16385"/>
  </r>
  <r>
    <n v="263"/>
    <x v="0"/>
    <x v="8"/>
    <x v="12"/>
    <x v="244"/>
    <x v="2"/>
    <x v="61"/>
    <x v="261"/>
    <n v="85"/>
    <x v="238"/>
    <s v="Tuesday"/>
    <s v="18-24"/>
    <x v="0"/>
    <s v="Italy"/>
    <n v="158"/>
    <n v="1995"/>
    <n v="267"/>
    <x v="5"/>
    <s v="Summer"/>
    <s v="Medium"/>
    <s v="Similar Romance F"/>
    <s v="TV Ads"/>
    <n v="17757"/>
  </r>
  <r>
    <n v="264"/>
    <x v="2"/>
    <x v="3"/>
    <x v="51"/>
    <x v="245"/>
    <x v="5"/>
    <x v="39"/>
    <x v="262"/>
    <n v="44"/>
    <x v="239"/>
    <s v="Friday"/>
    <s v="25-34"/>
    <x v="1"/>
    <s v="France"/>
    <n v="1876"/>
    <n v="623"/>
    <n v="908"/>
    <x v="3"/>
    <s v="Fall"/>
    <s v="Medium"/>
    <s v="Similar Action D"/>
    <s v="Print Media"/>
    <n v="16888"/>
  </r>
  <r>
    <n v="265"/>
    <x v="1"/>
    <x v="2"/>
    <x v="68"/>
    <x v="246"/>
    <x v="2"/>
    <x v="182"/>
    <x v="263"/>
    <n v="114"/>
    <x v="145"/>
    <s v="Saturday"/>
    <s v="25-34"/>
    <x v="0"/>
    <s v="France"/>
    <n v="2079"/>
    <n v="557"/>
    <n v="1064"/>
    <x v="12"/>
    <s v="Summer"/>
    <s v="Medium"/>
    <s v="Similar Sci-Fi E"/>
    <s v="Social Media"/>
    <n v="10870"/>
  </r>
  <r>
    <n v="266"/>
    <x v="2"/>
    <x v="1"/>
    <x v="13"/>
    <x v="247"/>
    <x v="1"/>
    <x v="12"/>
    <x v="264"/>
    <n v="33"/>
    <x v="240"/>
    <s v="Sunday"/>
    <s v="25-34"/>
    <x v="1"/>
    <s v="France"/>
    <n v="2237"/>
    <n v="803"/>
    <n v="238"/>
    <x v="4"/>
    <s v="Fall"/>
    <s v="High"/>
    <s v="Similar History G"/>
    <s v="Social Media"/>
    <n v="13040"/>
  </r>
  <r>
    <n v="267"/>
    <x v="0"/>
    <x v="6"/>
    <x v="62"/>
    <x v="110"/>
    <x v="5"/>
    <x v="38"/>
    <x v="265"/>
    <n v="66"/>
    <x v="241"/>
    <s v="Friday"/>
    <s v="35-44"/>
    <x v="1"/>
    <s v="UK"/>
    <n v="1020"/>
    <n v="1801"/>
    <n v="724"/>
    <x v="33"/>
    <s v="Winter"/>
    <s v="Medium"/>
    <s v="Similar Series B"/>
    <s v="Social Media"/>
    <n v="15457"/>
  </r>
  <r>
    <n v="268"/>
    <x v="0"/>
    <x v="1"/>
    <x v="65"/>
    <x v="248"/>
    <x v="6"/>
    <x v="10"/>
    <x v="266"/>
    <n v="61"/>
    <x v="242"/>
    <s v="Saturday"/>
    <s v="25-34"/>
    <x v="1"/>
    <s v="UK"/>
    <n v="2095"/>
    <n v="1772"/>
    <n v="652"/>
    <x v="6"/>
    <s v="Spring"/>
    <s v="Low"/>
    <s v="Similar Sci-Fi E"/>
    <s v="TV Ads"/>
    <n v="18050"/>
  </r>
  <r>
    <n v="269"/>
    <x v="1"/>
    <x v="5"/>
    <x v="20"/>
    <x v="249"/>
    <x v="1"/>
    <x v="183"/>
    <x v="267"/>
    <n v="89"/>
    <x v="243"/>
    <s v="Sunday"/>
    <s v="35-44"/>
    <x v="1"/>
    <s v="Canada"/>
    <n v="1532"/>
    <n v="234"/>
    <n v="1168"/>
    <x v="37"/>
    <s v="Fall"/>
    <s v="High"/>
    <s v="Similar Romance F"/>
    <s v="Online Ads"/>
    <n v="7116"/>
  </r>
  <r>
    <n v="270"/>
    <x v="2"/>
    <x v="5"/>
    <x v="62"/>
    <x v="4"/>
    <x v="1"/>
    <x v="163"/>
    <x v="268"/>
    <n v="46"/>
    <x v="244"/>
    <s v="Friday"/>
    <s v="45-54"/>
    <x v="0"/>
    <s v="USA"/>
    <n v="2203"/>
    <n v="1425"/>
    <n v="886"/>
    <x v="34"/>
    <s v="Fall"/>
    <s v="High"/>
    <s v="Similar Romance F"/>
    <s v="Email Campaign"/>
    <n v="12596"/>
  </r>
  <r>
    <n v="271"/>
    <x v="2"/>
    <x v="5"/>
    <x v="7"/>
    <x v="123"/>
    <x v="2"/>
    <x v="116"/>
    <x v="9"/>
    <n v="55"/>
    <x v="5"/>
    <s v="Saturday"/>
    <s v="18-24"/>
    <x v="1"/>
    <s v="USA"/>
    <n v="1813"/>
    <n v="1555"/>
    <n v="82"/>
    <x v="30"/>
    <s v="Summer"/>
    <s v="High"/>
    <s v="Similar Doc C"/>
    <s v="30% off"/>
    <n v="5050"/>
  </r>
  <r>
    <n v="272"/>
    <x v="1"/>
    <x v="2"/>
    <x v="60"/>
    <x v="250"/>
    <x v="4"/>
    <x v="184"/>
    <x v="269"/>
    <n v="94"/>
    <x v="245"/>
    <s v="Saturday"/>
    <s v="25-34"/>
    <x v="0"/>
    <s v="Germany"/>
    <n v="831"/>
    <n v="1451"/>
    <n v="748"/>
    <x v="3"/>
    <s v="Spring"/>
    <s v="Medium"/>
    <s v="Similar Thriller H"/>
    <s v="Online Ads"/>
    <n v="16574"/>
  </r>
  <r>
    <n v="273"/>
    <x v="2"/>
    <x v="8"/>
    <x v="69"/>
    <x v="251"/>
    <x v="2"/>
    <x v="185"/>
    <x v="270"/>
    <n v="37"/>
    <x v="246"/>
    <s v="Sunday"/>
    <s v="18-24"/>
    <x v="1"/>
    <s v="Canada"/>
    <n v="72"/>
    <n v="1948"/>
    <n v="808"/>
    <x v="31"/>
    <s v="Summer"/>
    <s v="Low"/>
    <s v="Similar Romance F"/>
    <s v="TV Ads"/>
    <n v="2587"/>
  </r>
  <r>
    <n v="274"/>
    <x v="1"/>
    <x v="2"/>
    <x v="47"/>
    <x v="252"/>
    <x v="6"/>
    <x v="14"/>
    <x v="271"/>
    <n v="59"/>
    <x v="247"/>
    <s v="Tuesday"/>
    <s v="45-54"/>
    <x v="0"/>
    <s v="Italy"/>
    <n v="2321"/>
    <n v="1051"/>
    <n v="678"/>
    <x v="18"/>
    <s v="Spring"/>
    <s v="Medium"/>
    <s v="Similar Sci-Fi E"/>
    <s v="TV Ads"/>
    <n v="4803"/>
  </r>
  <r>
    <n v="275"/>
    <x v="1"/>
    <x v="3"/>
    <x v="39"/>
    <x v="253"/>
    <x v="2"/>
    <x v="186"/>
    <x v="272"/>
    <n v="114"/>
    <x v="248"/>
    <s v="Friday"/>
    <s v="18-24"/>
    <x v="0"/>
    <s v="India"/>
    <n v="783"/>
    <n v="717"/>
    <n v="315"/>
    <x v="37"/>
    <s v="Fall"/>
    <s v="High"/>
    <s v="Similar Doc C"/>
    <s v="TV Ads"/>
    <n v="16117"/>
  </r>
  <r>
    <n v="276"/>
    <x v="2"/>
    <x v="2"/>
    <x v="59"/>
    <x v="254"/>
    <x v="5"/>
    <x v="27"/>
    <x v="273"/>
    <n v="54"/>
    <x v="249"/>
    <s v="Saturday"/>
    <s v="35-44"/>
    <x v="1"/>
    <s v="Australia"/>
    <n v="636"/>
    <n v="151"/>
    <n v="1084"/>
    <x v="2"/>
    <s v="Summer"/>
    <s v="Medium"/>
    <s v="Similar Romance F"/>
    <s v="30% off"/>
    <n v="3861"/>
  </r>
  <r>
    <n v="277"/>
    <x v="0"/>
    <x v="2"/>
    <x v="17"/>
    <x v="255"/>
    <x v="2"/>
    <x v="28"/>
    <x v="274"/>
    <n v="42"/>
    <x v="250"/>
    <s v="Sunday"/>
    <s v="18-24"/>
    <x v="1"/>
    <s v="France"/>
    <n v="2246"/>
    <n v="623"/>
    <n v="1043"/>
    <x v="7"/>
    <s v="Spring"/>
    <s v="Low"/>
    <s v="Similar History G"/>
    <s v="Email Campaign"/>
    <n v="19582"/>
  </r>
  <r>
    <n v="278"/>
    <x v="2"/>
    <x v="3"/>
    <x v="34"/>
    <x v="256"/>
    <x v="0"/>
    <x v="187"/>
    <x v="275"/>
    <n v="41"/>
    <x v="165"/>
    <s v="Friday"/>
    <s v="35-44"/>
    <x v="0"/>
    <s v="Canada"/>
    <n v="617"/>
    <n v="93"/>
    <n v="793"/>
    <x v="22"/>
    <s v="Spring"/>
    <s v="High"/>
    <s v="Similar Thriller H"/>
    <s v="TV Ads"/>
    <n v="446"/>
  </r>
  <r>
    <n v="279"/>
    <x v="0"/>
    <x v="3"/>
    <x v="73"/>
    <x v="210"/>
    <x v="0"/>
    <x v="188"/>
    <x v="276"/>
    <n v="103"/>
    <x v="251"/>
    <s v="Saturday"/>
    <s v="45-54"/>
    <x v="1"/>
    <s v="Italy"/>
    <n v="2264"/>
    <n v="1710"/>
    <n v="968"/>
    <x v="6"/>
    <s v="Spring"/>
    <s v="Medium"/>
    <s v="Similar History G"/>
    <s v="Print Media"/>
    <n v="4067"/>
  </r>
  <r>
    <n v="280"/>
    <x v="2"/>
    <x v="0"/>
    <x v="23"/>
    <x v="257"/>
    <x v="5"/>
    <x v="189"/>
    <x v="277"/>
    <n v="38"/>
    <x v="252"/>
    <s v="Saturday"/>
    <s v="45-54"/>
    <x v="1"/>
    <s v="UK"/>
    <n v="2218"/>
    <n v="1128"/>
    <n v="1462"/>
    <x v="38"/>
    <s v="Fall"/>
    <s v="High"/>
    <s v="Similar Doc C"/>
    <s v="Social Media"/>
    <n v="15925"/>
  </r>
  <r>
    <n v="281"/>
    <x v="1"/>
    <x v="6"/>
    <x v="34"/>
    <x v="258"/>
    <x v="3"/>
    <x v="190"/>
    <x v="278"/>
    <n v="46"/>
    <x v="253"/>
    <s v="Sunday"/>
    <s v="35-44"/>
    <x v="1"/>
    <s v="India"/>
    <n v="2993"/>
    <n v="1343"/>
    <n v="1223"/>
    <x v="30"/>
    <s v="Summer"/>
    <s v="Medium"/>
    <s v="Similar Series B"/>
    <s v="TV Ads"/>
    <n v="17539"/>
  </r>
  <r>
    <n v="282"/>
    <x v="0"/>
    <x v="3"/>
    <x v="72"/>
    <x v="119"/>
    <x v="1"/>
    <x v="108"/>
    <x v="279"/>
    <n v="68"/>
    <x v="254"/>
    <s v="Tuesday"/>
    <s v="35-44"/>
    <x v="0"/>
    <s v="France"/>
    <n v="1174"/>
    <n v="1082"/>
    <n v="970"/>
    <x v="31"/>
    <s v="Spring"/>
    <s v="High"/>
    <s v="Similar History G"/>
    <s v="Print Media"/>
    <n v="12302"/>
  </r>
  <r>
    <n v="283"/>
    <x v="2"/>
    <x v="1"/>
    <x v="53"/>
    <x v="256"/>
    <x v="0"/>
    <x v="66"/>
    <x v="280"/>
    <n v="51"/>
    <x v="255"/>
    <s v="Friday"/>
    <s v="35-44"/>
    <x v="0"/>
    <s v="India"/>
    <n v="2971"/>
    <n v="923"/>
    <n v="1013"/>
    <x v="31"/>
    <s v="Winter"/>
    <s v="High"/>
    <s v="Similar Series B"/>
    <s v="Online Ads"/>
    <n v="14938"/>
  </r>
  <r>
    <n v="284"/>
    <x v="2"/>
    <x v="2"/>
    <x v="39"/>
    <x v="259"/>
    <x v="4"/>
    <x v="97"/>
    <x v="281"/>
    <n v="53"/>
    <x v="256"/>
    <s v="Saturday"/>
    <s v="18-24"/>
    <x v="1"/>
    <s v="USA"/>
    <n v="826"/>
    <n v="166"/>
    <n v="332"/>
    <x v="0"/>
    <s v="Winter"/>
    <s v="Medium"/>
    <s v="Similar History G"/>
    <s v="TV Ads"/>
    <n v="14119"/>
  </r>
  <r>
    <n v="285"/>
    <x v="1"/>
    <x v="2"/>
    <x v="45"/>
    <x v="260"/>
    <x v="6"/>
    <x v="40"/>
    <x v="282"/>
    <n v="133"/>
    <x v="257"/>
    <s v="Sunday"/>
    <s v="45-54"/>
    <x v="1"/>
    <s v="India"/>
    <n v="999"/>
    <n v="179"/>
    <n v="1209"/>
    <x v="40"/>
    <s v="Spring"/>
    <s v="Medium"/>
    <s v="Similar Sci-Fi E"/>
    <s v="Email Campaign"/>
    <n v="12177"/>
  </r>
  <r>
    <n v="286"/>
    <x v="0"/>
    <x v="4"/>
    <x v="29"/>
    <x v="261"/>
    <x v="1"/>
    <x v="35"/>
    <x v="283"/>
    <n v="31"/>
    <x v="258"/>
    <s v="Friday"/>
    <s v="35-44"/>
    <x v="0"/>
    <s v="India"/>
    <n v="2694"/>
    <n v="194"/>
    <n v="677"/>
    <x v="17"/>
    <s v="Summer"/>
    <s v="High"/>
    <s v="Similar Movie A"/>
    <s v="30% off"/>
    <n v="13649"/>
  </r>
  <r>
    <n v="287"/>
    <x v="2"/>
    <x v="1"/>
    <x v="38"/>
    <x v="262"/>
    <x v="5"/>
    <x v="117"/>
    <x v="284"/>
    <n v="43"/>
    <x v="259"/>
    <s v="Saturday"/>
    <s v="25-34"/>
    <x v="1"/>
    <s v="Canada"/>
    <n v="1152"/>
    <n v="1083"/>
    <n v="362"/>
    <x v="31"/>
    <s v="Winter"/>
    <s v="High"/>
    <s v="Similar Series B"/>
    <s v="Online Ads"/>
    <n v="17780"/>
  </r>
  <r>
    <n v="288"/>
    <x v="0"/>
    <x v="1"/>
    <x v="71"/>
    <x v="263"/>
    <x v="0"/>
    <x v="191"/>
    <x v="285"/>
    <n v="51"/>
    <x v="260"/>
    <s v="Sunday"/>
    <s v="45-54"/>
    <x v="0"/>
    <s v="Germany"/>
    <n v="2087"/>
    <n v="1853"/>
    <n v="438"/>
    <x v="11"/>
    <s v="Summer"/>
    <s v="Medium"/>
    <s v="Similar Thriller H"/>
    <s v="30% off"/>
    <n v="11052"/>
  </r>
  <r>
    <n v="289"/>
    <x v="1"/>
    <x v="2"/>
    <x v="43"/>
    <x v="264"/>
    <x v="2"/>
    <x v="192"/>
    <x v="286"/>
    <n v="56"/>
    <x v="261"/>
    <s v="Friday"/>
    <s v="45-54"/>
    <x v="1"/>
    <s v="UK"/>
    <n v="1630"/>
    <n v="449"/>
    <n v="504"/>
    <x v="3"/>
    <s v="Summer"/>
    <s v="High"/>
    <s v="Similar Romance F"/>
    <s v="Print Media"/>
    <n v="14114"/>
  </r>
  <r>
    <n v="290"/>
    <x v="1"/>
    <x v="4"/>
    <x v="10"/>
    <x v="265"/>
    <x v="0"/>
    <x v="193"/>
    <x v="287"/>
    <n v="80"/>
    <x v="105"/>
    <s v="Saturday"/>
    <s v="45-54"/>
    <x v="1"/>
    <s v="UK"/>
    <n v="2027"/>
    <n v="1983"/>
    <n v="804"/>
    <x v="8"/>
    <s v="Spring"/>
    <s v="Medium"/>
    <s v="Similar Series B"/>
    <s v="Social Media"/>
    <n v="17651"/>
  </r>
  <r>
    <n v="291"/>
    <x v="1"/>
    <x v="3"/>
    <x v="74"/>
    <x v="266"/>
    <x v="3"/>
    <x v="194"/>
    <x v="288"/>
    <n v="51"/>
    <x v="262"/>
    <s v="Saturday"/>
    <s v="35-44"/>
    <x v="0"/>
    <s v="Germany"/>
    <n v="930"/>
    <n v="1075"/>
    <n v="1395"/>
    <x v="29"/>
    <s v="Spring"/>
    <s v="Low"/>
    <s v="Similar Thriller H"/>
    <s v="Social Media"/>
    <n v="19350"/>
  </r>
  <r>
    <n v="292"/>
    <x v="2"/>
    <x v="1"/>
    <x v="42"/>
    <x v="267"/>
    <x v="2"/>
    <x v="27"/>
    <x v="289"/>
    <n v="49"/>
    <x v="263"/>
    <s v="Sunday"/>
    <s v="25-34"/>
    <x v="1"/>
    <s v="UK"/>
    <n v="96"/>
    <n v="1602"/>
    <n v="845"/>
    <x v="38"/>
    <s v="Fall"/>
    <s v="High"/>
    <s v="Similar Series B"/>
    <s v="TV Ads"/>
    <n v="892"/>
  </r>
  <r>
    <n v="293"/>
    <x v="1"/>
    <x v="0"/>
    <x v="23"/>
    <x v="268"/>
    <x v="2"/>
    <x v="195"/>
    <x v="290"/>
    <n v="38"/>
    <x v="261"/>
    <s v="Tuesday"/>
    <s v="45-54"/>
    <x v="1"/>
    <s v="USA"/>
    <n v="2192"/>
    <n v="1678"/>
    <n v="739"/>
    <x v="22"/>
    <s v="Summer"/>
    <s v="Low"/>
    <s v="Similar Action D"/>
    <s v="Online Ads"/>
    <n v="9629"/>
  </r>
  <r>
    <n v="294"/>
    <x v="2"/>
    <x v="0"/>
    <x v="58"/>
    <x v="269"/>
    <x v="3"/>
    <x v="121"/>
    <x v="291"/>
    <n v="74"/>
    <x v="264"/>
    <s v="Friday"/>
    <s v="18-24"/>
    <x v="0"/>
    <s v="India"/>
    <n v="1480"/>
    <n v="789"/>
    <n v="36"/>
    <x v="10"/>
    <s v="Winter"/>
    <s v="Medium"/>
    <s v="Similar Thriller H"/>
    <s v="Social Media"/>
    <n v="8659"/>
  </r>
  <r>
    <n v="295"/>
    <x v="1"/>
    <x v="0"/>
    <x v="68"/>
    <x v="270"/>
    <x v="2"/>
    <x v="196"/>
    <x v="292"/>
    <n v="94"/>
    <x v="265"/>
    <s v="Saturday"/>
    <s v="25-34"/>
    <x v="0"/>
    <s v="Australia"/>
    <n v="2790"/>
    <n v="4"/>
    <n v="523"/>
    <x v="3"/>
    <s v="Summer"/>
    <s v="High"/>
    <s v="Similar Thriller H"/>
    <s v="Social Media"/>
    <n v="15058"/>
  </r>
  <r>
    <n v="296"/>
    <x v="0"/>
    <x v="6"/>
    <x v="23"/>
    <x v="241"/>
    <x v="1"/>
    <x v="175"/>
    <x v="293"/>
    <n v="25"/>
    <x v="182"/>
    <s v="Sunday"/>
    <s v="35-44"/>
    <x v="0"/>
    <s v="Canada"/>
    <n v="2356"/>
    <n v="175"/>
    <n v="968"/>
    <x v="40"/>
    <s v="Spring"/>
    <s v="Low"/>
    <s v="Similar History G"/>
    <s v="Online Ads"/>
    <n v="3478"/>
  </r>
  <r>
    <n v="297"/>
    <x v="2"/>
    <x v="3"/>
    <x v="34"/>
    <x v="128"/>
    <x v="5"/>
    <x v="191"/>
    <x v="294"/>
    <n v="82"/>
    <x v="266"/>
    <s v="Friday"/>
    <s v="18-24"/>
    <x v="1"/>
    <s v="Italy"/>
    <n v="1435"/>
    <n v="22"/>
    <n v="426"/>
    <x v="22"/>
    <s v="Winter"/>
    <s v="Medium"/>
    <s v="Similar Romance F"/>
    <s v="Online Ads"/>
    <n v="16131"/>
  </r>
  <r>
    <n v="298"/>
    <x v="2"/>
    <x v="0"/>
    <x v="8"/>
    <x v="271"/>
    <x v="2"/>
    <x v="100"/>
    <x v="295"/>
    <n v="66"/>
    <x v="222"/>
    <s v="Saturday"/>
    <s v="18-24"/>
    <x v="1"/>
    <s v="UK"/>
    <n v="1504"/>
    <n v="978"/>
    <n v="618"/>
    <x v="30"/>
    <s v="Summer"/>
    <s v="Medium"/>
    <s v="Similar Romance F"/>
    <s v="Online Ads"/>
    <n v="1925"/>
  </r>
  <r>
    <n v="299"/>
    <x v="1"/>
    <x v="7"/>
    <x v="12"/>
    <x v="223"/>
    <x v="5"/>
    <x v="197"/>
    <x v="296"/>
    <n v="66"/>
    <x v="267"/>
    <s v="Saturday"/>
    <s v="18-24"/>
    <x v="0"/>
    <s v="France"/>
    <n v="663"/>
    <n v="1817"/>
    <n v="1045"/>
    <x v="25"/>
    <s v="Fall"/>
    <s v="Low"/>
    <s v="Similar Movie A"/>
    <s v="Email Campaign"/>
    <n v="15383"/>
  </r>
  <r>
    <n v="300"/>
    <x v="0"/>
    <x v="5"/>
    <x v="2"/>
    <x v="272"/>
    <x v="5"/>
    <x v="47"/>
    <x v="297"/>
    <n v="87"/>
    <x v="49"/>
    <s v="Sunday"/>
    <s v="45-54"/>
    <x v="1"/>
    <s v="India"/>
    <n v="77"/>
    <n v="784"/>
    <n v="310"/>
    <x v="15"/>
    <s v="Summer"/>
    <s v="High"/>
    <s v="Similar Sci-Fi E"/>
    <s v="Print Media"/>
    <n v="19151"/>
  </r>
  <r>
    <n v="301"/>
    <x v="0"/>
    <x v="6"/>
    <x v="72"/>
    <x v="273"/>
    <x v="4"/>
    <x v="102"/>
    <x v="298"/>
    <n v="70"/>
    <x v="56"/>
    <s v="Tuesday"/>
    <s v="18-24"/>
    <x v="1"/>
    <s v="Canada"/>
    <n v="2953"/>
    <n v="1710"/>
    <n v="55"/>
    <x v="36"/>
    <s v="Fall"/>
    <s v="High"/>
    <s v="Similar Action D"/>
    <s v="Email Campaign"/>
    <n v="17776"/>
  </r>
  <r>
    <n v="302"/>
    <x v="2"/>
    <x v="6"/>
    <x v="56"/>
    <x v="274"/>
    <x v="0"/>
    <x v="44"/>
    <x v="299"/>
    <n v="52"/>
    <x v="268"/>
    <s v="Friday"/>
    <s v="18-24"/>
    <x v="0"/>
    <s v="Australia"/>
    <n v="2198"/>
    <n v="1244"/>
    <n v="788"/>
    <x v="8"/>
    <s v="Winter"/>
    <s v="Low"/>
    <s v="Similar Movie A"/>
    <s v="Print Media"/>
    <n v="2993"/>
  </r>
  <r>
    <n v="303"/>
    <x v="2"/>
    <x v="0"/>
    <x v="50"/>
    <x v="275"/>
    <x v="5"/>
    <x v="103"/>
    <x v="300"/>
    <n v="42"/>
    <x v="269"/>
    <s v="Saturday"/>
    <s v="18-24"/>
    <x v="0"/>
    <s v="France"/>
    <n v="1579"/>
    <n v="49"/>
    <n v="942"/>
    <x v="16"/>
    <s v="Spring"/>
    <s v="Low"/>
    <s v="Similar Movie A"/>
    <s v="Social Media"/>
    <n v="12267"/>
  </r>
  <r>
    <n v="304"/>
    <x v="0"/>
    <x v="1"/>
    <x v="29"/>
    <x v="276"/>
    <x v="2"/>
    <x v="198"/>
    <x v="301"/>
    <n v="44"/>
    <x v="270"/>
    <s v="Sunday"/>
    <s v="45-54"/>
    <x v="1"/>
    <s v="Italy"/>
    <n v="258"/>
    <n v="166"/>
    <n v="520"/>
    <x v="30"/>
    <s v="Fall"/>
    <s v="Medium"/>
    <s v="Similar Action D"/>
    <s v="30% off"/>
    <n v="16"/>
  </r>
  <r>
    <n v="305"/>
    <x v="2"/>
    <x v="7"/>
    <x v="36"/>
    <x v="277"/>
    <x v="1"/>
    <x v="56"/>
    <x v="302"/>
    <n v="32"/>
    <x v="271"/>
    <s v="Friday"/>
    <s v="25-34"/>
    <x v="1"/>
    <s v="Italy"/>
    <n v="1465"/>
    <n v="1723"/>
    <n v="41"/>
    <x v="39"/>
    <s v="Spring"/>
    <s v="Low"/>
    <s v="Similar History G"/>
    <s v="Print Media"/>
    <n v="6805"/>
  </r>
  <r>
    <n v="306"/>
    <x v="2"/>
    <x v="6"/>
    <x v="69"/>
    <x v="278"/>
    <x v="0"/>
    <x v="104"/>
    <x v="303"/>
    <n v="55"/>
    <x v="272"/>
    <s v="Saturday"/>
    <s v="18-24"/>
    <x v="1"/>
    <s v="Canada"/>
    <n v="2252"/>
    <n v="238"/>
    <n v="284"/>
    <x v="5"/>
    <s v="Winter"/>
    <s v="Low"/>
    <s v="Similar Romance F"/>
    <s v="Social Media"/>
    <n v="3468"/>
  </r>
  <r>
    <n v="307"/>
    <x v="2"/>
    <x v="6"/>
    <x v="37"/>
    <x v="279"/>
    <x v="4"/>
    <x v="158"/>
    <x v="304"/>
    <n v="53"/>
    <x v="273"/>
    <s v="Sunday"/>
    <s v="25-34"/>
    <x v="0"/>
    <s v="Canada"/>
    <n v="1288"/>
    <n v="1026"/>
    <n v="1333"/>
    <x v="1"/>
    <s v="Summer"/>
    <s v="High"/>
    <s v="Similar Thriller H"/>
    <s v="Online Ads"/>
    <n v="11860"/>
  </r>
  <r>
    <n v="308"/>
    <x v="1"/>
    <x v="8"/>
    <x v="19"/>
    <x v="280"/>
    <x v="0"/>
    <x v="199"/>
    <x v="305"/>
    <n v="91"/>
    <x v="221"/>
    <s v="Friday"/>
    <s v="18-24"/>
    <x v="0"/>
    <s v="Germany"/>
    <n v="255"/>
    <n v="1618"/>
    <n v="1491"/>
    <x v="5"/>
    <s v="Summer"/>
    <s v="High"/>
    <s v="Similar Series B"/>
    <s v="TV Ads"/>
    <n v="1489"/>
  </r>
  <r>
    <n v="309"/>
    <x v="0"/>
    <x v="0"/>
    <x v="74"/>
    <x v="281"/>
    <x v="5"/>
    <x v="138"/>
    <x v="306"/>
    <n v="34"/>
    <x v="274"/>
    <s v="Saturday"/>
    <s v="18-24"/>
    <x v="0"/>
    <s v="Italy"/>
    <n v="803"/>
    <n v="383"/>
    <n v="168"/>
    <x v="32"/>
    <s v="Fall"/>
    <s v="High"/>
    <s v="Similar Action D"/>
    <s v="Email Campaign"/>
    <n v="14523"/>
  </r>
  <r>
    <n v="310"/>
    <x v="0"/>
    <x v="8"/>
    <x v="1"/>
    <x v="282"/>
    <x v="3"/>
    <x v="128"/>
    <x v="307"/>
    <n v="73"/>
    <x v="176"/>
    <s v="Saturday"/>
    <s v="18-24"/>
    <x v="1"/>
    <s v="Germany"/>
    <n v="1853"/>
    <n v="198"/>
    <n v="13"/>
    <x v="22"/>
    <s v="Spring"/>
    <s v="Low"/>
    <s v="Similar Movie A"/>
    <s v="Email Campaign"/>
    <n v="809"/>
  </r>
  <r>
    <n v="311"/>
    <x v="1"/>
    <x v="8"/>
    <x v="14"/>
    <x v="283"/>
    <x v="1"/>
    <x v="200"/>
    <x v="308"/>
    <n v="99"/>
    <x v="275"/>
    <s v="Sunday"/>
    <s v="18-24"/>
    <x v="0"/>
    <s v="Canada"/>
    <n v="1695"/>
    <n v="71"/>
    <n v="81"/>
    <x v="3"/>
    <s v="Summer"/>
    <s v="Low"/>
    <s v="Similar Series B"/>
    <s v="30% off"/>
    <n v="18860"/>
  </r>
  <r>
    <n v="312"/>
    <x v="0"/>
    <x v="3"/>
    <x v="64"/>
    <x v="284"/>
    <x v="5"/>
    <x v="24"/>
    <x v="309"/>
    <n v="86"/>
    <x v="276"/>
    <s v="Tuesday"/>
    <s v="45-54"/>
    <x v="0"/>
    <s v="UK"/>
    <n v="2559"/>
    <n v="1603"/>
    <n v="864"/>
    <x v="28"/>
    <s v="Summer"/>
    <s v="High"/>
    <s v="Similar Sci-Fi E"/>
    <s v="30% off"/>
    <n v="9132"/>
  </r>
  <r>
    <n v="313"/>
    <x v="1"/>
    <x v="2"/>
    <x v="50"/>
    <x v="285"/>
    <x v="4"/>
    <x v="201"/>
    <x v="310"/>
    <n v="97"/>
    <x v="277"/>
    <s v="Friday"/>
    <s v="35-44"/>
    <x v="0"/>
    <s v="India"/>
    <n v="1028"/>
    <n v="772"/>
    <n v="838"/>
    <x v="5"/>
    <s v="Summer"/>
    <s v="High"/>
    <s v="Similar Series B"/>
    <s v="Social Media"/>
    <n v="6998"/>
  </r>
  <r>
    <n v="314"/>
    <x v="0"/>
    <x v="3"/>
    <x v="3"/>
    <x v="286"/>
    <x v="4"/>
    <x v="202"/>
    <x v="311"/>
    <n v="49"/>
    <x v="171"/>
    <s v="Saturday"/>
    <s v="25-34"/>
    <x v="0"/>
    <s v="Australia"/>
    <n v="1112"/>
    <n v="1738"/>
    <n v="402"/>
    <x v="5"/>
    <s v="Fall"/>
    <s v="Medium"/>
    <s v="Similar Series B"/>
    <s v="30% off"/>
    <n v="4233"/>
  </r>
  <r>
    <n v="315"/>
    <x v="1"/>
    <x v="2"/>
    <x v="32"/>
    <x v="287"/>
    <x v="0"/>
    <x v="54"/>
    <x v="312"/>
    <n v="45"/>
    <x v="278"/>
    <s v="Sunday"/>
    <s v="18-24"/>
    <x v="1"/>
    <s v="Australia"/>
    <n v="1646"/>
    <n v="662"/>
    <n v="726"/>
    <x v="21"/>
    <s v="Fall"/>
    <s v="Medium"/>
    <s v="Similar Movie A"/>
    <s v="Email Campaign"/>
    <n v="19880"/>
  </r>
  <r>
    <n v="316"/>
    <x v="1"/>
    <x v="1"/>
    <x v="20"/>
    <x v="288"/>
    <x v="2"/>
    <x v="203"/>
    <x v="313"/>
    <n v="73"/>
    <x v="195"/>
    <s v="Friday"/>
    <s v="35-44"/>
    <x v="0"/>
    <s v="Canada"/>
    <n v="2366"/>
    <n v="1822"/>
    <n v="166"/>
    <x v="4"/>
    <s v="Fall"/>
    <s v="Low"/>
    <s v="Similar History G"/>
    <s v="Social Media"/>
    <n v="19322"/>
  </r>
  <r>
    <n v="317"/>
    <x v="2"/>
    <x v="8"/>
    <x v="39"/>
    <x v="289"/>
    <x v="6"/>
    <x v="204"/>
    <x v="314"/>
    <n v="43"/>
    <x v="279"/>
    <s v="Saturday"/>
    <s v="35-44"/>
    <x v="1"/>
    <s v="USA"/>
    <n v="1169"/>
    <n v="1815"/>
    <n v="1044"/>
    <x v="3"/>
    <s v="Spring"/>
    <s v="Medium"/>
    <s v="Similar Sci-Fi E"/>
    <s v="Print Media"/>
    <n v="17368"/>
  </r>
  <r>
    <n v="318"/>
    <x v="1"/>
    <x v="6"/>
    <x v="69"/>
    <x v="290"/>
    <x v="1"/>
    <x v="205"/>
    <x v="315"/>
    <n v="124"/>
    <x v="280"/>
    <s v="Saturday"/>
    <s v="35-44"/>
    <x v="0"/>
    <s v="India"/>
    <n v="1211"/>
    <n v="119"/>
    <n v="114"/>
    <x v="26"/>
    <s v="Spring"/>
    <s v="Medium"/>
    <s v="Similar Sci-Fi E"/>
    <s v="Social Media"/>
    <n v="7092"/>
  </r>
  <r>
    <n v="319"/>
    <x v="1"/>
    <x v="8"/>
    <x v="2"/>
    <x v="291"/>
    <x v="1"/>
    <x v="206"/>
    <x v="316"/>
    <n v="44"/>
    <x v="281"/>
    <s v="Sunday"/>
    <s v="25-34"/>
    <x v="0"/>
    <s v="India"/>
    <n v="1150"/>
    <n v="728"/>
    <n v="27"/>
    <x v="16"/>
    <s v="Winter"/>
    <s v="Medium"/>
    <s v="Similar Movie A"/>
    <s v="Online Ads"/>
    <n v="13034"/>
  </r>
  <r>
    <n v="320"/>
    <x v="0"/>
    <x v="7"/>
    <x v="20"/>
    <x v="292"/>
    <x v="0"/>
    <x v="207"/>
    <x v="317"/>
    <n v="133"/>
    <x v="282"/>
    <s v="Tuesday"/>
    <s v="45-54"/>
    <x v="1"/>
    <s v="Canada"/>
    <n v="2424"/>
    <n v="1030"/>
    <n v="497"/>
    <x v="12"/>
    <s v="Winter"/>
    <s v="Medium"/>
    <s v="Similar Action D"/>
    <s v="Email Campaign"/>
    <n v="7889"/>
  </r>
  <r>
    <n v="321"/>
    <x v="1"/>
    <x v="4"/>
    <x v="52"/>
    <x v="293"/>
    <x v="3"/>
    <x v="69"/>
    <x v="318"/>
    <n v="64"/>
    <x v="84"/>
    <s v="Friday"/>
    <s v="18-24"/>
    <x v="1"/>
    <s v="Canada"/>
    <n v="2138"/>
    <n v="790"/>
    <n v="1211"/>
    <x v="3"/>
    <s v="Spring"/>
    <s v="High"/>
    <s v="Similar Action D"/>
    <s v="TV Ads"/>
    <n v="4918"/>
  </r>
  <r>
    <n v="322"/>
    <x v="0"/>
    <x v="4"/>
    <x v="39"/>
    <x v="294"/>
    <x v="6"/>
    <x v="128"/>
    <x v="319"/>
    <n v="70"/>
    <x v="58"/>
    <s v="Saturday"/>
    <s v="45-54"/>
    <x v="0"/>
    <s v="UK"/>
    <n v="760"/>
    <n v="1316"/>
    <n v="729"/>
    <x v="36"/>
    <s v="Winter"/>
    <s v="Low"/>
    <s v="Similar Series B"/>
    <s v="Social Media"/>
    <n v="4256"/>
  </r>
  <r>
    <n v="323"/>
    <x v="1"/>
    <x v="4"/>
    <x v="54"/>
    <x v="295"/>
    <x v="4"/>
    <x v="208"/>
    <x v="320"/>
    <n v="89"/>
    <x v="283"/>
    <s v="Sunday"/>
    <s v="45-54"/>
    <x v="1"/>
    <s v="Germany"/>
    <n v="785"/>
    <n v="119"/>
    <n v="375"/>
    <x v="5"/>
    <s v="Fall"/>
    <s v="Medium"/>
    <s v="Similar Thriller H"/>
    <s v="Social Media"/>
    <n v="6255"/>
  </r>
  <r>
    <n v="324"/>
    <x v="0"/>
    <x v="5"/>
    <x v="7"/>
    <x v="296"/>
    <x v="2"/>
    <x v="185"/>
    <x v="321"/>
    <n v="26"/>
    <x v="214"/>
    <s v="Friday"/>
    <s v="18-24"/>
    <x v="0"/>
    <s v="Australia"/>
    <n v="2088"/>
    <n v="1778"/>
    <n v="529"/>
    <x v="15"/>
    <s v="Winter"/>
    <s v="Low"/>
    <s v="Similar Series B"/>
    <s v="Social Media"/>
    <n v="12562"/>
  </r>
  <r>
    <n v="325"/>
    <x v="0"/>
    <x v="5"/>
    <x v="27"/>
    <x v="297"/>
    <x v="4"/>
    <x v="183"/>
    <x v="322"/>
    <n v="116"/>
    <x v="284"/>
    <s v="Saturday"/>
    <s v="35-44"/>
    <x v="1"/>
    <s v="Germany"/>
    <n v="1594"/>
    <n v="987"/>
    <n v="1306"/>
    <x v="1"/>
    <s v="Fall"/>
    <s v="Low"/>
    <s v="Similar Movie A"/>
    <s v="30% off"/>
    <n v="6599"/>
  </r>
  <r>
    <n v="326"/>
    <x v="2"/>
    <x v="1"/>
    <x v="17"/>
    <x v="298"/>
    <x v="6"/>
    <x v="209"/>
    <x v="323"/>
    <n v="33"/>
    <x v="89"/>
    <s v="Sunday"/>
    <s v="18-24"/>
    <x v="1"/>
    <s v="UK"/>
    <n v="2669"/>
    <n v="1520"/>
    <n v="1337"/>
    <x v="22"/>
    <s v="Fall"/>
    <s v="Low"/>
    <s v="Similar History G"/>
    <s v="Social Media"/>
    <n v="557"/>
  </r>
  <r>
    <n v="327"/>
    <x v="1"/>
    <x v="8"/>
    <x v="34"/>
    <x v="299"/>
    <x v="5"/>
    <x v="210"/>
    <x v="324"/>
    <n v="75"/>
    <x v="285"/>
    <s v="Friday"/>
    <s v="35-44"/>
    <x v="0"/>
    <s v="Germany"/>
    <n v="1073"/>
    <n v="1758"/>
    <n v="1198"/>
    <x v="5"/>
    <s v="Fall"/>
    <s v="Low"/>
    <s v="Similar History G"/>
    <s v="Email Campaign"/>
    <n v="11392"/>
  </r>
  <r>
    <n v="328"/>
    <x v="1"/>
    <x v="8"/>
    <x v="14"/>
    <x v="300"/>
    <x v="3"/>
    <x v="211"/>
    <x v="325"/>
    <n v="85"/>
    <x v="286"/>
    <s v="Saturday"/>
    <s v="45-54"/>
    <x v="1"/>
    <s v="Italy"/>
    <n v="1946"/>
    <n v="1764"/>
    <n v="198"/>
    <x v="35"/>
    <s v="Fall"/>
    <s v="Low"/>
    <s v="Similar Thriller H"/>
    <s v="TV Ads"/>
    <n v="11539"/>
  </r>
  <r>
    <n v="329"/>
    <x v="1"/>
    <x v="8"/>
    <x v="42"/>
    <x v="98"/>
    <x v="1"/>
    <x v="212"/>
    <x v="326"/>
    <n v="57"/>
    <x v="287"/>
    <s v="Saturday"/>
    <s v="25-34"/>
    <x v="1"/>
    <s v="USA"/>
    <n v="830"/>
    <n v="182"/>
    <n v="1245"/>
    <x v="3"/>
    <s v="Fall"/>
    <s v="Low"/>
    <s v="Similar Thriller H"/>
    <s v="TV Ads"/>
    <n v="10363"/>
  </r>
  <r>
    <n v="330"/>
    <x v="0"/>
    <x v="7"/>
    <x v="39"/>
    <x v="135"/>
    <x v="1"/>
    <x v="162"/>
    <x v="327"/>
    <n v="53"/>
    <x v="13"/>
    <s v="Sunday"/>
    <s v="18-24"/>
    <x v="1"/>
    <s v="Australia"/>
    <n v="1390"/>
    <n v="1363"/>
    <n v="948"/>
    <x v="28"/>
    <s v="Spring"/>
    <s v="High"/>
    <s v="Similar Thriller H"/>
    <s v="Print Media"/>
    <n v="7087"/>
  </r>
  <r>
    <n v="331"/>
    <x v="0"/>
    <x v="1"/>
    <x v="27"/>
    <x v="301"/>
    <x v="3"/>
    <x v="213"/>
    <x v="328"/>
    <n v="49"/>
    <x v="288"/>
    <s v="Tuesday"/>
    <s v="45-54"/>
    <x v="1"/>
    <s v="Australia"/>
    <n v="2636"/>
    <n v="1744"/>
    <n v="954"/>
    <x v="3"/>
    <s v="Spring"/>
    <s v="Low"/>
    <s v="Similar Thriller H"/>
    <s v="Print Media"/>
    <n v="15741"/>
  </r>
  <r>
    <n v="332"/>
    <x v="2"/>
    <x v="5"/>
    <x v="27"/>
    <x v="244"/>
    <x v="2"/>
    <x v="0"/>
    <x v="329"/>
    <n v="31"/>
    <x v="289"/>
    <s v="Friday"/>
    <s v="45-54"/>
    <x v="1"/>
    <s v="USA"/>
    <n v="553"/>
    <n v="839"/>
    <n v="909"/>
    <x v="28"/>
    <s v="Winter"/>
    <s v="Low"/>
    <s v="Similar Doc C"/>
    <s v="Online Ads"/>
    <n v="6221"/>
  </r>
  <r>
    <n v="333"/>
    <x v="0"/>
    <x v="7"/>
    <x v="53"/>
    <x v="302"/>
    <x v="6"/>
    <x v="12"/>
    <x v="330"/>
    <n v="52"/>
    <x v="290"/>
    <s v="Saturday"/>
    <s v="25-34"/>
    <x v="0"/>
    <s v="UK"/>
    <n v="1953"/>
    <n v="615"/>
    <n v="844"/>
    <x v="36"/>
    <s v="Winter"/>
    <s v="High"/>
    <s v="Similar Sci-Fi E"/>
    <s v="Email Campaign"/>
    <n v="13975"/>
  </r>
  <r>
    <n v="334"/>
    <x v="2"/>
    <x v="7"/>
    <x v="18"/>
    <x v="303"/>
    <x v="5"/>
    <x v="30"/>
    <x v="331"/>
    <n v="35"/>
    <x v="168"/>
    <s v="Sunday"/>
    <s v="18-24"/>
    <x v="0"/>
    <s v="Australia"/>
    <n v="2972"/>
    <n v="550"/>
    <n v="526"/>
    <x v="5"/>
    <s v="Winter"/>
    <s v="Medium"/>
    <s v="Similar Action D"/>
    <s v="TV Ads"/>
    <n v="10807"/>
  </r>
  <r>
    <n v="335"/>
    <x v="2"/>
    <x v="0"/>
    <x v="47"/>
    <x v="304"/>
    <x v="4"/>
    <x v="71"/>
    <x v="332"/>
    <n v="50"/>
    <x v="291"/>
    <s v="Friday"/>
    <s v="35-44"/>
    <x v="0"/>
    <s v="India"/>
    <n v="1830"/>
    <n v="1086"/>
    <n v="522"/>
    <x v="2"/>
    <s v="Summer"/>
    <s v="High"/>
    <s v="Similar Movie A"/>
    <s v="Print Media"/>
    <n v="7942"/>
  </r>
  <r>
    <n v="336"/>
    <x v="2"/>
    <x v="7"/>
    <x v="6"/>
    <x v="305"/>
    <x v="0"/>
    <x v="214"/>
    <x v="333"/>
    <n v="24"/>
    <x v="292"/>
    <s v="Saturday"/>
    <s v="25-34"/>
    <x v="1"/>
    <s v="India"/>
    <n v="612"/>
    <n v="1612"/>
    <n v="156"/>
    <x v="18"/>
    <s v="Fall"/>
    <s v="Low"/>
    <s v="Similar Series B"/>
    <s v="TV Ads"/>
    <n v="8323"/>
  </r>
  <r>
    <n v="337"/>
    <x v="1"/>
    <x v="2"/>
    <x v="55"/>
    <x v="306"/>
    <x v="2"/>
    <x v="215"/>
    <x v="334"/>
    <n v="64"/>
    <x v="293"/>
    <s v="Saturday"/>
    <s v="18-24"/>
    <x v="0"/>
    <s v="USA"/>
    <n v="1318"/>
    <n v="325"/>
    <n v="583"/>
    <x v="3"/>
    <s v="Fall"/>
    <s v="High"/>
    <s v="Similar Sci-Fi E"/>
    <s v="30% off"/>
    <n v="1576"/>
  </r>
  <r>
    <n v="338"/>
    <x v="0"/>
    <x v="0"/>
    <x v="20"/>
    <x v="307"/>
    <x v="2"/>
    <x v="82"/>
    <x v="335"/>
    <n v="55"/>
    <x v="294"/>
    <s v="Sunday"/>
    <s v="35-44"/>
    <x v="1"/>
    <s v="India"/>
    <n v="170"/>
    <n v="1483"/>
    <n v="156"/>
    <x v="2"/>
    <s v="Summer"/>
    <s v="High"/>
    <s v="Similar Doc C"/>
    <s v="30% off"/>
    <n v="1639"/>
  </r>
  <r>
    <n v="339"/>
    <x v="2"/>
    <x v="1"/>
    <x v="23"/>
    <x v="308"/>
    <x v="6"/>
    <x v="216"/>
    <x v="336"/>
    <n v="49"/>
    <x v="295"/>
    <s v="Tuesday"/>
    <s v="45-54"/>
    <x v="0"/>
    <s v="France"/>
    <n v="748"/>
    <n v="1775"/>
    <n v="822"/>
    <x v="40"/>
    <s v="Summer"/>
    <s v="High"/>
    <s v="Similar Action D"/>
    <s v="TV Ads"/>
    <n v="19816"/>
  </r>
  <r>
    <n v="340"/>
    <x v="0"/>
    <x v="0"/>
    <x v="38"/>
    <x v="309"/>
    <x v="6"/>
    <x v="217"/>
    <x v="337"/>
    <n v="73"/>
    <x v="296"/>
    <s v="Friday"/>
    <s v="25-34"/>
    <x v="1"/>
    <s v="India"/>
    <n v="447"/>
    <n v="694"/>
    <n v="954"/>
    <x v="32"/>
    <s v="Fall"/>
    <s v="Medium"/>
    <s v="Similar Action D"/>
    <s v="Email Campaign"/>
    <n v="1557"/>
  </r>
  <r>
    <n v="341"/>
    <x v="2"/>
    <x v="7"/>
    <x v="39"/>
    <x v="239"/>
    <x v="6"/>
    <x v="43"/>
    <x v="338"/>
    <n v="44"/>
    <x v="297"/>
    <s v="Saturday"/>
    <s v="18-24"/>
    <x v="1"/>
    <s v="Canada"/>
    <n v="1653"/>
    <n v="1039"/>
    <n v="320"/>
    <x v="39"/>
    <s v="Winter"/>
    <s v="Medium"/>
    <s v="Similar History G"/>
    <s v="Online Ads"/>
    <n v="11264"/>
  </r>
  <r>
    <n v="342"/>
    <x v="2"/>
    <x v="6"/>
    <x v="15"/>
    <x v="310"/>
    <x v="4"/>
    <x v="60"/>
    <x v="339"/>
    <n v="36"/>
    <x v="298"/>
    <s v="Sunday"/>
    <s v="18-24"/>
    <x v="0"/>
    <s v="UK"/>
    <n v="1904"/>
    <n v="947"/>
    <n v="193"/>
    <x v="37"/>
    <s v="Spring"/>
    <s v="High"/>
    <s v="Similar Doc C"/>
    <s v="TV Ads"/>
    <n v="7829"/>
  </r>
  <r>
    <n v="343"/>
    <x v="0"/>
    <x v="8"/>
    <x v="62"/>
    <x v="77"/>
    <x v="3"/>
    <x v="188"/>
    <x v="340"/>
    <n v="125"/>
    <x v="110"/>
    <s v="Friday"/>
    <s v="25-34"/>
    <x v="1"/>
    <s v="Australia"/>
    <n v="725"/>
    <n v="1273"/>
    <n v="1115"/>
    <x v="13"/>
    <s v="Summer"/>
    <s v="Medium"/>
    <s v="Similar Doc C"/>
    <s v="Print Media"/>
    <n v="11935"/>
  </r>
  <r>
    <n v="344"/>
    <x v="2"/>
    <x v="7"/>
    <x v="43"/>
    <x v="207"/>
    <x v="4"/>
    <x v="133"/>
    <x v="341"/>
    <n v="50"/>
    <x v="299"/>
    <s v="Saturday"/>
    <s v="45-54"/>
    <x v="1"/>
    <s v="India"/>
    <n v="673"/>
    <n v="1437"/>
    <n v="1247"/>
    <x v="2"/>
    <s v="Spring"/>
    <s v="High"/>
    <s v="Similar Sci-Fi E"/>
    <s v="Email Campaign"/>
    <n v="11305"/>
  </r>
  <r>
    <n v="345"/>
    <x v="1"/>
    <x v="1"/>
    <x v="49"/>
    <x v="4"/>
    <x v="0"/>
    <x v="218"/>
    <x v="342"/>
    <n v="82"/>
    <x v="300"/>
    <s v="Sunday"/>
    <s v="25-34"/>
    <x v="0"/>
    <s v="USA"/>
    <n v="2244"/>
    <n v="252"/>
    <n v="305"/>
    <x v="31"/>
    <s v="Summer"/>
    <s v="Medium"/>
    <s v="Similar Thriller H"/>
    <s v="Online Ads"/>
    <n v="5782"/>
  </r>
  <r>
    <n v="346"/>
    <x v="1"/>
    <x v="2"/>
    <x v="50"/>
    <x v="311"/>
    <x v="0"/>
    <x v="219"/>
    <x v="343"/>
    <n v="45"/>
    <x v="301"/>
    <s v="Friday"/>
    <s v="35-44"/>
    <x v="0"/>
    <s v="Italy"/>
    <n v="1457"/>
    <n v="1209"/>
    <n v="926"/>
    <x v="17"/>
    <s v="Winter"/>
    <s v="High"/>
    <s v="Similar Action D"/>
    <s v="Social Media"/>
    <n v="139"/>
  </r>
  <r>
    <n v="347"/>
    <x v="2"/>
    <x v="5"/>
    <x v="47"/>
    <x v="215"/>
    <x v="5"/>
    <x v="116"/>
    <x v="344"/>
    <n v="32"/>
    <x v="302"/>
    <s v="Saturday"/>
    <s v="25-34"/>
    <x v="0"/>
    <s v="UK"/>
    <n v="1329"/>
    <n v="1092"/>
    <n v="749"/>
    <x v="20"/>
    <s v="Winter"/>
    <s v="Low"/>
    <s v="Similar Movie A"/>
    <s v="Email Campaign"/>
    <n v="895"/>
  </r>
  <r>
    <n v="348"/>
    <x v="0"/>
    <x v="1"/>
    <x v="49"/>
    <x v="175"/>
    <x v="3"/>
    <x v="47"/>
    <x v="345"/>
    <n v="68"/>
    <x v="303"/>
    <s v="Saturday"/>
    <s v="35-44"/>
    <x v="0"/>
    <s v="UK"/>
    <n v="419"/>
    <n v="350"/>
    <n v="1286"/>
    <x v="31"/>
    <s v="Summer"/>
    <s v="Medium"/>
    <s v="Similar Doc C"/>
    <s v="Print Media"/>
    <n v="11649"/>
  </r>
  <r>
    <n v="349"/>
    <x v="2"/>
    <x v="0"/>
    <x v="13"/>
    <x v="312"/>
    <x v="2"/>
    <x v="59"/>
    <x v="346"/>
    <n v="27"/>
    <x v="304"/>
    <s v="Sunday"/>
    <s v="35-44"/>
    <x v="0"/>
    <s v="India"/>
    <n v="2287"/>
    <n v="1664"/>
    <n v="756"/>
    <x v="26"/>
    <s v="Fall"/>
    <s v="Medium"/>
    <s v="Similar History G"/>
    <s v="Email Campaign"/>
    <n v="12947"/>
  </r>
  <r>
    <n v="350"/>
    <x v="0"/>
    <x v="5"/>
    <x v="50"/>
    <x v="124"/>
    <x v="2"/>
    <x v="102"/>
    <x v="347"/>
    <n v="54"/>
    <x v="305"/>
    <s v="Tuesday"/>
    <s v="25-34"/>
    <x v="0"/>
    <s v="Canada"/>
    <n v="2367"/>
    <n v="83"/>
    <n v="1160"/>
    <x v="31"/>
    <s v="Spring"/>
    <s v="Medium"/>
    <s v="Similar Sci-Fi E"/>
    <s v="Print Media"/>
    <n v="4640"/>
  </r>
  <r>
    <n v="351"/>
    <x v="2"/>
    <x v="6"/>
    <x v="37"/>
    <x v="313"/>
    <x v="2"/>
    <x v="121"/>
    <x v="348"/>
    <n v="39"/>
    <x v="306"/>
    <s v="Friday"/>
    <s v="25-34"/>
    <x v="1"/>
    <s v="India"/>
    <n v="2797"/>
    <n v="160"/>
    <n v="636"/>
    <x v="10"/>
    <s v="Spring"/>
    <s v="Low"/>
    <s v="Similar Action D"/>
    <s v="Online Ads"/>
    <n v="7303"/>
  </r>
  <r>
    <n v="352"/>
    <x v="2"/>
    <x v="3"/>
    <x v="32"/>
    <x v="314"/>
    <x v="6"/>
    <x v="59"/>
    <x v="349"/>
    <n v="70"/>
    <x v="307"/>
    <s v="Saturday"/>
    <s v="35-44"/>
    <x v="1"/>
    <s v="Canada"/>
    <n v="1644"/>
    <n v="1790"/>
    <n v="1157"/>
    <x v="3"/>
    <s v="Fall"/>
    <s v="Medium"/>
    <s v="Similar History G"/>
    <s v="Online Ads"/>
    <n v="3685"/>
  </r>
  <r>
    <n v="353"/>
    <x v="0"/>
    <x v="1"/>
    <x v="58"/>
    <x v="129"/>
    <x v="3"/>
    <x v="179"/>
    <x v="350"/>
    <n v="85"/>
    <x v="94"/>
    <s v="Sunday"/>
    <s v="18-24"/>
    <x v="1"/>
    <s v="Canada"/>
    <n v="286"/>
    <n v="1752"/>
    <n v="581"/>
    <x v="6"/>
    <s v="Summer"/>
    <s v="High"/>
    <s v="Similar History G"/>
    <s v="Email Campaign"/>
    <n v="3686"/>
  </r>
  <r>
    <n v="354"/>
    <x v="2"/>
    <x v="6"/>
    <x v="52"/>
    <x v="315"/>
    <x v="4"/>
    <x v="5"/>
    <x v="351"/>
    <n v="74"/>
    <x v="308"/>
    <s v="Friday"/>
    <s v="35-44"/>
    <x v="0"/>
    <s v="Australia"/>
    <n v="1916"/>
    <n v="586"/>
    <n v="597"/>
    <x v="38"/>
    <s v="Spring"/>
    <s v="Low"/>
    <s v="Similar Series B"/>
    <s v="Print Media"/>
    <n v="8425"/>
  </r>
  <r>
    <n v="355"/>
    <x v="0"/>
    <x v="3"/>
    <x v="68"/>
    <x v="316"/>
    <x v="2"/>
    <x v="21"/>
    <x v="352"/>
    <n v="44"/>
    <x v="242"/>
    <s v="Saturday"/>
    <s v="25-34"/>
    <x v="0"/>
    <s v="Italy"/>
    <n v="455"/>
    <n v="399"/>
    <n v="562"/>
    <x v="12"/>
    <s v="Fall"/>
    <s v="Medium"/>
    <s v="Similar History G"/>
    <s v="Social Media"/>
    <n v="658"/>
  </r>
  <r>
    <n v="356"/>
    <x v="1"/>
    <x v="3"/>
    <x v="75"/>
    <x v="317"/>
    <x v="0"/>
    <x v="220"/>
    <x v="353"/>
    <n v="56"/>
    <x v="309"/>
    <s v="Saturday"/>
    <s v="45-54"/>
    <x v="0"/>
    <s v="Australia"/>
    <n v="320"/>
    <n v="1175"/>
    <n v="100"/>
    <x v="14"/>
    <s v="Winter"/>
    <s v="Medium"/>
    <s v="Similar Romance F"/>
    <s v="Email Campaign"/>
    <n v="17132"/>
  </r>
  <r>
    <n v="357"/>
    <x v="2"/>
    <x v="8"/>
    <x v="19"/>
    <x v="306"/>
    <x v="5"/>
    <x v="104"/>
    <x v="354"/>
    <n v="55"/>
    <x v="310"/>
    <s v="Sunday"/>
    <s v="45-54"/>
    <x v="1"/>
    <s v="Australia"/>
    <n v="317"/>
    <n v="1675"/>
    <n v="938"/>
    <x v="2"/>
    <s v="Fall"/>
    <s v="High"/>
    <s v="Similar Doc C"/>
    <s v="Print Media"/>
    <n v="13590"/>
  </r>
  <r>
    <n v="358"/>
    <x v="2"/>
    <x v="3"/>
    <x v="7"/>
    <x v="318"/>
    <x v="6"/>
    <x v="135"/>
    <x v="355"/>
    <n v="52"/>
    <x v="311"/>
    <s v="Tuesday"/>
    <s v="25-34"/>
    <x v="1"/>
    <s v="Germany"/>
    <n v="2827"/>
    <n v="990"/>
    <n v="1385"/>
    <x v="4"/>
    <s v="Winter"/>
    <s v="Low"/>
    <s v="Similar Sci-Fi E"/>
    <s v="Online Ads"/>
    <n v="5623"/>
  </r>
  <r>
    <n v="359"/>
    <x v="0"/>
    <x v="4"/>
    <x v="65"/>
    <x v="319"/>
    <x v="5"/>
    <x v="112"/>
    <x v="356"/>
    <n v="133"/>
    <x v="312"/>
    <s v="Friday"/>
    <s v="35-44"/>
    <x v="0"/>
    <s v="USA"/>
    <n v="1366"/>
    <n v="555"/>
    <n v="614"/>
    <x v="17"/>
    <s v="Fall"/>
    <s v="Medium"/>
    <s v="Similar Sci-Fi E"/>
    <s v="Online Ads"/>
    <n v="11092"/>
  </r>
  <r>
    <n v="360"/>
    <x v="2"/>
    <x v="0"/>
    <x v="30"/>
    <x v="320"/>
    <x v="0"/>
    <x v="221"/>
    <x v="357"/>
    <n v="35"/>
    <x v="313"/>
    <s v="Saturday"/>
    <s v="35-44"/>
    <x v="1"/>
    <s v="France"/>
    <n v="2384"/>
    <n v="823"/>
    <n v="457"/>
    <x v="22"/>
    <s v="Summer"/>
    <s v="High"/>
    <s v="Similar Doc C"/>
    <s v="Online Ads"/>
    <n v="407"/>
  </r>
  <r>
    <n v="361"/>
    <x v="0"/>
    <x v="5"/>
    <x v="15"/>
    <x v="321"/>
    <x v="1"/>
    <x v="124"/>
    <x v="358"/>
    <n v="82"/>
    <x v="314"/>
    <s v="Sunday"/>
    <s v="35-44"/>
    <x v="0"/>
    <s v="UK"/>
    <n v="1450"/>
    <n v="1395"/>
    <n v="699"/>
    <x v="11"/>
    <s v="Summer"/>
    <s v="Medium"/>
    <s v="Similar Romance F"/>
    <s v="30% off"/>
    <n v="8565"/>
  </r>
  <r>
    <n v="362"/>
    <x v="0"/>
    <x v="1"/>
    <x v="15"/>
    <x v="322"/>
    <x v="4"/>
    <x v="153"/>
    <x v="359"/>
    <n v="62"/>
    <x v="315"/>
    <s v="Friday"/>
    <s v="35-44"/>
    <x v="1"/>
    <s v="Germany"/>
    <n v="34"/>
    <n v="1618"/>
    <n v="243"/>
    <x v="2"/>
    <s v="Winter"/>
    <s v="Medium"/>
    <s v="Similar Thriller H"/>
    <s v="Social Media"/>
    <n v="13635"/>
  </r>
  <r>
    <n v="363"/>
    <x v="2"/>
    <x v="7"/>
    <x v="66"/>
    <x v="323"/>
    <x v="6"/>
    <x v="44"/>
    <x v="360"/>
    <n v="54"/>
    <x v="201"/>
    <s v="Saturday"/>
    <s v="45-54"/>
    <x v="1"/>
    <s v="Canada"/>
    <n v="1314"/>
    <n v="1543"/>
    <n v="898"/>
    <x v="2"/>
    <s v="Fall"/>
    <s v="Medium"/>
    <s v="Similar History G"/>
    <s v="Social Media"/>
    <n v="17588"/>
  </r>
  <r>
    <n v="364"/>
    <x v="1"/>
    <x v="1"/>
    <x v="3"/>
    <x v="324"/>
    <x v="0"/>
    <x v="222"/>
    <x v="361"/>
    <n v="118"/>
    <x v="316"/>
    <s v="Sunday"/>
    <s v="35-44"/>
    <x v="0"/>
    <s v="Canada"/>
    <n v="2558"/>
    <n v="1999"/>
    <n v="1188"/>
    <x v="2"/>
    <s v="Fall"/>
    <s v="Low"/>
    <s v="Similar Action D"/>
    <s v="Email Campaign"/>
    <n v="15608"/>
  </r>
  <r>
    <n v="365"/>
    <x v="0"/>
    <x v="8"/>
    <x v="68"/>
    <x v="325"/>
    <x v="2"/>
    <x v="0"/>
    <x v="362"/>
    <n v="35"/>
    <x v="317"/>
    <s v="Friday"/>
    <s v="45-54"/>
    <x v="0"/>
    <s v="France"/>
    <n v="1946"/>
    <n v="502"/>
    <n v="708"/>
    <x v="31"/>
    <s v="Summer"/>
    <s v="Low"/>
    <s v="Similar Romance F"/>
    <s v="Print Media"/>
    <n v="8556"/>
  </r>
  <r>
    <n v="366"/>
    <x v="1"/>
    <x v="7"/>
    <x v="50"/>
    <x v="294"/>
    <x v="3"/>
    <x v="223"/>
    <x v="363"/>
    <n v="134"/>
    <x v="318"/>
    <s v="Saturday"/>
    <s v="45-54"/>
    <x v="1"/>
    <s v="Italy"/>
    <n v="2753"/>
    <n v="708"/>
    <n v="557"/>
    <x v="25"/>
    <s v="Summer"/>
    <s v="Medium"/>
    <s v="Similar Romance F"/>
    <s v="Print Media"/>
    <n v="8002"/>
  </r>
  <r>
    <n v="367"/>
    <x v="0"/>
    <x v="4"/>
    <x v="25"/>
    <x v="326"/>
    <x v="3"/>
    <x v="143"/>
    <x v="364"/>
    <n v="58"/>
    <x v="162"/>
    <s v="Saturday"/>
    <s v="25-34"/>
    <x v="1"/>
    <s v="Australia"/>
    <n v="2827"/>
    <n v="737"/>
    <n v="1267"/>
    <x v="39"/>
    <s v="Winter"/>
    <s v="High"/>
    <s v="Similar History G"/>
    <s v="Print Media"/>
    <n v="19227"/>
  </r>
  <r>
    <n v="368"/>
    <x v="0"/>
    <x v="2"/>
    <x v="58"/>
    <x v="327"/>
    <x v="5"/>
    <x v="224"/>
    <x v="365"/>
    <n v="57"/>
    <x v="201"/>
    <s v="Sunday"/>
    <s v="45-54"/>
    <x v="0"/>
    <s v="USA"/>
    <n v="698"/>
    <n v="1033"/>
    <n v="570"/>
    <x v="20"/>
    <s v="Spring"/>
    <s v="Low"/>
    <s v="Similar History G"/>
    <s v="Email Campaign"/>
    <n v="2426"/>
  </r>
  <r>
    <n v="369"/>
    <x v="2"/>
    <x v="8"/>
    <x v="25"/>
    <x v="328"/>
    <x v="1"/>
    <x v="22"/>
    <x v="366"/>
    <n v="27"/>
    <x v="319"/>
    <s v="Tuesday"/>
    <s v="35-44"/>
    <x v="0"/>
    <s v="France"/>
    <n v="2721"/>
    <n v="1109"/>
    <n v="490"/>
    <x v="2"/>
    <s v="Spring"/>
    <s v="High"/>
    <s v="Similar Action D"/>
    <s v="Email Campaign"/>
    <n v="3954"/>
  </r>
  <r>
    <n v="370"/>
    <x v="0"/>
    <x v="3"/>
    <x v="75"/>
    <x v="329"/>
    <x v="2"/>
    <x v="27"/>
    <x v="367"/>
    <n v="48"/>
    <x v="320"/>
    <s v="Friday"/>
    <s v="45-54"/>
    <x v="0"/>
    <s v="Canada"/>
    <n v="2823"/>
    <n v="41"/>
    <n v="904"/>
    <x v="32"/>
    <s v="Fall"/>
    <s v="High"/>
    <s v="Similar Sci-Fi E"/>
    <s v="Print Media"/>
    <n v="5995"/>
  </r>
  <r>
    <n v="371"/>
    <x v="1"/>
    <x v="7"/>
    <x v="26"/>
    <x v="330"/>
    <x v="0"/>
    <x v="225"/>
    <x v="368"/>
    <n v="103"/>
    <x v="321"/>
    <s v="Saturday"/>
    <s v="18-24"/>
    <x v="0"/>
    <s v="Italy"/>
    <n v="694"/>
    <n v="1244"/>
    <n v="1257"/>
    <x v="8"/>
    <s v="Winter"/>
    <s v="Medium"/>
    <s v="Similar Series B"/>
    <s v="30% off"/>
    <n v="18194"/>
  </r>
  <r>
    <n v="372"/>
    <x v="1"/>
    <x v="1"/>
    <x v="76"/>
    <x v="86"/>
    <x v="5"/>
    <x v="226"/>
    <x v="369"/>
    <n v="103"/>
    <x v="322"/>
    <s v="Sunday"/>
    <s v="35-44"/>
    <x v="1"/>
    <s v="Italy"/>
    <n v="1042"/>
    <n v="1721"/>
    <n v="499"/>
    <x v="37"/>
    <s v="Fall"/>
    <s v="Low"/>
    <s v="Similar Action D"/>
    <s v="30% off"/>
    <n v="571"/>
  </r>
  <r>
    <n v="373"/>
    <x v="1"/>
    <x v="8"/>
    <x v="25"/>
    <x v="331"/>
    <x v="2"/>
    <x v="227"/>
    <x v="370"/>
    <n v="26"/>
    <x v="323"/>
    <s v="Friday"/>
    <s v="18-24"/>
    <x v="1"/>
    <s v="France"/>
    <n v="1950"/>
    <n v="413"/>
    <n v="1200"/>
    <x v="33"/>
    <s v="Summer"/>
    <s v="High"/>
    <s v="Similar Sci-Fi E"/>
    <s v="Online Ads"/>
    <n v="5549"/>
  </r>
  <r>
    <n v="374"/>
    <x v="0"/>
    <x v="2"/>
    <x v="23"/>
    <x v="332"/>
    <x v="5"/>
    <x v="228"/>
    <x v="371"/>
    <n v="40"/>
    <x v="98"/>
    <s v="Saturday"/>
    <s v="35-44"/>
    <x v="1"/>
    <s v="Italy"/>
    <n v="1320"/>
    <n v="104"/>
    <n v="1275"/>
    <x v="12"/>
    <s v="Spring"/>
    <s v="High"/>
    <s v="Similar Sci-Fi E"/>
    <s v="30% off"/>
    <n v="10637"/>
  </r>
  <r>
    <n v="375"/>
    <x v="1"/>
    <x v="3"/>
    <x v="70"/>
    <x v="244"/>
    <x v="3"/>
    <x v="167"/>
    <x v="372"/>
    <n v="85"/>
    <x v="117"/>
    <s v="Saturday"/>
    <s v="35-44"/>
    <x v="1"/>
    <s v="Canada"/>
    <n v="1123"/>
    <n v="1632"/>
    <n v="1498"/>
    <x v="1"/>
    <s v="Spring"/>
    <s v="Medium"/>
    <s v="Similar History G"/>
    <s v="Email Campaign"/>
    <n v="11381"/>
  </r>
  <r>
    <n v="376"/>
    <x v="2"/>
    <x v="5"/>
    <x v="2"/>
    <x v="208"/>
    <x v="3"/>
    <x v="48"/>
    <x v="373"/>
    <n v="40"/>
    <x v="0"/>
    <s v="Sunday"/>
    <s v="18-24"/>
    <x v="0"/>
    <s v="France"/>
    <n v="336"/>
    <n v="1958"/>
    <n v="432"/>
    <x v="5"/>
    <s v="Fall"/>
    <s v="Medium"/>
    <s v="Similar Series B"/>
    <s v="TV Ads"/>
    <n v="1549"/>
  </r>
  <r>
    <n v="377"/>
    <x v="2"/>
    <x v="6"/>
    <x v="33"/>
    <x v="116"/>
    <x v="6"/>
    <x v="229"/>
    <x v="374"/>
    <n v="45"/>
    <x v="324"/>
    <s v="Tuesday"/>
    <s v="25-34"/>
    <x v="0"/>
    <s v="France"/>
    <n v="1348"/>
    <n v="513"/>
    <n v="920"/>
    <x v="2"/>
    <s v="Spring"/>
    <s v="High"/>
    <s v="Similar Movie A"/>
    <s v="Online Ads"/>
    <n v="2550"/>
  </r>
  <r>
    <n v="378"/>
    <x v="0"/>
    <x v="5"/>
    <x v="10"/>
    <x v="57"/>
    <x v="1"/>
    <x v="230"/>
    <x v="375"/>
    <n v="78"/>
    <x v="104"/>
    <s v="Friday"/>
    <s v="45-54"/>
    <x v="1"/>
    <s v="India"/>
    <n v="2432"/>
    <n v="1993"/>
    <n v="39"/>
    <x v="10"/>
    <s v="Summer"/>
    <s v="High"/>
    <s v="Similar Thriller H"/>
    <s v="Email Campaign"/>
    <n v="10104"/>
  </r>
  <r>
    <n v="379"/>
    <x v="0"/>
    <x v="5"/>
    <x v="8"/>
    <x v="58"/>
    <x v="6"/>
    <x v="0"/>
    <x v="376"/>
    <n v="78"/>
    <x v="325"/>
    <s v="Saturday"/>
    <s v="45-54"/>
    <x v="0"/>
    <s v="Australia"/>
    <n v="2725"/>
    <n v="428"/>
    <n v="128"/>
    <x v="28"/>
    <s v="Winter"/>
    <s v="High"/>
    <s v="Similar Sci-Fi E"/>
    <s v="TV Ads"/>
    <n v="4239"/>
  </r>
  <r>
    <n v="380"/>
    <x v="1"/>
    <x v="0"/>
    <x v="9"/>
    <x v="333"/>
    <x v="5"/>
    <x v="231"/>
    <x v="377"/>
    <n v="28"/>
    <x v="251"/>
    <s v="Sunday"/>
    <s v="45-54"/>
    <x v="1"/>
    <s v="India"/>
    <n v="2602"/>
    <n v="861"/>
    <n v="165"/>
    <x v="20"/>
    <s v="Spring"/>
    <s v="High"/>
    <s v="Similar Doc C"/>
    <s v="Online Ads"/>
    <n v="18209"/>
  </r>
  <r>
    <n v="381"/>
    <x v="0"/>
    <x v="6"/>
    <x v="10"/>
    <x v="334"/>
    <x v="3"/>
    <x v="232"/>
    <x v="378"/>
    <n v="131"/>
    <x v="247"/>
    <s v="Friday"/>
    <s v="35-44"/>
    <x v="0"/>
    <s v="Canada"/>
    <n v="74"/>
    <n v="971"/>
    <n v="1232"/>
    <x v="5"/>
    <s v="Winter"/>
    <s v="Medium"/>
    <s v="Similar Sci-Fi E"/>
    <s v="30% off"/>
    <n v="1926"/>
  </r>
  <r>
    <n v="382"/>
    <x v="1"/>
    <x v="3"/>
    <x v="76"/>
    <x v="335"/>
    <x v="5"/>
    <x v="233"/>
    <x v="379"/>
    <n v="94"/>
    <x v="326"/>
    <s v="Saturday"/>
    <s v="35-44"/>
    <x v="1"/>
    <s v="Australia"/>
    <n v="343"/>
    <n v="871"/>
    <n v="154"/>
    <x v="34"/>
    <s v="Summer"/>
    <s v="High"/>
    <s v="Similar Thriller H"/>
    <s v="Email Campaign"/>
    <n v="12093"/>
  </r>
  <r>
    <n v="383"/>
    <x v="1"/>
    <x v="2"/>
    <x v="67"/>
    <x v="336"/>
    <x v="6"/>
    <x v="234"/>
    <x v="380"/>
    <n v="84"/>
    <x v="327"/>
    <s v="Sunday"/>
    <s v="45-54"/>
    <x v="0"/>
    <s v="USA"/>
    <n v="733"/>
    <n v="1349"/>
    <n v="463"/>
    <x v="31"/>
    <s v="Winter"/>
    <s v="Low"/>
    <s v="Similar Movie A"/>
    <s v="Online Ads"/>
    <n v="14202"/>
  </r>
  <r>
    <n v="384"/>
    <x v="1"/>
    <x v="1"/>
    <x v="6"/>
    <x v="323"/>
    <x v="2"/>
    <x v="235"/>
    <x v="381"/>
    <n v="41"/>
    <x v="215"/>
    <s v="Friday"/>
    <s v="35-44"/>
    <x v="1"/>
    <s v="USA"/>
    <n v="899"/>
    <n v="1105"/>
    <n v="567"/>
    <x v="18"/>
    <s v="Summer"/>
    <s v="High"/>
    <s v="Similar Action D"/>
    <s v="30% off"/>
    <n v="5639"/>
  </r>
  <r>
    <n v="385"/>
    <x v="0"/>
    <x v="0"/>
    <x v="54"/>
    <x v="337"/>
    <x v="5"/>
    <x v="162"/>
    <x v="382"/>
    <n v="52"/>
    <x v="328"/>
    <s v="Saturday"/>
    <s v="35-44"/>
    <x v="0"/>
    <s v="Canada"/>
    <n v="1662"/>
    <n v="1989"/>
    <n v="257"/>
    <x v="36"/>
    <s v="Fall"/>
    <s v="Medium"/>
    <s v="Similar Doc C"/>
    <s v="Email Campaign"/>
    <n v="3347"/>
  </r>
  <r>
    <n v="386"/>
    <x v="2"/>
    <x v="2"/>
    <x v="49"/>
    <x v="338"/>
    <x v="6"/>
    <x v="43"/>
    <x v="383"/>
    <n v="39"/>
    <x v="329"/>
    <s v="Saturday"/>
    <s v="25-34"/>
    <x v="1"/>
    <s v="France"/>
    <n v="1675"/>
    <n v="1589"/>
    <n v="900"/>
    <x v="2"/>
    <s v="Spring"/>
    <s v="Low"/>
    <s v="Similar Series B"/>
    <s v="30% off"/>
    <n v="8002"/>
  </r>
  <r>
    <n v="387"/>
    <x v="1"/>
    <x v="6"/>
    <x v="3"/>
    <x v="339"/>
    <x v="3"/>
    <x v="236"/>
    <x v="384"/>
    <n v="85"/>
    <x v="330"/>
    <s v="Sunday"/>
    <s v="45-54"/>
    <x v="0"/>
    <s v="India"/>
    <n v="649"/>
    <n v="271"/>
    <n v="1212"/>
    <x v="21"/>
    <s v="Summer"/>
    <s v="Medium"/>
    <s v="Similar Thriller H"/>
    <s v="TV Ads"/>
    <n v="708"/>
  </r>
  <r>
    <n v="388"/>
    <x v="1"/>
    <x v="6"/>
    <x v="67"/>
    <x v="340"/>
    <x v="6"/>
    <x v="237"/>
    <x v="385"/>
    <n v="47"/>
    <x v="331"/>
    <s v="Tuesday"/>
    <s v="25-34"/>
    <x v="1"/>
    <s v="USA"/>
    <n v="2966"/>
    <n v="1320"/>
    <n v="257"/>
    <x v="3"/>
    <s v="Spring"/>
    <s v="High"/>
    <s v="Similar Romance F"/>
    <s v="Print Media"/>
    <n v="18859"/>
  </r>
  <r>
    <n v="389"/>
    <x v="2"/>
    <x v="5"/>
    <x v="57"/>
    <x v="131"/>
    <x v="6"/>
    <x v="187"/>
    <x v="386"/>
    <n v="32"/>
    <x v="157"/>
    <s v="Friday"/>
    <s v="45-54"/>
    <x v="1"/>
    <s v="Germany"/>
    <n v="2476"/>
    <n v="1968"/>
    <n v="1073"/>
    <x v="2"/>
    <s v="Winter"/>
    <s v="Medium"/>
    <s v="Similar Thriller H"/>
    <s v="Social Media"/>
    <n v="13427"/>
  </r>
  <r>
    <n v="390"/>
    <x v="0"/>
    <x v="4"/>
    <x v="72"/>
    <x v="341"/>
    <x v="3"/>
    <x v="94"/>
    <x v="387"/>
    <n v="50"/>
    <x v="332"/>
    <s v="Saturday"/>
    <s v="25-34"/>
    <x v="0"/>
    <s v="Italy"/>
    <n v="1965"/>
    <n v="466"/>
    <n v="1061"/>
    <x v="3"/>
    <s v="Fall"/>
    <s v="Medium"/>
    <s v="Similar Series B"/>
    <s v="Online Ads"/>
    <n v="13220"/>
  </r>
  <r>
    <n v="391"/>
    <x v="2"/>
    <x v="2"/>
    <x v="38"/>
    <x v="342"/>
    <x v="0"/>
    <x v="175"/>
    <x v="388"/>
    <n v="78"/>
    <x v="58"/>
    <s v="Sunday"/>
    <s v="25-34"/>
    <x v="1"/>
    <s v="Australia"/>
    <n v="2960"/>
    <n v="1072"/>
    <n v="968"/>
    <x v="30"/>
    <s v="Spring"/>
    <s v="High"/>
    <s v="Similar Movie A"/>
    <s v="Social Media"/>
    <n v="12621"/>
  </r>
  <r>
    <n v="392"/>
    <x v="1"/>
    <x v="0"/>
    <x v="27"/>
    <x v="343"/>
    <x v="4"/>
    <x v="238"/>
    <x v="389"/>
    <n v="33"/>
    <x v="333"/>
    <s v="Friday"/>
    <s v="45-54"/>
    <x v="1"/>
    <s v="India"/>
    <n v="1118"/>
    <n v="1839"/>
    <n v="407"/>
    <x v="33"/>
    <s v="Spring"/>
    <s v="High"/>
    <s v="Similar Movie A"/>
    <s v="Social Media"/>
    <n v="13123"/>
  </r>
  <r>
    <n v="393"/>
    <x v="1"/>
    <x v="0"/>
    <x v="3"/>
    <x v="344"/>
    <x v="3"/>
    <x v="239"/>
    <x v="390"/>
    <n v="79"/>
    <x v="334"/>
    <s v="Saturday"/>
    <s v="35-44"/>
    <x v="1"/>
    <s v="Australia"/>
    <n v="68"/>
    <n v="679"/>
    <n v="1087"/>
    <x v="35"/>
    <s v="Fall"/>
    <s v="Low"/>
    <s v="Similar Action D"/>
    <s v="TV Ads"/>
    <n v="3224"/>
  </r>
  <r>
    <n v="394"/>
    <x v="0"/>
    <x v="0"/>
    <x v="52"/>
    <x v="242"/>
    <x v="1"/>
    <x v="94"/>
    <x v="391"/>
    <n v="32"/>
    <x v="335"/>
    <s v="Saturday"/>
    <s v="35-44"/>
    <x v="0"/>
    <s v="Italy"/>
    <n v="2669"/>
    <n v="1478"/>
    <n v="1414"/>
    <x v="40"/>
    <s v="Spring"/>
    <s v="Medium"/>
    <s v="Similar Action D"/>
    <s v="Social Media"/>
    <n v="18364"/>
  </r>
  <r>
    <n v="395"/>
    <x v="1"/>
    <x v="7"/>
    <x v="56"/>
    <x v="171"/>
    <x v="1"/>
    <x v="240"/>
    <x v="392"/>
    <n v="88"/>
    <x v="336"/>
    <s v="Sunday"/>
    <s v="18-24"/>
    <x v="1"/>
    <s v="USA"/>
    <n v="837"/>
    <n v="1233"/>
    <n v="280"/>
    <x v="2"/>
    <s v="Summer"/>
    <s v="Medium"/>
    <s v="Similar Doc C"/>
    <s v="Print Media"/>
    <n v="2333"/>
  </r>
  <r>
    <n v="396"/>
    <x v="2"/>
    <x v="3"/>
    <x v="55"/>
    <x v="345"/>
    <x v="2"/>
    <x v="92"/>
    <x v="393"/>
    <n v="43"/>
    <x v="337"/>
    <s v="Tuesday"/>
    <s v="18-24"/>
    <x v="1"/>
    <s v="Germany"/>
    <n v="1771"/>
    <n v="449"/>
    <n v="1023"/>
    <x v="26"/>
    <s v="Summer"/>
    <s v="High"/>
    <s v="Similar History G"/>
    <s v="Online Ads"/>
    <n v="16628"/>
  </r>
  <r>
    <n v="397"/>
    <x v="0"/>
    <x v="8"/>
    <x v="67"/>
    <x v="4"/>
    <x v="5"/>
    <x v="100"/>
    <x v="394"/>
    <n v="51"/>
    <x v="338"/>
    <s v="Friday"/>
    <s v="18-24"/>
    <x v="1"/>
    <s v="India"/>
    <n v="2435"/>
    <n v="1277"/>
    <n v="840"/>
    <x v="23"/>
    <s v="Winter"/>
    <s v="Low"/>
    <s v="Similar Thriller H"/>
    <s v="Online Ads"/>
    <n v="18218"/>
  </r>
  <r>
    <n v="398"/>
    <x v="1"/>
    <x v="8"/>
    <x v="39"/>
    <x v="346"/>
    <x v="5"/>
    <x v="241"/>
    <x v="395"/>
    <n v="66"/>
    <x v="339"/>
    <s v="Saturday"/>
    <s v="18-24"/>
    <x v="0"/>
    <s v="Germany"/>
    <n v="830"/>
    <n v="979"/>
    <n v="407"/>
    <x v="3"/>
    <s v="Winter"/>
    <s v="Medium"/>
    <s v="Similar Romance F"/>
    <s v="Email Campaign"/>
    <n v="3153"/>
  </r>
  <r>
    <n v="399"/>
    <x v="1"/>
    <x v="4"/>
    <x v="30"/>
    <x v="137"/>
    <x v="5"/>
    <x v="122"/>
    <x v="396"/>
    <n v="86"/>
    <x v="340"/>
    <s v="Sunday"/>
    <s v="25-34"/>
    <x v="0"/>
    <s v="USA"/>
    <n v="2458"/>
    <n v="906"/>
    <n v="732"/>
    <x v="13"/>
    <s v="Winter"/>
    <s v="Medium"/>
    <s v="Similar Movie A"/>
    <s v="TV Ads"/>
    <n v="17867"/>
  </r>
  <r>
    <n v="400"/>
    <x v="2"/>
    <x v="8"/>
    <x v="37"/>
    <x v="347"/>
    <x v="6"/>
    <x v="242"/>
    <x v="397"/>
    <n v="53"/>
    <x v="272"/>
    <s v="Friday"/>
    <s v="35-44"/>
    <x v="1"/>
    <s v="Canada"/>
    <n v="1469"/>
    <n v="1707"/>
    <n v="184"/>
    <x v="35"/>
    <s v="Winter"/>
    <s v="Medium"/>
    <s v="Similar Romance F"/>
    <s v="Email Campaign"/>
    <n v="19003"/>
  </r>
  <r>
    <n v="401"/>
    <x v="2"/>
    <x v="2"/>
    <x v="73"/>
    <x v="202"/>
    <x v="3"/>
    <x v="163"/>
    <x v="398"/>
    <n v="44"/>
    <x v="341"/>
    <s v="Saturday"/>
    <s v="18-24"/>
    <x v="0"/>
    <s v="Germany"/>
    <n v="2580"/>
    <n v="711"/>
    <n v="1355"/>
    <x v="3"/>
    <s v="Winter"/>
    <s v="Low"/>
    <s v="Similar Sci-Fi E"/>
    <s v="30% off"/>
    <n v="2015"/>
  </r>
  <r>
    <n v="402"/>
    <x v="1"/>
    <x v="3"/>
    <x v="33"/>
    <x v="348"/>
    <x v="1"/>
    <x v="243"/>
    <x v="399"/>
    <n v="114"/>
    <x v="342"/>
    <s v="Sunday"/>
    <s v="35-44"/>
    <x v="0"/>
    <s v="France"/>
    <n v="2394"/>
    <n v="462"/>
    <n v="5"/>
    <x v="3"/>
    <s v="Fall"/>
    <s v="Low"/>
    <s v="Similar Thriller H"/>
    <s v="30% off"/>
    <n v="10557"/>
  </r>
  <r>
    <n v="403"/>
    <x v="0"/>
    <x v="1"/>
    <x v="44"/>
    <x v="349"/>
    <x v="2"/>
    <x v="9"/>
    <x v="400"/>
    <n v="38"/>
    <x v="343"/>
    <s v="Friday"/>
    <s v="25-34"/>
    <x v="1"/>
    <s v="France"/>
    <n v="961"/>
    <n v="535"/>
    <n v="492"/>
    <x v="32"/>
    <s v="Fall"/>
    <s v="Medium"/>
    <s v="Similar Thriller H"/>
    <s v="Online Ads"/>
    <n v="12518"/>
  </r>
  <r>
    <n v="404"/>
    <x v="0"/>
    <x v="1"/>
    <x v="44"/>
    <x v="350"/>
    <x v="4"/>
    <x v="244"/>
    <x v="401"/>
    <n v="83"/>
    <x v="344"/>
    <s v="Saturday"/>
    <s v="35-44"/>
    <x v="0"/>
    <s v="Canada"/>
    <n v="2580"/>
    <n v="595"/>
    <n v="58"/>
    <x v="40"/>
    <s v="Fall"/>
    <s v="High"/>
    <s v="Similar Series B"/>
    <s v="Social Media"/>
    <n v="1772"/>
  </r>
  <r>
    <n v="405"/>
    <x v="1"/>
    <x v="3"/>
    <x v="34"/>
    <x v="351"/>
    <x v="3"/>
    <x v="245"/>
    <x v="402"/>
    <n v="66"/>
    <x v="345"/>
    <s v="Saturday"/>
    <s v="35-44"/>
    <x v="1"/>
    <s v="Canada"/>
    <n v="1248"/>
    <n v="1933"/>
    <n v="1467"/>
    <x v="24"/>
    <s v="Fall"/>
    <s v="Medium"/>
    <s v="Similar Thriller H"/>
    <s v="30% off"/>
    <n v="14176"/>
  </r>
  <r>
    <n v="406"/>
    <x v="1"/>
    <x v="0"/>
    <x v="32"/>
    <x v="352"/>
    <x v="6"/>
    <x v="246"/>
    <x v="403"/>
    <n v="53"/>
    <x v="346"/>
    <s v="Sunday"/>
    <s v="18-24"/>
    <x v="0"/>
    <s v="India"/>
    <n v="2928"/>
    <n v="270"/>
    <n v="922"/>
    <x v="26"/>
    <s v="Spring"/>
    <s v="Medium"/>
    <s v="Similar Doc C"/>
    <s v="TV Ads"/>
    <n v="2025"/>
  </r>
  <r>
    <n v="407"/>
    <x v="0"/>
    <x v="1"/>
    <x v="6"/>
    <x v="353"/>
    <x v="1"/>
    <x v="142"/>
    <x v="404"/>
    <n v="85"/>
    <x v="347"/>
    <s v="Tuesday"/>
    <s v="35-44"/>
    <x v="0"/>
    <s v="Australia"/>
    <n v="2198"/>
    <n v="57"/>
    <n v="309"/>
    <x v="12"/>
    <s v="Winter"/>
    <s v="Low"/>
    <s v="Similar Sci-Fi E"/>
    <s v="Print Media"/>
    <n v="17511"/>
  </r>
  <r>
    <n v="408"/>
    <x v="1"/>
    <x v="6"/>
    <x v="59"/>
    <x v="354"/>
    <x v="6"/>
    <x v="247"/>
    <x v="405"/>
    <n v="99"/>
    <x v="348"/>
    <s v="Friday"/>
    <s v="35-44"/>
    <x v="1"/>
    <s v="France"/>
    <n v="843"/>
    <n v="1980"/>
    <n v="970"/>
    <x v="3"/>
    <s v="Summer"/>
    <s v="Low"/>
    <s v="Similar Sci-Fi E"/>
    <s v="Online Ads"/>
    <n v="5381"/>
  </r>
  <r>
    <n v="409"/>
    <x v="1"/>
    <x v="7"/>
    <x v="66"/>
    <x v="355"/>
    <x v="2"/>
    <x v="248"/>
    <x v="406"/>
    <n v="47"/>
    <x v="349"/>
    <s v="Saturday"/>
    <s v="25-34"/>
    <x v="1"/>
    <s v="USA"/>
    <n v="1107"/>
    <n v="761"/>
    <n v="1265"/>
    <x v="24"/>
    <s v="Summer"/>
    <s v="Low"/>
    <s v="Similar History G"/>
    <s v="Online Ads"/>
    <n v="19655"/>
  </r>
  <r>
    <n v="410"/>
    <x v="0"/>
    <x v="7"/>
    <x v="19"/>
    <x v="13"/>
    <x v="2"/>
    <x v="131"/>
    <x v="407"/>
    <n v="49"/>
    <x v="350"/>
    <s v="Sunday"/>
    <s v="18-24"/>
    <x v="1"/>
    <s v="Canada"/>
    <n v="1425"/>
    <n v="713"/>
    <n v="1315"/>
    <x v="2"/>
    <s v="Winter"/>
    <s v="Medium"/>
    <s v="Similar Series B"/>
    <s v="Print Media"/>
    <n v="18057"/>
  </r>
  <r>
    <n v="411"/>
    <x v="1"/>
    <x v="8"/>
    <x v="58"/>
    <x v="356"/>
    <x v="6"/>
    <x v="249"/>
    <x v="408"/>
    <n v="133"/>
    <x v="282"/>
    <s v="Friday"/>
    <s v="35-44"/>
    <x v="1"/>
    <s v="India"/>
    <n v="1859"/>
    <n v="57"/>
    <n v="1456"/>
    <x v="7"/>
    <s v="Fall"/>
    <s v="Medium"/>
    <s v="Similar Romance F"/>
    <s v="Social Media"/>
    <n v="15162"/>
  </r>
  <r>
    <n v="412"/>
    <x v="0"/>
    <x v="4"/>
    <x v="23"/>
    <x v="357"/>
    <x v="2"/>
    <x v="98"/>
    <x v="409"/>
    <n v="69"/>
    <x v="351"/>
    <s v="Saturday"/>
    <s v="35-44"/>
    <x v="0"/>
    <s v="UK"/>
    <n v="2996"/>
    <n v="626"/>
    <n v="127"/>
    <x v="12"/>
    <s v="Summer"/>
    <s v="High"/>
    <s v="Similar Sci-Fi E"/>
    <s v="Social Media"/>
    <n v="9694"/>
  </r>
  <r>
    <n v="413"/>
    <x v="1"/>
    <x v="4"/>
    <x v="52"/>
    <x v="358"/>
    <x v="2"/>
    <x v="84"/>
    <x v="410"/>
    <n v="130"/>
    <x v="127"/>
    <s v="Saturday"/>
    <s v="35-44"/>
    <x v="1"/>
    <s v="Australia"/>
    <n v="2475"/>
    <n v="127"/>
    <n v="832"/>
    <x v="15"/>
    <s v="Winter"/>
    <s v="Medium"/>
    <s v="Similar Sci-Fi E"/>
    <s v="Social Media"/>
    <n v="5561"/>
  </r>
  <r>
    <n v="414"/>
    <x v="1"/>
    <x v="1"/>
    <x v="55"/>
    <x v="359"/>
    <x v="2"/>
    <x v="108"/>
    <x v="411"/>
    <n v="104"/>
    <x v="235"/>
    <s v="Sunday"/>
    <s v="45-54"/>
    <x v="0"/>
    <s v="Australia"/>
    <n v="1148"/>
    <n v="581"/>
    <n v="1472"/>
    <x v="6"/>
    <s v="Spring"/>
    <s v="High"/>
    <s v="Similar Action D"/>
    <s v="Email Campaign"/>
    <n v="791"/>
  </r>
  <r>
    <n v="415"/>
    <x v="2"/>
    <x v="2"/>
    <x v="6"/>
    <x v="360"/>
    <x v="0"/>
    <x v="216"/>
    <x v="412"/>
    <n v="38"/>
    <x v="352"/>
    <s v="Tuesday"/>
    <s v="25-34"/>
    <x v="1"/>
    <s v="France"/>
    <n v="816"/>
    <n v="1770"/>
    <n v="499"/>
    <x v="8"/>
    <s v="Winter"/>
    <s v="High"/>
    <s v="Similar Movie A"/>
    <s v="Print Media"/>
    <n v="19740"/>
  </r>
  <r>
    <n v="416"/>
    <x v="2"/>
    <x v="0"/>
    <x v="22"/>
    <x v="159"/>
    <x v="5"/>
    <x v="250"/>
    <x v="413"/>
    <n v="52"/>
    <x v="353"/>
    <s v="Friday"/>
    <s v="25-34"/>
    <x v="1"/>
    <s v="Canada"/>
    <n v="1223"/>
    <n v="1639"/>
    <n v="731"/>
    <x v="34"/>
    <s v="Winter"/>
    <s v="Low"/>
    <s v="Similar Action D"/>
    <s v="TV Ads"/>
    <n v="16599"/>
  </r>
  <r>
    <n v="417"/>
    <x v="0"/>
    <x v="8"/>
    <x v="70"/>
    <x v="138"/>
    <x v="1"/>
    <x v="126"/>
    <x v="414"/>
    <n v="47"/>
    <x v="354"/>
    <s v="Saturday"/>
    <s v="45-54"/>
    <x v="0"/>
    <s v="USA"/>
    <n v="1036"/>
    <n v="336"/>
    <n v="481"/>
    <x v="20"/>
    <s v="Fall"/>
    <s v="Medium"/>
    <s v="Similar Thriller H"/>
    <s v="Online Ads"/>
    <n v="10414"/>
  </r>
  <r>
    <n v="418"/>
    <x v="2"/>
    <x v="2"/>
    <x v="35"/>
    <x v="171"/>
    <x v="4"/>
    <x v="251"/>
    <x v="415"/>
    <n v="30"/>
    <x v="355"/>
    <s v="Sunday"/>
    <s v="18-24"/>
    <x v="0"/>
    <s v="UK"/>
    <n v="823"/>
    <n v="634"/>
    <n v="322"/>
    <x v="34"/>
    <s v="Spring"/>
    <s v="Low"/>
    <s v="Similar Movie A"/>
    <s v="Print Media"/>
    <n v="19629"/>
  </r>
  <r>
    <n v="419"/>
    <x v="1"/>
    <x v="6"/>
    <x v="45"/>
    <x v="361"/>
    <x v="0"/>
    <x v="252"/>
    <x v="416"/>
    <n v="126"/>
    <x v="356"/>
    <s v="Friday"/>
    <s v="18-24"/>
    <x v="0"/>
    <s v="Canada"/>
    <n v="319"/>
    <n v="446"/>
    <n v="1038"/>
    <x v="9"/>
    <s v="Spring"/>
    <s v="High"/>
    <s v="Similar Doc C"/>
    <s v="30% off"/>
    <n v="3032"/>
  </r>
  <r>
    <n v="420"/>
    <x v="0"/>
    <x v="1"/>
    <x v="35"/>
    <x v="362"/>
    <x v="3"/>
    <x v="202"/>
    <x v="417"/>
    <n v="44"/>
    <x v="357"/>
    <s v="Saturday"/>
    <s v="35-44"/>
    <x v="1"/>
    <s v="UK"/>
    <n v="2641"/>
    <n v="537"/>
    <n v="110"/>
    <x v="9"/>
    <s v="Spring"/>
    <s v="High"/>
    <s v="Similar Series B"/>
    <s v="Online Ads"/>
    <n v="1322"/>
  </r>
  <r>
    <n v="421"/>
    <x v="2"/>
    <x v="1"/>
    <x v="67"/>
    <x v="363"/>
    <x v="4"/>
    <x v="175"/>
    <x v="418"/>
    <n v="61"/>
    <x v="358"/>
    <s v="Sunday"/>
    <s v="25-34"/>
    <x v="1"/>
    <s v="UK"/>
    <n v="1598"/>
    <n v="164"/>
    <n v="1212"/>
    <x v="17"/>
    <s v="Spring"/>
    <s v="High"/>
    <s v="Similar Doc C"/>
    <s v="Social Media"/>
    <n v="14035"/>
  </r>
  <r>
    <n v="422"/>
    <x v="0"/>
    <x v="6"/>
    <x v="21"/>
    <x v="364"/>
    <x v="1"/>
    <x v="32"/>
    <x v="419"/>
    <n v="42"/>
    <x v="359"/>
    <s v="Friday"/>
    <s v="25-34"/>
    <x v="0"/>
    <s v="UK"/>
    <n v="968"/>
    <n v="1978"/>
    <n v="1109"/>
    <x v="35"/>
    <s v="Summer"/>
    <s v="High"/>
    <s v="Similar Movie A"/>
    <s v="Online Ads"/>
    <n v="7257"/>
  </r>
  <r>
    <n v="423"/>
    <x v="0"/>
    <x v="1"/>
    <x v="18"/>
    <x v="241"/>
    <x v="5"/>
    <x v="58"/>
    <x v="420"/>
    <n v="27"/>
    <x v="360"/>
    <s v="Saturday"/>
    <s v="18-24"/>
    <x v="1"/>
    <s v="UK"/>
    <n v="2704"/>
    <n v="1368"/>
    <n v="1379"/>
    <x v="3"/>
    <s v="Winter"/>
    <s v="Low"/>
    <s v="Similar Movie A"/>
    <s v="Print Media"/>
    <n v="4831"/>
  </r>
  <r>
    <n v="424"/>
    <x v="0"/>
    <x v="0"/>
    <x v="33"/>
    <x v="365"/>
    <x v="6"/>
    <x v="59"/>
    <x v="421"/>
    <n v="77"/>
    <x v="246"/>
    <s v="Saturday"/>
    <s v="18-24"/>
    <x v="0"/>
    <s v="Italy"/>
    <n v="2348"/>
    <n v="857"/>
    <n v="1430"/>
    <x v="21"/>
    <s v="Summer"/>
    <s v="High"/>
    <s v="Similar Thriller H"/>
    <s v="TV Ads"/>
    <n v="11884"/>
  </r>
  <r>
    <n v="425"/>
    <x v="2"/>
    <x v="4"/>
    <x v="65"/>
    <x v="45"/>
    <x v="2"/>
    <x v="253"/>
    <x v="422"/>
    <n v="30"/>
    <x v="20"/>
    <s v="Sunday"/>
    <s v="45-54"/>
    <x v="0"/>
    <s v="Canada"/>
    <n v="1983"/>
    <n v="1125"/>
    <n v="294"/>
    <x v="25"/>
    <s v="Spring"/>
    <s v="Medium"/>
    <s v="Similar Action D"/>
    <s v="Print Media"/>
    <n v="9147"/>
  </r>
  <r>
    <n v="426"/>
    <x v="1"/>
    <x v="0"/>
    <x v="74"/>
    <x v="366"/>
    <x v="0"/>
    <x v="101"/>
    <x v="423"/>
    <n v="105"/>
    <x v="361"/>
    <s v="Tuesday"/>
    <s v="18-24"/>
    <x v="0"/>
    <s v="Australia"/>
    <n v="1221"/>
    <n v="446"/>
    <n v="1428"/>
    <x v="1"/>
    <s v="Summer"/>
    <s v="Medium"/>
    <s v="Similar Series B"/>
    <s v="Social Media"/>
    <n v="9575"/>
  </r>
  <r>
    <n v="427"/>
    <x v="0"/>
    <x v="2"/>
    <x v="44"/>
    <x v="367"/>
    <x v="2"/>
    <x v="52"/>
    <x v="424"/>
    <n v="100"/>
    <x v="362"/>
    <s v="Friday"/>
    <s v="35-44"/>
    <x v="0"/>
    <s v="Italy"/>
    <n v="683"/>
    <n v="1359"/>
    <n v="606"/>
    <x v="36"/>
    <s v="Spring"/>
    <s v="Low"/>
    <s v="Similar Thriller H"/>
    <s v="Print Media"/>
    <n v="12119"/>
  </r>
  <r>
    <n v="428"/>
    <x v="2"/>
    <x v="8"/>
    <x v="68"/>
    <x v="312"/>
    <x v="6"/>
    <x v="163"/>
    <x v="425"/>
    <n v="53"/>
    <x v="233"/>
    <s v="Saturday"/>
    <s v="18-24"/>
    <x v="0"/>
    <s v="France"/>
    <n v="882"/>
    <n v="1144"/>
    <n v="1246"/>
    <x v="20"/>
    <s v="Winter"/>
    <s v="Low"/>
    <s v="Similar Movie A"/>
    <s v="Email Campaign"/>
    <n v="10152"/>
  </r>
  <r>
    <n v="429"/>
    <x v="0"/>
    <x v="6"/>
    <x v="76"/>
    <x v="368"/>
    <x v="1"/>
    <x v="99"/>
    <x v="426"/>
    <n v="111"/>
    <x v="363"/>
    <s v="Sunday"/>
    <s v="45-54"/>
    <x v="1"/>
    <s v="Germany"/>
    <n v="559"/>
    <n v="1393"/>
    <n v="537"/>
    <x v="15"/>
    <s v="Spring"/>
    <s v="Low"/>
    <s v="Similar Sci-Fi E"/>
    <s v="Social Media"/>
    <n v="14680"/>
  </r>
  <r>
    <n v="430"/>
    <x v="2"/>
    <x v="4"/>
    <x v="26"/>
    <x v="369"/>
    <x v="6"/>
    <x v="216"/>
    <x v="427"/>
    <n v="47"/>
    <x v="364"/>
    <s v="Friday"/>
    <s v="25-34"/>
    <x v="1"/>
    <s v="UK"/>
    <n v="839"/>
    <n v="484"/>
    <n v="1261"/>
    <x v="13"/>
    <s v="Winter"/>
    <s v="Medium"/>
    <s v="Similar Movie A"/>
    <s v="Email Campaign"/>
    <n v="13663"/>
  </r>
  <r>
    <n v="431"/>
    <x v="2"/>
    <x v="8"/>
    <x v="53"/>
    <x v="370"/>
    <x v="5"/>
    <x v="103"/>
    <x v="428"/>
    <n v="53"/>
    <x v="365"/>
    <s v="Saturday"/>
    <s v="18-24"/>
    <x v="1"/>
    <s v="France"/>
    <n v="1188"/>
    <n v="566"/>
    <n v="1343"/>
    <x v="9"/>
    <s v="Summer"/>
    <s v="High"/>
    <s v="Similar Sci-Fi E"/>
    <s v="30% off"/>
    <n v="11365"/>
  </r>
  <r>
    <n v="432"/>
    <x v="1"/>
    <x v="6"/>
    <x v="39"/>
    <x v="281"/>
    <x v="2"/>
    <x v="254"/>
    <x v="429"/>
    <n v="57"/>
    <x v="366"/>
    <s v="Saturday"/>
    <s v="18-24"/>
    <x v="0"/>
    <s v="Germany"/>
    <n v="1996"/>
    <n v="149"/>
    <n v="1354"/>
    <x v="2"/>
    <s v="Summer"/>
    <s v="Low"/>
    <s v="Similar Doc C"/>
    <s v="Email Campaign"/>
    <n v="17958"/>
  </r>
  <r>
    <n v="433"/>
    <x v="2"/>
    <x v="5"/>
    <x v="41"/>
    <x v="196"/>
    <x v="1"/>
    <x v="121"/>
    <x v="430"/>
    <n v="80"/>
    <x v="367"/>
    <s v="Sunday"/>
    <s v="18-24"/>
    <x v="1"/>
    <s v="India"/>
    <n v="2872"/>
    <n v="971"/>
    <n v="257"/>
    <x v="3"/>
    <s v="Spring"/>
    <s v="Medium"/>
    <s v="Similar Doc C"/>
    <s v="Social Media"/>
    <n v="4674"/>
  </r>
  <r>
    <n v="434"/>
    <x v="0"/>
    <x v="1"/>
    <x v="64"/>
    <x v="371"/>
    <x v="5"/>
    <x v="255"/>
    <x v="431"/>
    <n v="111"/>
    <x v="368"/>
    <s v="Tuesday"/>
    <s v="45-54"/>
    <x v="0"/>
    <s v="India"/>
    <n v="1179"/>
    <n v="1451"/>
    <n v="1364"/>
    <x v="26"/>
    <s v="Spring"/>
    <s v="Medium"/>
    <s v="Similar Action D"/>
    <s v="TV Ads"/>
    <n v="10832"/>
  </r>
  <r>
    <n v="435"/>
    <x v="1"/>
    <x v="6"/>
    <x v="13"/>
    <x v="372"/>
    <x v="3"/>
    <x v="256"/>
    <x v="432"/>
    <n v="25"/>
    <x v="369"/>
    <s v="Friday"/>
    <s v="18-24"/>
    <x v="1"/>
    <s v="UK"/>
    <n v="91"/>
    <n v="1260"/>
    <n v="42"/>
    <x v="21"/>
    <s v="Summer"/>
    <s v="Low"/>
    <s v="Similar Thriller H"/>
    <s v="Print Media"/>
    <n v="8790"/>
  </r>
  <r>
    <n v="436"/>
    <x v="1"/>
    <x v="2"/>
    <x v="74"/>
    <x v="373"/>
    <x v="6"/>
    <x v="160"/>
    <x v="433"/>
    <n v="39"/>
    <x v="370"/>
    <s v="Saturday"/>
    <s v="18-24"/>
    <x v="1"/>
    <s v="Germany"/>
    <n v="1284"/>
    <n v="1061"/>
    <n v="846"/>
    <x v="33"/>
    <s v="Spring"/>
    <s v="Medium"/>
    <s v="Similar Action D"/>
    <s v="Online Ads"/>
    <n v="16448"/>
  </r>
  <r>
    <n v="437"/>
    <x v="1"/>
    <x v="6"/>
    <x v="9"/>
    <x v="254"/>
    <x v="6"/>
    <x v="257"/>
    <x v="434"/>
    <n v="111"/>
    <x v="371"/>
    <s v="Sunday"/>
    <s v="35-44"/>
    <x v="1"/>
    <s v="UK"/>
    <n v="2229"/>
    <n v="801"/>
    <n v="1165"/>
    <x v="5"/>
    <s v="Summer"/>
    <s v="Low"/>
    <s v="Similar History G"/>
    <s v="30% off"/>
    <n v="6503"/>
  </r>
  <r>
    <n v="438"/>
    <x v="1"/>
    <x v="3"/>
    <x v="19"/>
    <x v="374"/>
    <x v="3"/>
    <x v="258"/>
    <x v="435"/>
    <n v="51"/>
    <x v="372"/>
    <s v="Friday"/>
    <s v="18-24"/>
    <x v="0"/>
    <s v="Italy"/>
    <n v="641"/>
    <n v="172"/>
    <n v="299"/>
    <x v="5"/>
    <s v="Fall"/>
    <s v="Medium"/>
    <s v="Similar Movie A"/>
    <s v="Email Campaign"/>
    <n v="7225"/>
  </r>
  <r>
    <n v="439"/>
    <x v="0"/>
    <x v="6"/>
    <x v="35"/>
    <x v="89"/>
    <x v="6"/>
    <x v="46"/>
    <x v="436"/>
    <n v="31"/>
    <x v="373"/>
    <s v="Saturday"/>
    <s v="18-24"/>
    <x v="0"/>
    <s v="Italy"/>
    <n v="2773"/>
    <n v="168"/>
    <n v="1381"/>
    <x v="31"/>
    <s v="Spring"/>
    <s v="Medium"/>
    <s v="Similar History G"/>
    <s v="30% off"/>
    <n v="6227"/>
  </r>
  <r>
    <n v="440"/>
    <x v="2"/>
    <x v="3"/>
    <x v="43"/>
    <x v="375"/>
    <x v="1"/>
    <x v="92"/>
    <x v="437"/>
    <n v="30"/>
    <x v="374"/>
    <s v="Sunday"/>
    <s v="25-34"/>
    <x v="1"/>
    <s v="India"/>
    <n v="419"/>
    <n v="1137"/>
    <n v="1498"/>
    <x v="5"/>
    <s v="Winter"/>
    <s v="High"/>
    <s v="Similar History G"/>
    <s v="Email Campaign"/>
    <n v="14969"/>
  </r>
  <r>
    <n v="441"/>
    <x v="0"/>
    <x v="6"/>
    <x v="22"/>
    <x v="376"/>
    <x v="3"/>
    <x v="94"/>
    <x v="438"/>
    <n v="43"/>
    <x v="198"/>
    <s v="Friday"/>
    <s v="25-34"/>
    <x v="0"/>
    <s v="India"/>
    <n v="337"/>
    <n v="204"/>
    <n v="1422"/>
    <x v="12"/>
    <s v="Winter"/>
    <s v="Medium"/>
    <s v="Similar Action D"/>
    <s v="30% off"/>
    <n v="8317"/>
  </r>
  <r>
    <n v="442"/>
    <x v="1"/>
    <x v="4"/>
    <x v="36"/>
    <x v="377"/>
    <x v="6"/>
    <x v="259"/>
    <x v="439"/>
    <n v="78"/>
    <x v="234"/>
    <s v="Saturday"/>
    <s v="45-54"/>
    <x v="1"/>
    <s v="UK"/>
    <n v="1584"/>
    <n v="1524"/>
    <n v="1234"/>
    <x v="3"/>
    <s v="Fall"/>
    <s v="Medium"/>
    <s v="Similar Movie A"/>
    <s v="Email Campaign"/>
    <n v="6929"/>
  </r>
  <r>
    <n v="443"/>
    <x v="0"/>
    <x v="0"/>
    <x v="75"/>
    <x v="378"/>
    <x v="4"/>
    <x v="27"/>
    <x v="440"/>
    <n v="46"/>
    <x v="353"/>
    <s v="Saturday"/>
    <s v="18-24"/>
    <x v="0"/>
    <s v="India"/>
    <n v="2165"/>
    <n v="1449"/>
    <n v="1405"/>
    <x v="24"/>
    <s v="Summer"/>
    <s v="High"/>
    <s v="Similar Action D"/>
    <s v="30% off"/>
    <n v="3592"/>
  </r>
  <r>
    <n v="444"/>
    <x v="1"/>
    <x v="5"/>
    <x v="12"/>
    <x v="379"/>
    <x v="4"/>
    <x v="260"/>
    <x v="441"/>
    <n v="110"/>
    <x v="375"/>
    <s v="Sunday"/>
    <s v="35-44"/>
    <x v="0"/>
    <s v="Canada"/>
    <n v="500"/>
    <n v="1728"/>
    <n v="287"/>
    <x v="29"/>
    <s v="Summer"/>
    <s v="High"/>
    <s v="Similar Romance F"/>
    <s v="Email Campaign"/>
    <n v="7395"/>
  </r>
  <r>
    <n v="445"/>
    <x v="1"/>
    <x v="1"/>
    <x v="54"/>
    <x v="204"/>
    <x v="5"/>
    <x v="261"/>
    <x v="442"/>
    <n v="89"/>
    <x v="376"/>
    <s v="Tuesday"/>
    <s v="18-24"/>
    <x v="0"/>
    <s v="France"/>
    <n v="293"/>
    <n v="100"/>
    <n v="1052"/>
    <x v="11"/>
    <s v="Winter"/>
    <s v="Low"/>
    <s v="Similar Sci-Fi E"/>
    <s v="Print Media"/>
    <n v="12635"/>
  </r>
  <r>
    <n v="446"/>
    <x v="0"/>
    <x v="8"/>
    <x v="32"/>
    <x v="380"/>
    <x v="2"/>
    <x v="98"/>
    <x v="443"/>
    <n v="63"/>
    <x v="377"/>
    <s v="Friday"/>
    <s v="45-54"/>
    <x v="1"/>
    <s v="Canada"/>
    <n v="692"/>
    <n v="380"/>
    <n v="1067"/>
    <x v="1"/>
    <s v="Spring"/>
    <s v="High"/>
    <s v="Similar Sci-Fi E"/>
    <s v="Social Media"/>
    <n v="18665"/>
  </r>
  <r>
    <n v="447"/>
    <x v="2"/>
    <x v="4"/>
    <x v="51"/>
    <x v="381"/>
    <x v="4"/>
    <x v="53"/>
    <x v="444"/>
    <n v="32"/>
    <x v="77"/>
    <s v="Saturday"/>
    <s v="25-34"/>
    <x v="1"/>
    <s v="Germany"/>
    <n v="2928"/>
    <n v="30"/>
    <n v="551"/>
    <x v="35"/>
    <s v="Spring"/>
    <s v="High"/>
    <s v="Similar Action D"/>
    <s v="Social Media"/>
    <n v="14595"/>
  </r>
  <r>
    <n v="448"/>
    <x v="1"/>
    <x v="7"/>
    <x v="35"/>
    <x v="382"/>
    <x v="0"/>
    <x v="262"/>
    <x v="445"/>
    <n v="81"/>
    <x v="378"/>
    <s v="Sunday"/>
    <s v="25-34"/>
    <x v="0"/>
    <s v="Australia"/>
    <n v="137"/>
    <n v="1115"/>
    <n v="370"/>
    <x v="6"/>
    <s v="Spring"/>
    <s v="Medium"/>
    <s v="Similar Series B"/>
    <s v="Email Campaign"/>
    <n v="9815"/>
  </r>
  <r>
    <n v="449"/>
    <x v="1"/>
    <x v="8"/>
    <x v="39"/>
    <x v="383"/>
    <x v="1"/>
    <x v="181"/>
    <x v="446"/>
    <n v="76"/>
    <x v="379"/>
    <s v="Friday"/>
    <s v="35-44"/>
    <x v="0"/>
    <s v="Australia"/>
    <n v="808"/>
    <n v="1692"/>
    <n v="1230"/>
    <x v="32"/>
    <s v="Winter"/>
    <s v="High"/>
    <s v="Similar Series B"/>
    <s v="Email Campaign"/>
    <n v="6121"/>
  </r>
  <r>
    <n v="450"/>
    <x v="0"/>
    <x v="5"/>
    <x v="46"/>
    <x v="384"/>
    <x v="4"/>
    <x v="45"/>
    <x v="447"/>
    <n v="45"/>
    <x v="103"/>
    <s v="Saturday"/>
    <s v="45-54"/>
    <x v="0"/>
    <s v="Canada"/>
    <n v="479"/>
    <n v="1591"/>
    <n v="1366"/>
    <x v="33"/>
    <s v="Spring"/>
    <s v="High"/>
    <s v="Similar Sci-Fi E"/>
    <s v="Online Ads"/>
    <n v="18691"/>
  </r>
  <r>
    <n v="451"/>
    <x v="2"/>
    <x v="5"/>
    <x v="10"/>
    <x v="385"/>
    <x v="1"/>
    <x v="71"/>
    <x v="448"/>
    <n v="61"/>
    <x v="380"/>
    <s v="Saturday"/>
    <s v="35-44"/>
    <x v="0"/>
    <s v="Australia"/>
    <n v="2322"/>
    <n v="411"/>
    <n v="421"/>
    <x v="7"/>
    <s v="Summer"/>
    <s v="Medium"/>
    <s v="Similar Series B"/>
    <s v="Email Campaign"/>
    <n v="16723"/>
  </r>
  <r>
    <n v="452"/>
    <x v="1"/>
    <x v="7"/>
    <x v="19"/>
    <x v="386"/>
    <x v="4"/>
    <x v="263"/>
    <x v="449"/>
    <n v="91"/>
    <x v="381"/>
    <s v="Sunday"/>
    <s v="35-44"/>
    <x v="0"/>
    <s v="India"/>
    <n v="69"/>
    <n v="573"/>
    <n v="579"/>
    <x v="3"/>
    <s v="Fall"/>
    <s v="Medium"/>
    <s v="Similar Series B"/>
    <s v="TV Ads"/>
    <n v="19691"/>
  </r>
  <r>
    <n v="453"/>
    <x v="2"/>
    <x v="2"/>
    <x v="66"/>
    <x v="387"/>
    <x v="2"/>
    <x v="158"/>
    <x v="450"/>
    <n v="40"/>
    <x v="382"/>
    <s v="Tuesday"/>
    <s v="25-34"/>
    <x v="1"/>
    <s v="Canada"/>
    <n v="2298"/>
    <n v="1416"/>
    <n v="565"/>
    <x v="31"/>
    <s v="Fall"/>
    <s v="Low"/>
    <s v="Similar Romance F"/>
    <s v="30% off"/>
    <n v="18429"/>
  </r>
  <r>
    <n v="454"/>
    <x v="2"/>
    <x v="2"/>
    <x v="59"/>
    <x v="388"/>
    <x v="4"/>
    <x v="66"/>
    <x v="451"/>
    <n v="38"/>
    <x v="383"/>
    <s v="Friday"/>
    <s v="35-44"/>
    <x v="0"/>
    <s v="France"/>
    <n v="1868"/>
    <n v="1997"/>
    <n v="301"/>
    <x v="40"/>
    <s v="Summer"/>
    <s v="High"/>
    <s v="Similar Series B"/>
    <s v="30% off"/>
    <n v="1253"/>
  </r>
  <r>
    <n v="455"/>
    <x v="1"/>
    <x v="0"/>
    <x v="5"/>
    <x v="389"/>
    <x v="4"/>
    <x v="264"/>
    <x v="452"/>
    <n v="92"/>
    <x v="384"/>
    <s v="Saturday"/>
    <s v="25-34"/>
    <x v="1"/>
    <s v="Canada"/>
    <n v="1025"/>
    <n v="228"/>
    <n v="1015"/>
    <x v="3"/>
    <s v="Winter"/>
    <s v="Medium"/>
    <s v="Similar Romance F"/>
    <s v="30% off"/>
    <n v="3094"/>
  </r>
  <r>
    <n v="456"/>
    <x v="2"/>
    <x v="8"/>
    <x v="34"/>
    <x v="390"/>
    <x v="3"/>
    <x v="204"/>
    <x v="453"/>
    <n v="42"/>
    <x v="197"/>
    <s v="Sunday"/>
    <s v="45-54"/>
    <x v="1"/>
    <s v="UK"/>
    <n v="2076"/>
    <n v="1622"/>
    <n v="977"/>
    <x v="31"/>
    <s v="Spring"/>
    <s v="High"/>
    <s v="Similar Action D"/>
    <s v="Online Ads"/>
    <n v="19788"/>
  </r>
  <r>
    <n v="457"/>
    <x v="2"/>
    <x v="8"/>
    <x v="5"/>
    <x v="243"/>
    <x v="2"/>
    <x v="128"/>
    <x v="454"/>
    <n v="45"/>
    <x v="319"/>
    <s v="Friday"/>
    <s v="45-54"/>
    <x v="1"/>
    <s v="France"/>
    <n v="2189"/>
    <n v="135"/>
    <n v="688"/>
    <x v="3"/>
    <s v="Spring"/>
    <s v="Low"/>
    <s v="Similar Sci-Fi E"/>
    <s v="Social Media"/>
    <n v="10829"/>
  </r>
  <r>
    <n v="458"/>
    <x v="1"/>
    <x v="8"/>
    <x v="2"/>
    <x v="391"/>
    <x v="5"/>
    <x v="265"/>
    <x v="455"/>
    <n v="98"/>
    <x v="385"/>
    <s v="Saturday"/>
    <s v="18-24"/>
    <x v="0"/>
    <s v="Australia"/>
    <n v="2470"/>
    <n v="1673"/>
    <n v="92"/>
    <x v="17"/>
    <s v="Winter"/>
    <s v="High"/>
    <s v="Similar Thriller H"/>
    <s v="Email Campaign"/>
    <n v="2125"/>
  </r>
  <r>
    <n v="459"/>
    <x v="0"/>
    <x v="6"/>
    <x v="75"/>
    <x v="392"/>
    <x v="5"/>
    <x v="42"/>
    <x v="456"/>
    <n v="63"/>
    <x v="386"/>
    <s v="Sunday"/>
    <s v="45-54"/>
    <x v="1"/>
    <s v="Australia"/>
    <n v="756"/>
    <n v="119"/>
    <n v="1133"/>
    <x v="16"/>
    <s v="Spring"/>
    <s v="Medium"/>
    <s v="Similar Sci-Fi E"/>
    <s v="Social Media"/>
    <n v="11676"/>
  </r>
  <r>
    <n v="460"/>
    <x v="1"/>
    <x v="3"/>
    <x v="50"/>
    <x v="393"/>
    <x v="3"/>
    <x v="266"/>
    <x v="457"/>
    <n v="123"/>
    <x v="311"/>
    <s v="Friday"/>
    <s v="18-24"/>
    <x v="1"/>
    <s v="France"/>
    <n v="2533"/>
    <n v="1124"/>
    <n v="315"/>
    <x v="1"/>
    <s v="Winter"/>
    <s v="Medium"/>
    <s v="Similar Romance F"/>
    <s v="Email Campaign"/>
    <n v="18130"/>
  </r>
  <r>
    <n v="461"/>
    <x v="0"/>
    <x v="4"/>
    <x v="73"/>
    <x v="65"/>
    <x v="2"/>
    <x v="0"/>
    <x v="458"/>
    <n v="47"/>
    <x v="387"/>
    <s v="Saturday"/>
    <s v="45-54"/>
    <x v="0"/>
    <s v="Germany"/>
    <n v="730"/>
    <n v="1701"/>
    <n v="2"/>
    <x v="25"/>
    <s v="Spring"/>
    <s v="Low"/>
    <s v="Similar Thriller H"/>
    <s v="Social Media"/>
    <n v="6093"/>
  </r>
  <r>
    <n v="462"/>
    <x v="2"/>
    <x v="2"/>
    <x v="14"/>
    <x v="394"/>
    <x v="0"/>
    <x v="13"/>
    <x v="459"/>
    <n v="38"/>
    <x v="388"/>
    <s v="Saturday"/>
    <s v="45-54"/>
    <x v="0"/>
    <s v="France"/>
    <n v="1246"/>
    <n v="821"/>
    <n v="1080"/>
    <x v="28"/>
    <s v="Summer"/>
    <s v="Medium"/>
    <s v="Similar Romance F"/>
    <s v="Social Media"/>
    <n v="5242"/>
  </r>
  <r>
    <n v="463"/>
    <x v="2"/>
    <x v="0"/>
    <x v="15"/>
    <x v="395"/>
    <x v="1"/>
    <x v="83"/>
    <x v="460"/>
    <n v="28"/>
    <x v="389"/>
    <s v="Sunday"/>
    <s v="25-34"/>
    <x v="1"/>
    <s v="UK"/>
    <n v="1711"/>
    <n v="1399"/>
    <n v="1445"/>
    <x v="39"/>
    <s v="Summer"/>
    <s v="Medium"/>
    <s v="Similar Doc C"/>
    <s v="Online Ads"/>
    <n v="4388"/>
  </r>
  <r>
    <n v="464"/>
    <x v="1"/>
    <x v="7"/>
    <x v="71"/>
    <x v="396"/>
    <x v="2"/>
    <x v="267"/>
    <x v="461"/>
    <n v="114"/>
    <x v="390"/>
    <s v="Tuesday"/>
    <s v="35-44"/>
    <x v="1"/>
    <s v="Italy"/>
    <n v="237"/>
    <n v="1021"/>
    <n v="1148"/>
    <x v="20"/>
    <s v="Winter"/>
    <s v="Low"/>
    <s v="Similar History G"/>
    <s v="30% off"/>
    <n v="16135"/>
  </r>
  <r>
    <n v="465"/>
    <x v="2"/>
    <x v="5"/>
    <x v="71"/>
    <x v="397"/>
    <x v="6"/>
    <x v="85"/>
    <x v="462"/>
    <n v="62"/>
    <x v="391"/>
    <s v="Friday"/>
    <s v="35-44"/>
    <x v="0"/>
    <s v="USA"/>
    <n v="2896"/>
    <n v="1051"/>
    <n v="628"/>
    <x v="28"/>
    <s v="Spring"/>
    <s v="Medium"/>
    <s v="Similar Romance F"/>
    <s v="30% off"/>
    <n v="10964"/>
  </r>
  <r>
    <n v="466"/>
    <x v="0"/>
    <x v="3"/>
    <x v="51"/>
    <x v="398"/>
    <x v="2"/>
    <x v="198"/>
    <x v="463"/>
    <n v="67"/>
    <x v="392"/>
    <s v="Saturday"/>
    <s v="35-44"/>
    <x v="1"/>
    <s v="Italy"/>
    <n v="1637"/>
    <n v="842"/>
    <n v="1171"/>
    <x v="7"/>
    <s v="Fall"/>
    <s v="High"/>
    <s v="Similar Thriller H"/>
    <s v="TV Ads"/>
    <n v="8505"/>
  </r>
  <r>
    <n v="467"/>
    <x v="0"/>
    <x v="8"/>
    <x v="62"/>
    <x v="399"/>
    <x v="3"/>
    <x v="198"/>
    <x v="464"/>
    <n v="77"/>
    <x v="393"/>
    <s v="Sunday"/>
    <s v="18-24"/>
    <x v="0"/>
    <s v="Italy"/>
    <n v="1530"/>
    <n v="1641"/>
    <n v="78"/>
    <x v="9"/>
    <s v="Winter"/>
    <s v="Medium"/>
    <s v="Similar Sci-Fi E"/>
    <s v="Email Campaign"/>
    <n v="6465"/>
  </r>
  <r>
    <n v="468"/>
    <x v="2"/>
    <x v="0"/>
    <x v="30"/>
    <x v="400"/>
    <x v="3"/>
    <x v="59"/>
    <x v="465"/>
    <n v="28"/>
    <x v="394"/>
    <s v="Friday"/>
    <s v="25-34"/>
    <x v="1"/>
    <s v="USA"/>
    <n v="1841"/>
    <n v="1776"/>
    <n v="830"/>
    <x v="39"/>
    <s v="Fall"/>
    <s v="High"/>
    <s v="Similar History G"/>
    <s v="30% off"/>
    <n v="18034"/>
  </r>
  <r>
    <n v="469"/>
    <x v="0"/>
    <x v="4"/>
    <x v="19"/>
    <x v="401"/>
    <x v="0"/>
    <x v="2"/>
    <x v="466"/>
    <n v="82"/>
    <x v="395"/>
    <s v="Saturday"/>
    <s v="35-44"/>
    <x v="1"/>
    <s v="France"/>
    <n v="2991"/>
    <n v="644"/>
    <n v="1063"/>
    <x v="30"/>
    <s v="Winter"/>
    <s v="High"/>
    <s v="Similar Doc C"/>
    <s v="30% off"/>
    <n v="19827"/>
  </r>
  <r>
    <n v="470"/>
    <x v="0"/>
    <x v="3"/>
    <x v="26"/>
    <x v="297"/>
    <x v="6"/>
    <x v="36"/>
    <x v="467"/>
    <n v="53"/>
    <x v="396"/>
    <s v="Saturday"/>
    <s v="45-54"/>
    <x v="0"/>
    <s v="USA"/>
    <n v="1722"/>
    <n v="265"/>
    <n v="371"/>
    <x v="5"/>
    <s v="Summer"/>
    <s v="High"/>
    <s v="Similar History G"/>
    <s v="Print Media"/>
    <n v="4358"/>
  </r>
  <r>
    <n v="471"/>
    <x v="1"/>
    <x v="3"/>
    <x v="22"/>
    <x v="402"/>
    <x v="2"/>
    <x v="268"/>
    <x v="468"/>
    <n v="30"/>
    <x v="258"/>
    <s v="Sunday"/>
    <s v="45-54"/>
    <x v="1"/>
    <s v="Australia"/>
    <n v="338"/>
    <n v="1105"/>
    <n v="1485"/>
    <x v="2"/>
    <s v="Winter"/>
    <s v="High"/>
    <s v="Similar Romance F"/>
    <s v="30% off"/>
    <n v="1294"/>
  </r>
  <r>
    <n v="472"/>
    <x v="1"/>
    <x v="0"/>
    <x v="48"/>
    <x v="403"/>
    <x v="3"/>
    <x v="269"/>
    <x v="469"/>
    <n v="52"/>
    <x v="270"/>
    <s v="Tuesday"/>
    <s v="35-44"/>
    <x v="0"/>
    <s v="France"/>
    <n v="52"/>
    <n v="1823"/>
    <n v="19"/>
    <x v="21"/>
    <s v="Summer"/>
    <s v="Low"/>
    <s v="Similar History G"/>
    <s v="Print Media"/>
    <n v="4736"/>
  </r>
  <r>
    <n v="473"/>
    <x v="0"/>
    <x v="5"/>
    <x v="6"/>
    <x v="55"/>
    <x v="1"/>
    <x v="131"/>
    <x v="470"/>
    <n v="65"/>
    <x v="360"/>
    <s v="Friday"/>
    <s v="18-24"/>
    <x v="1"/>
    <s v="USA"/>
    <n v="603"/>
    <n v="1551"/>
    <n v="407"/>
    <x v="17"/>
    <s v="Summer"/>
    <s v="High"/>
    <s v="Similar Doc C"/>
    <s v="Online Ads"/>
    <n v="18006"/>
  </r>
  <r>
    <n v="474"/>
    <x v="2"/>
    <x v="0"/>
    <x v="12"/>
    <x v="404"/>
    <x v="1"/>
    <x v="61"/>
    <x v="471"/>
    <n v="84"/>
    <x v="397"/>
    <s v="Saturday"/>
    <s v="35-44"/>
    <x v="0"/>
    <s v="UK"/>
    <n v="2750"/>
    <n v="735"/>
    <n v="240"/>
    <x v="10"/>
    <s v="Winter"/>
    <s v="Low"/>
    <s v="Similar Romance F"/>
    <s v="Social Media"/>
    <n v="10860"/>
  </r>
  <r>
    <n v="475"/>
    <x v="1"/>
    <x v="2"/>
    <x v="0"/>
    <x v="405"/>
    <x v="6"/>
    <x v="110"/>
    <x v="472"/>
    <n v="66"/>
    <x v="398"/>
    <s v="Sunday"/>
    <s v="45-54"/>
    <x v="1"/>
    <s v="India"/>
    <n v="1690"/>
    <n v="706"/>
    <n v="1382"/>
    <x v="20"/>
    <s v="Fall"/>
    <s v="Low"/>
    <s v="Similar History G"/>
    <s v="TV Ads"/>
    <n v="13577"/>
  </r>
  <r>
    <n v="476"/>
    <x v="0"/>
    <x v="5"/>
    <x v="17"/>
    <x v="406"/>
    <x v="6"/>
    <x v="198"/>
    <x v="473"/>
    <n v="59"/>
    <x v="399"/>
    <s v="Friday"/>
    <s v="45-54"/>
    <x v="1"/>
    <s v="USA"/>
    <n v="1499"/>
    <n v="470"/>
    <n v="806"/>
    <x v="17"/>
    <s v="Winter"/>
    <s v="High"/>
    <s v="Similar Sci-Fi E"/>
    <s v="TV Ads"/>
    <n v="12480"/>
  </r>
  <r>
    <n v="477"/>
    <x v="0"/>
    <x v="6"/>
    <x v="12"/>
    <x v="156"/>
    <x v="6"/>
    <x v="66"/>
    <x v="474"/>
    <n v="33"/>
    <x v="17"/>
    <s v="Saturday"/>
    <s v="18-24"/>
    <x v="1"/>
    <s v="India"/>
    <n v="304"/>
    <n v="67"/>
    <n v="1338"/>
    <x v="11"/>
    <s v="Spring"/>
    <s v="High"/>
    <s v="Similar Sci-Fi E"/>
    <s v="Social Media"/>
    <n v="645"/>
  </r>
  <r>
    <n v="478"/>
    <x v="1"/>
    <x v="2"/>
    <x v="41"/>
    <x v="407"/>
    <x v="6"/>
    <x v="270"/>
    <x v="475"/>
    <n v="89"/>
    <x v="400"/>
    <s v="Sunday"/>
    <s v="25-34"/>
    <x v="1"/>
    <s v="India"/>
    <n v="1747"/>
    <n v="755"/>
    <n v="477"/>
    <x v="3"/>
    <s v="Winter"/>
    <s v="Low"/>
    <s v="Similar Romance F"/>
    <s v="30% off"/>
    <n v="19608"/>
  </r>
  <r>
    <n v="479"/>
    <x v="1"/>
    <x v="1"/>
    <x v="43"/>
    <x v="408"/>
    <x v="6"/>
    <x v="271"/>
    <x v="476"/>
    <n v="106"/>
    <x v="401"/>
    <s v="Friday"/>
    <s v="35-44"/>
    <x v="1"/>
    <s v="Italy"/>
    <n v="2267"/>
    <n v="290"/>
    <n v="1461"/>
    <x v="20"/>
    <s v="Summer"/>
    <s v="High"/>
    <s v="Similar Romance F"/>
    <s v="TV Ads"/>
    <n v="3168"/>
  </r>
  <r>
    <n v="480"/>
    <x v="1"/>
    <x v="8"/>
    <x v="23"/>
    <x v="409"/>
    <x v="3"/>
    <x v="272"/>
    <x v="477"/>
    <n v="108"/>
    <x v="402"/>
    <s v="Saturday"/>
    <s v="45-54"/>
    <x v="0"/>
    <s v="India"/>
    <n v="352"/>
    <n v="103"/>
    <n v="298"/>
    <x v="32"/>
    <s v="Summer"/>
    <s v="Low"/>
    <s v="Similar Doc C"/>
    <s v="Email Campaign"/>
    <n v="2656"/>
  </r>
  <r>
    <n v="481"/>
    <x v="0"/>
    <x v="3"/>
    <x v="59"/>
    <x v="410"/>
    <x v="3"/>
    <x v="99"/>
    <x v="478"/>
    <n v="108"/>
    <x v="403"/>
    <s v="Saturday"/>
    <s v="35-44"/>
    <x v="1"/>
    <s v="USA"/>
    <n v="2630"/>
    <n v="1275"/>
    <n v="1306"/>
    <x v="40"/>
    <s v="Winter"/>
    <s v="Medium"/>
    <s v="Similar Doc C"/>
    <s v="Online Ads"/>
    <n v="10319"/>
  </r>
  <r>
    <n v="482"/>
    <x v="1"/>
    <x v="7"/>
    <x v="14"/>
    <x v="411"/>
    <x v="4"/>
    <x v="273"/>
    <x v="479"/>
    <n v="89"/>
    <x v="404"/>
    <s v="Sunday"/>
    <s v="18-24"/>
    <x v="1"/>
    <s v="UK"/>
    <n v="2844"/>
    <n v="80"/>
    <n v="360"/>
    <x v="37"/>
    <s v="Summer"/>
    <s v="Low"/>
    <s v="Similar Movie A"/>
    <s v="Social Media"/>
    <n v="13209"/>
  </r>
  <r>
    <n v="483"/>
    <x v="1"/>
    <x v="1"/>
    <x v="36"/>
    <x v="412"/>
    <x v="6"/>
    <x v="274"/>
    <x v="480"/>
    <n v="25"/>
    <x v="405"/>
    <s v="Tuesday"/>
    <s v="18-24"/>
    <x v="0"/>
    <s v="France"/>
    <n v="1455"/>
    <n v="1205"/>
    <n v="1152"/>
    <x v="31"/>
    <s v="Winter"/>
    <s v="Low"/>
    <s v="Similar Action D"/>
    <s v="Email Campaign"/>
    <n v="18517"/>
  </r>
  <r>
    <n v="484"/>
    <x v="1"/>
    <x v="2"/>
    <x v="45"/>
    <x v="413"/>
    <x v="3"/>
    <x v="275"/>
    <x v="481"/>
    <n v="83"/>
    <x v="406"/>
    <s v="Friday"/>
    <s v="25-34"/>
    <x v="0"/>
    <s v="India"/>
    <n v="2720"/>
    <n v="445"/>
    <n v="1299"/>
    <x v="21"/>
    <s v="Summer"/>
    <s v="Low"/>
    <s v="Similar Thriller H"/>
    <s v="Online Ads"/>
    <n v="10212"/>
  </r>
  <r>
    <n v="485"/>
    <x v="0"/>
    <x v="5"/>
    <x v="38"/>
    <x v="414"/>
    <x v="3"/>
    <x v="276"/>
    <x v="482"/>
    <n v="33"/>
    <x v="407"/>
    <s v="Saturday"/>
    <s v="18-24"/>
    <x v="0"/>
    <s v="Canada"/>
    <n v="675"/>
    <n v="705"/>
    <n v="587"/>
    <x v="40"/>
    <s v="Winter"/>
    <s v="Low"/>
    <s v="Similar Movie A"/>
    <s v="Print Media"/>
    <n v="10759"/>
  </r>
  <r>
    <n v="486"/>
    <x v="2"/>
    <x v="4"/>
    <x v="23"/>
    <x v="415"/>
    <x v="0"/>
    <x v="163"/>
    <x v="483"/>
    <n v="53"/>
    <x v="408"/>
    <s v="Sunday"/>
    <s v="18-24"/>
    <x v="1"/>
    <s v="USA"/>
    <n v="1764"/>
    <n v="21"/>
    <n v="1073"/>
    <x v="35"/>
    <s v="Winter"/>
    <s v="Medium"/>
    <s v="Similar Series B"/>
    <s v="TV Ads"/>
    <n v="13334"/>
  </r>
  <r>
    <n v="487"/>
    <x v="0"/>
    <x v="3"/>
    <x v="37"/>
    <x v="10"/>
    <x v="6"/>
    <x v="111"/>
    <x v="484"/>
    <n v="68"/>
    <x v="409"/>
    <s v="Friday"/>
    <s v="25-34"/>
    <x v="0"/>
    <s v="Italy"/>
    <n v="595"/>
    <n v="1184"/>
    <n v="609"/>
    <x v="11"/>
    <s v="Fall"/>
    <s v="Low"/>
    <s v="Similar Movie A"/>
    <s v="Online Ads"/>
    <n v="11460"/>
  </r>
  <r>
    <n v="488"/>
    <x v="0"/>
    <x v="0"/>
    <x v="33"/>
    <x v="416"/>
    <x v="3"/>
    <x v="175"/>
    <x v="485"/>
    <n v="31"/>
    <x v="410"/>
    <s v="Saturday"/>
    <s v="35-44"/>
    <x v="0"/>
    <s v="Canada"/>
    <n v="1059"/>
    <n v="1612"/>
    <n v="1156"/>
    <x v="13"/>
    <s v="Fall"/>
    <s v="Low"/>
    <s v="Similar History G"/>
    <s v="Email Campaign"/>
    <n v="15786"/>
  </r>
  <r>
    <n v="489"/>
    <x v="0"/>
    <x v="0"/>
    <x v="58"/>
    <x v="260"/>
    <x v="1"/>
    <x v="110"/>
    <x v="486"/>
    <n v="79"/>
    <x v="411"/>
    <s v="Saturday"/>
    <s v="35-44"/>
    <x v="0"/>
    <s v="Germany"/>
    <n v="148"/>
    <n v="1953"/>
    <n v="1102"/>
    <x v="3"/>
    <s v="Fall"/>
    <s v="High"/>
    <s v="Similar Romance F"/>
    <s v="Social Media"/>
    <n v="15987"/>
  </r>
  <r>
    <n v="490"/>
    <x v="1"/>
    <x v="2"/>
    <x v="62"/>
    <x v="256"/>
    <x v="6"/>
    <x v="277"/>
    <x v="487"/>
    <n v="34"/>
    <x v="412"/>
    <s v="Sunday"/>
    <s v="45-54"/>
    <x v="1"/>
    <s v="UK"/>
    <n v="606"/>
    <n v="952"/>
    <n v="440"/>
    <x v="31"/>
    <s v="Fall"/>
    <s v="High"/>
    <s v="Similar Series B"/>
    <s v="Social Media"/>
    <n v="370"/>
  </r>
  <r>
    <n v="491"/>
    <x v="0"/>
    <x v="6"/>
    <x v="60"/>
    <x v="417"/>
    <x v="5"/>
    <x v="45"/>
    <x v="488"/>
    <n v="37"/>
    <x v="413"/>
    <s v="Tuesday"/>
    <s v="25-34"/>
    <x v="1"/>
    <s v="USA"/>
    <n v="1662"/>
    <n v="1945"/>
    <n v="63"/>
    <x v="0"/>
    <s v="Spring"/>
    <s v="Medium"/>
    <s v="Similar Romance F"/>
    <s v="Email Campaign"/>
    <n v="16369"/>
  </r>
  <r>
    <n v="492"/>
    <x v="0"/>
    <x v="5"/>
    <x v="18"/>
    <x v="418"/>
    <x v="0"/>
    <x v="185"/>
    <x v="489"/>
    <n v="45"/>
    <x v="414"/>
    <s v="Friday"/>
    <s v="35-44"/>
    <x v="1"/>
    <s v="Italy"/>
    <n v="1870"/>
    <n v="737"/>
    <n v="910"/>
    <x v="19"/>
    <s v="Spring"/>
    <s v="Medium"/>
    <s v="Similar History G"/>
    <s v="Online Ads"/>
    <n v="14804"/>
  </r>
  <r>
    <n v="493"/>
    <x v="0"/>
    <x v="2"/>
    <x v="63"/>
    <x v="306"/>
    <x v="1"/>
    <x v="112"/>
    <x v="490"/>
    <n v="43"/>
    <x v="415"/>
    <s v="Saturday"/>
    <s v="25-34"/>
    <x v="1"/>
    <s v="Italy"/>
    <n v="1269"/>
    <n v="264"/>
    <n v="770"/>
    <x v="5"/>
    <s v="Fall"/>
    <s v="Low"/>
    <s v="Similar Movie A"/>
    <s v="Social Media"/>
    <n v="10418"/>
  </r>
  <r>
    <n v="494"/>
    <x v="0"/>
    <x v="3"/>
    <x v="28"/>
    <x v="419"/>
    <x v="1"/>
    <x v="25"/>
    <x v="491"/>
    <n v="51"/>
    <x v="416"/>
    <s v="Sunday"/>
    <s v="18-24"/>
    <x v="0"/>
    <s v="Canada"/>
    <n v="2035"/>
    <n v="666"/>
    <n v="960"/>
    <x v="14"/>
    <s v="Summer"/>
    <s v="High"/>
    <s v="Similar Movie A"/>
    <s v="TV Ads"/>
    <n v="12045"/>
  </r>
  <r>
    <n v="495"/>
    <x v="1"/>
    <x v="8"/>
    <x v="66"/>
    <x v="420"/>
    <x v="5"/>
    <x v="278"/>
    <x v="492"/>
    <n v="41"/>
    <x v="249"/>
    <s v="Friday"/>
    <s v="25-34"/>
    <x v="0"/>
    <s v="France"/>
    <n v="1591"/>
    <n v="435"/>
    <n v="646"/>
    <x v="2"/>
    <s v="Winter"/>
    <s v="High"/>
    <s v="Similar History G"/>
    <s v="Print Media"/>
    <n v="9730"/>
  </r>
  <r>
    <n v="496"/>
    <x v="2"/>
    <x v="7"/>
    <x v="23"/>
    <x v="242"/>
    <x v="0"/>
    <x v="104"/>
    <x v="493"/>
    <n v="27"/>
    <x v="21"/>
    <s v="Saturday"/>
    <s v="25-34"/>
    <x v="1"/>
    <s v="France"/>
    <n v="1524"/>
    <n v="944"/>
    <n v="259"/>
    <x v="10"/>
    <s v="Winter"/>
    <s v="High"/>
    <s v="Similar Action D"/>
    <s v="TV Ads"/>
    <n v="3670"/>
  </r>
  <r>
    <n v="497"/>
    <x v="2"/>
    <x v="3"/>
    <x v="44"/>
    <x v="303"/>
    <x v="5"/>
    <x v="43"/>
    <x v="494"/>
    <n v="35"/>
    <x v="417"/>
    <s v="Sunday"/>
    <s v="18-24"/>
    <x v="0"/>
    <s v="Canada"/>
    <n v="1336"/>
    <n v="1424"/>
    <n v="1278"/>
    <x v="31"/>
    <s v="Summer"/>
    <s v="Low"/>
    <s v="Similar History G"/>
    <s v="30% off"/>
    <n v="1322"/>
  </r>
  <r>
    <n v="498"/>
    <x v="2"/>
    <x v="1"/>
    <x v="66"/>
    <x v="264"/>
    <x v="5"/>
    <x v="144"/>
    <x v="495"/>
    <n v="54"/>
    <x v="313"/>
    <s v="Friday"/>
    <s v="45-54"/>
    <x v="1"/>
    <s v="Australia"/>
    <n v="1795"/>
    <n v="976"/>
    <n v="616"/>
    <x v="27"/>
    <s v="Spring"/>
    <s v="High"/>
    <s v="Similar Doc C"/>
    <s v="Social Media"/>
    <n v="8187"/>
  </r>
  <r>
    <n v="499"/>
    <x v="0"/>
    <x v="2"/>
    <x v="20"/>
    <x v="421"/>
    <x v="5"/>
    <x v="42"/>
    <x v="496"/>
    <n v="41"/>
    <x v="257"/>
    <s v="Saturday"/>
    <s v="45-54"/>
    <x v="0"/>
    <s v="India"/>
    <n v="246"/>
    <n v="694"/>
    <n v="139"/>
    <x v="14"/>
    <s v="Spring"/>
    <s v="Medium"/>
    <s v="Similar Series B"/>
    <s v="30% off"/>
    <n v="14673"/>
  </r>
  <r>
    <n v="500"/>
    <x v="1"/>
    <x v="6"/>
    <x v="29"/>
    <x v="341"/>
    <x v="3"/>
    <x v="279"/>
    <x v="497"/>
    <n v="111"/>
    <x v="418"/>
    <s v="Saturday"/>
    <s v="45-54"/>
    <x v="0"/>
    <s v="UK"/>
    <n v="1418"/>
    <n v="1652"/>
    <n v="184"/>
    <x v="30"/>
    <s v="Fall"/>
    <s v="Medium"/>
    <s v="Similar Movie A"/>
    <s v="Email Campaign"/>
    <n v="9482"/>
  </r>
  <r>
    <n v="501"/>
    <x v="1"/>
    <x v="5"/>
    <x v="18"/>
    <x v="422"/>
    <x v="3"/>
    <x v="280"/>
    <x v="498"/>
    <n v="56"/>
    <x v="419"/>
    <s v="Sunday"/>
    <s v="18-24"/>
    <x v="0"/>
    <s v="UK"/>
    <n v="222"/>
    <n v="1411"/>
    <n v="499"/>
    <x v="14"/>
    <s v="Summer"/>
    <s v="High"/>
    <s v="Similar Action D"/>
    <s v="Online Ads"/>
    <n v="6535"/>
  </r>
  <r>
    <n v="502"/>
    <x v="1"/>
    <x v="1"/>
    <x v="49"/>
    <x v="289"/>
    <x v="5"/>
    <x v="281"/>
    <x v="499"/>
    <n v="87"/>
    <x v="420"/>
    <s v="Tuesday"/>
    <s v="25-34"/>
    <x v="1"/>
    <s v="France"/>
    <n v="2595"/>
    <n v="796"/>
    <n v="741"/>
    <x v="32"/>
    <s v="Spring"/>
    <s v="High"/>
    <s v="Similar Thriller H"/>
    <s v="30% off"/>
    <n v="13012"/>
  </r>
  <r>
    <n v="503"/>
    <x v="1"/>
    <x v="6"/>
    <x v="48"/>
    <x v="209"/>
    <x v="2"/>
    <x v="106"/>
    <x v="500"/>
    <n v="83"/>
    <x v="421"/>
    <s v="Friday"/>
    <s v="18-24"/>
    <x v="0"/>
    <s v="Germany"/>
    <n v="1706"/>
    <n v="796"/>
    <n v="1411"/>
    <x v="5"/>
    <s v="Summer"/>
    <s v="High"/>
    <s v="Similar History G"/>
    <s v="Print Media"/>
    <n v="6858"/>
  </r>
  <r>
    <n v="504"/>
    <x v="0"/>
    <x v="4"/>
    <x v="55"/>
    <x v="423"/>
    <x v="1"/>
    <x v="18"/>
    <x v="501"/>
    <n v="91"/>
    <x v="422"/>
    <s v="Saturday"/>
    <s v="45-54"/>
    <x v="1"/>
    <s v="Germany"/>
    <n v="99"/>
    <n v="1872"/>
    <n v="1171"/>
    <x v="5"/>
    <s v="Fall"/>
    <s v="Medium"/>
    <s v="Similar Thriller H"/>
    <s v="Online Ads"/>
    <n v="6793"/>
  </r>
  <r>
    <n v="505"/>
    <x v="1"/>
    <x v="5"/>
    <x v="22"/>
    <x v="424"/>
    <x v="3"/>
    <x v="282"/>
    <x v="502"/>
    <n v="108"/>
    <x v="423"/>
    <s v="Sunday"/>
    <s v="18-24"/>
    <x v="1"/>
    <s v="USA"/>
    <n v="2494"/>
    <n v="1441"/>
    <n v="626"/>
    <x v="10"/>
    <s v="Fall"/>
    <s v="Medium"/>
    <s v="Similar Sci-Fi E"/>
    <s v="30% off"/>
    <n v="5260"/>
  </r>
  <r>
    <n v="506"/>
    <x v="2"/>
    <x v="3"/>
    <x v="43"/>
    <x v="263"/>
    <x v="6"/>
    <x v="13"/>
    <x v="503"/>
    <n v="25"/>
    <x v="424"/>
    <s v="Friday"/>
    <s v="25-34"/>
    <x v="1"/>
    <s v="USA"/>
    <n v="1544"/>
    <n v="808"/>
    <n v="1439"/>
    <x v="16"/>
    <s v="Winter"/>
    <s v="Medium"/>
    <s v="Similar Sci-Fi E"/>
    <s v="Social Media"/>
    <n v="18957"/>
  </r>
  <r>
    <n v="507"/>
    <x v="0"/>
    <x v="3"/>
    <x v="47"/>
    <x v="425"/>
    <x v="2"/>
    <x v="134"/>
    <x v="504"/>
    <n v="29"/>
    <x v="425"/>
    <s v="Saturday"/>
    <s v="45-54"/>
    <x v="0"/>
    <s v="Australia"/>
    <n v="2970"/>
    <n v="1465"/>
    <n v="479"/>
    <x v="19"/>
    <s v="Spring"/>
    <s v="Low"/>
    <s v="Similar Movie A"/>
    <s v="Social Media"/>
    <n v="6222"/>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r>
    <m/>
    <x v="3"/>
    <x v="9"/>
    <x v="77"/>
    <x v="426"/>
    <x v="7"/>
    <x v="283"/>
    <x v="505"/>
    <m/>
    <x v="426"/>
    <m/>
    <m/>
    <x v="2"/>
    <m/>
    <m/>
    <m/>
    <m/>
    <x v="41"/>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AE680C-C196-4013-BB21-8A3A3A4D387B}"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7" firstHeaderRow="1" firstDataRow="1" firstDataCol="1"/>
  <pivotFields count="25">
    <pivotField showAll="0"/>
    <pivotField axis="axisRow" showAll="0">
      <items count="5">
        <item x="2"/>
        <item x="0"/>
        <item x="1"/>
        <item x="3"/>
        <item t="default"/>
      </items>
    </pivotField>
    <pivotField showAll="0"/>
    <pivotField showAll="0"/>
    <pivotField showAll="0">
      <items count="428">
        <item x="237"/>
        <item x="222"/>
        <item x="70"/>
        <item x="74"/>
        <item x="45"/>
        <item x="187"/>
        <item x="276"/>
        <item x="406"/>
        <item x="316"/>
        <item x="12"/>
        <item x="131"/>
        <item x="211"/>
        <item x="140"/>
        <item x="87"/>
        <item x="423"/>
        <item x="251"/>
        <item x="360"/>
        <item x="138"/>
        <item x="179"/>
        <item x="236"/>
        <item x="54"/>
        <item x="175"/>
        <item x="48"/>
        <item x="178"/>
        <item x="403"/>
        <item x="120"/>
        <item x="253"/>
        <item x="144"/>
        <item x="94"/>
        <item x="370"/>
        <item x="358"/>
        <item x="6"/>
        <item x="112"/>
        <item x="286"/>
        <item x="149"/>
        <item x="19"/>
        <item x="395"/>
        <item x="10"/>
        <item x="361"/>
        <item x="49"/>
        <item x="40"/>
        <item x="259"/>
        <item x="311"/>
        <item x="166"/>
        <item x="119"/>
        <item x="186"/>
        <item x="154"/>
        <item x="292"/>
        <item x="245"/>
        <item x="142"/>
        <item x="99"/>
        <item x="297"/>
        <item x="111"/>
        <item x="92"/>
        <item x="223"/>
        <item x="261"/>
        <item x="31"/>
        <item x="408"/>
        <item x="351"/>
        <item x="181"/>
        <item x="86"/>
        <item x="266"/>
        <item x="206"/>
        <item x="326"/>
        <item x="235"/>
        <item x="169"/>
        <item x="366"/>
        <item x="411"/>
        <item x="398"/>
        <item x="371"/>
        <item x="301"/>
        <item x="304"/>
        <item x="190"/>
        <item x="65"/>
        <item x="90"/>
        <item x="240"/>
        <item x="230"/>
        <item x="201"/>
        <item x="367"/>
        <item x="115"/>
        <item x="388"/>
        <item x="191"/>
        <item x="78"/>
        <item x="80"/>
        <item x="69"/>
        <item x="156"/>
        <item x="285"/>
        <item x="347"/>
        <item x="79"/>
        <item x="101"/>
        <item x="372"/>
        <item x="41"/>
        <item x="207"/>
        <item x="212"/>
        <item x="17"/>
        <item x="202"/>
        <item x="244"/>
        <item x="345"/>
        <item x="277"/>
        <item x="221"/>
        <item x="114"/>
        <item x="81"/>
        <item x="323"/>
        <item x="96"/>
        <item x="275"/>
        <item x="384"/>
        <item x="76"/>
        <item x="55"/>
        <item x="256"/>
        <item x="409"/>
        <item x="130"/>
        <item x="50"/>
        <item x="322"/>
        <item x="313"/>
        <item x="151"/>
        <item x="296"/>
        <item x="56"/>
        <item x="3"/>
        <item x="402"/>
        <item x="263"/>
        <item x="280"/>
        <item x="255"/>
        <item x="34"/>
        <item x="289"/>
        <item x="91"/>
        <item x="60"/>
        <item x="146"/>
        <item x="273"/>
        <item x="133"/>
        <item x="412"/>
        <item x="331"/>
        <item x="213"/>
        <item x="389"/>
        <item x="233"/>
        <item x="113"/>
        <item x="128"/>
        <item x="127"/>
        <item x="189"/>
        <item x="152"/>
        <item x="62"/>
        <item x="33"/>
        <item x="216"/>
        <item x="164"/>
        <item x="278"/>
        <item x="13"/>
        <item x="265"/>
        <item x="139"/>
        <item x="57"/>
        <item x="25"/>
        <item x="282"/>
        <item x="365"/>
        <item x="225"/>
        <item x="95"/>
        <item x="396"/>
        <item x="83"/>
        <item x="386"/>
        <item x="132"/>
        <item x="294"/>
        <item x="209"/>
        <item x="185"/>
        <item x="378"/>
        <item x="248"/>
        <item x="84"/>
        <item x="287"/>
        <item x="197"/>
        <item x="399"/>
        <item x="126"/>
        <item x="332"/>
        <item x="184"/>
        <item x="116"/>
        <item x="238"/>
        <item x="377"/>
        <item x="232"/>
        <item x="51"/>
        <item x="158"/>
        <item x="136"/>
        <item x="330"/>
        <item x="254"/>
        <item x="77"/>
        <item x="153"/>
        <item x="217"/>
        <item x="274"/>
        <item x="218"/>
        <item x="407"/>
        <item x="68"/>
        <item x="320"/>
        <item x="410"/>
        <item x="290"/>
        <item x="264"/>
        <item x="418"/>
        <item x="177"/>
        <item x="306"/>
        <item x="269"/>
        <item x="228"/>
        <item x="27"/>
        <item x="328"/>
        <item x="11"/>
        <item x="129"/>
        <item x="252"/>
        <item x="392"/>
        <item x="376"/>
        <item x="342"/>
        <item x="36"/>
        <item x="268"/>
        <item x="47"/>
        <item x="302"/>
        <item x="239"/>
        <item x="38"/>
        <item x="171"/>
        <item x="341"/>
        <item x="29"/>
        <item x="281"/>
        <item x="145"/>
        <item x="243"/>
        <item x="135"/>
        <item x="401"/>
        <item x="162"/>
        <item x="318"/>
        <item x="283"/>
        <item x="9"/>
        <item x="102"/>
        <item x="172"/>
        <item x="215"/>
        <item x="299"/>
        <item x="303"/>
        <item x="344"/>
        <item x="21"/>
        <item x="363"/>
        <item x="272"/>
        <item x="271"/>
        <item x="393"/>
        <item x="109"/>
        <item x="26"/>
        <item x="339"/>
        <item x="118"/>
        <item x="307"/>
        <item x="73"/>
        <item x="305"/>
        <item x="241"/>
        <item x="104"/>
        <item x="246"/>
        <item x="66"/>
        <item x="258"/>
        <item x="362"/>
        <item x="58"/>
        <item x="352"/>
        <item x="203"/>
        <item x="424"/>
        <item x="20"/>
        <item x="117"/>
        <item x="134"/>
        <item x="188"/>
        <item x="15"/>
        <item x="364"/>
        <item x="381"/>
        <item x="387"/>
        <item x="98"/>
        <item x="300"/>
        <item x="373"/>
        <item x="160"/>
        <item x="317"/>
        <item x="174"/>
        <item x="23"/>
        <item x="405"/>
        <item x="298"/>
        <item x="125"/>
        <item x="284"/>
        <item x="334"/>
        <item x="226"/>
        <item x="85"/>
        <item x="14"/>
        <item x="291"/>
        <item x="321"/>
        <item x="394"/>
        <item x="308"/>
        <item x="309"/>
        <item x="147"/>
        <item x="137"/>
        <item x="122"/>
        <item x="325"/>
        <item x="167"/>
        <item x="343"/>
        <item x="159"/>
        <item x="32"/>
        <item x="267"/>
        <item x="417"/>
        <item x="89"/>
        <item x="349"/>
        <item x="319"/>
        <item x="196"/>
        <item x="22"/>
        <item x="356"/>
        <item x="333"/>
        <item x="121"/>
        <item x="422"/>
        <item x="385"/>
        <item x="250"/>
        <item x="170"/>
        <item x="71"/>
        <item x="123"/>
        <item x="143"/>
        <item x="257"/>
        <item x="67"/>
        <item x="279"/>
        <item x="234"/>
        <item x="224"/>
        <item x="338"/>
        <item x="16"/>
        <item x="200"/>
        <item x="30"/>
        <item x="416"/>
        <item x="346"/>
        <item x="421"/>
        <item x="242"/>
        <item x="82"/>
        <item x="374"/>
        <item x="260"/>
        <item x="5"/>
        <item x="340"/>
        <item x="61"/>
        <item x="161"/>
        <item x="288"/>
        <item x="383"/>
        <item x="391"/>
        <item x="100"/>
        <item x="419"/>
        <item x="97"/>
        <item x="105"/>
        <item x="4"/>
        <item x="293"/>
        <item x="354"/>
        <item x="148"/>
        <item x="72"/>
        <item x="53"/>
        <item x="337"/>
        <item x="63"/>
        <item x="229"/>
        <item x="150"/>
        <item x="420"/>
        <item x="199"/>
        <item x="182"/>
        <item x="231"/>
        <item x="249"/>
        <item x="227"/>
        <item x="39"/>
        <item x="348"/>
        <item x="8"/>
        <item x="219"/>
        <item x="359"/>
        <item x="400"/>
        <item x="368"/>
        <item x="314"/>
        <item x="42"/>
        <item x="108"/>
        <item x="247"/>
        <item x="327"/>
        <item x="7"/>
        <item x="155"/>
        <item x="413"/>
        <item x="369"/>
        <item x="414"/>
        <item x="397"/>
        <item x="220"/>
        <item x="18"/>
        <item x="329"/>
        <item x="205"/>
        <item x="35"/>
        <item x="124"/>
        <item x="195"/>
        <item x="28"/>
        <item x="1"/>
        <item x="44"/>
        <item x="357"/>
        <item x="46"/>
        <item x="404"/>
        <item x="390"/>
        <item x="52"/>
        <item x="262"/>
        <item x="180"/>
        <item x="355"/>
        <item x="173"/>
        <item x="103"/>
        <item x="353"/>
        <item x="310"/>
        <item x="194"/>
        <item x="37"/>
        <item x="157"/>
        <item x="165"/>
        <item x="379"/>
        <item x="270"/>
        <item x="163"/>
        <item x="210"/>
        <item x="168"/>
        <item x="208"/>
        <item x="193"/>
        <item x="88"/>
        <item x="107"/>
        <item x="75"/>
        <item x="183"/>
        <item x="106"/>
        <item x="214"/>
        <item x="24"/>
        <item x="415"/>
        <item x="64"/>
        <item x="425"/>
        <item x="295"/>
        <item x="93"/>
        <item x="336"/>
        <item x="198"/>
        <item x="141"/>
        <item x="192"/>
        <item x="204"/>
        <item x="350"/>
        <item x="335"/>
        <item x="315"/>
        <item x="324"/>
        <item x="2"/>
        <item x="380"/>
        <item x="59"/>
        <item x="312"/>
        <item x="375"/>
        <item x="110"/>
        <item x="176"/>
        <item x="382"/>
        <item x="43"/>
        <item x="0"/>
        <item x="426"/>
        <item t="default"/>
      </items>
    </pivotField>
    <pivotField showAll="0"/>
    <pivotField showAll="0"/>
    <pivotField showAll="0"/>
    <pivotField showAll="0"/>
    <pivotField showAll="0"/>
    <pivotField showAll="0"/>
    <pivotField dataField="1" showAll="0"/>
    <pivotField showAll="0">
      <items count="4">
        <item h="1" x="1"/>
        <item x="0"/>
        <item h="1" x="2"/>
        <item t="default"/>
      </items>
    </pivotField>
    <pivotField showAll="0"/>
    <pivotField showAll="0"/>
    <pivotField showAll="0"/>
    <pivotField showAll="0"/>
    <pivotField showAll="0"/>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Count of Viewer Age" fld="11" subtotal="count"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B9D223-4266-48EB-A2D7-0C5A6364658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8" firstHeaderRow="1" firstDataRow="1" firstDataCol="1"/>
  <pivotFields count="25">
    <pivotField showAll="0"/>
    <pivotField showAll="0"/>
    <pivotField axis="axisRow" showAll="0">
      <items count="11">
        <item x="6"/>
        <item x="1"/>
        <item x="5"/>
        <item x="4"/>
        <item x="8"/>
        <item x="7"/>
        <item x="3"/>
        <item x="2"/>
        <item x="0"/>
        <item x="9"/>
        <item t="default"/>
      </items>
    </pivotField>
    <pivotField showAll="0"/>
    <pivotField showAll="0">
      <items count="428">
        <item x="237"/>
        <item x="222"/>
        <item x="70"/>
        <item x="74"/>
        <item x="45"/>
        <item x="187"/>
        <item x="276"/>
        <item x="406"/>
        <item x="316"/>
        <item x="12"/>
        <item x="131"/>
        <item x="211"/>
        <item x="140"/>
        <item x="87"/>
        <item x="423"/>
        <item x="251"/>
        <item x="360"/>
        <item x="138"/>
        <item x="179"/>
        <item x="236"/>
        <item x="54"/>
        <item x="175"/>
        <item x="48"/>
        <item x="178"/>
        <item x="403"/>
        <item x="120"/>
        <item x="253"/>
        <item x="144"/>
        <item x="94"/>
        <item x="370"/>
        <item x="358"/>
        <item x="6"/>
        <item x="112"/>
        <item x="286"/>
        <item x="149"/>
        <item x="19"/>
        <item x="395"/>
        <item x="10"/>
        <item x="361"/>
        <item x="49"/>
        <item x="40"/>
        <item x="259"/>
        <item x="311"/>
        <item x="166"/>
        <item x="119"/>
        <item x="186"/>
        <item x="154"/>
        <item x="292"/>
        <item x="245"/>
        <item x="142"/>
        <item x="99"/>
        <item x="297"/>
        <item x="111"/>
        <item x="92"/>
        <item x="223"/>
        <item x="261"/>
        <item x="31"/>
        <item x="408"/>
        <item x="351"/>
        <item x="181"/>
        <item x="86"/>
        <item x="266"/>
        <item x="206"/>
        <item x="326"/>
        <item x="235"/>
        <item x="169"/>
        <item x="366"/>
        <item x="411"/>
        <item x="398"/>
        <item x="371"/>
        <item x="301"/>
        <item x="304"/>
        <item x="190"/>
        <item x="65"/>
        <item x="90"/>
        <item x="240"/>
        <item x="230"/>
        <item x="201"/>
        <item x="367"/>
        <item x="115"/>
        <item x="388"/>
        <item x="191"/>
        <item x="78"/>
        <item x="80"/>
        <item x="69"/>
        <item x="156"/>
        <item x="285"/>
        <item x="347"/>
        <item x="79"/>
        <item x="101"/>
        <item x="372"/>
        <item x="41"/>
        <item x="207"/>
        <item x="212"/>
        <item x="17"/>
        <item x="202"/>
        <item x="244"/>
        <item x="345"/>
        <item x="277"/>
        <item x="221"/>
        <item x="114"/>
        <item x="81"/>
        <item x="323"/>
        <item x="96"/>
        <item x="275"/>
        <item x="384"/>
        <item x="76"/>
        <item x="55"/>
        <item x="256"/>
        <item x="409"/>
        <item x="130"/>
        <item x="50"/>
        <item x="322"/>
        <item x="313"/>
        <item x="151"/>
        <item x="296"/>
        <item x="56"/>
        <item x="3"/>
        <item x="402"/>
        <item x="263"/>
        <item x="280"/>
        <item x="255"/>
        <item x="34"/>
        <item x="289"/>
        <item x="91"/>
        <item x="60"/>
        <item x="146"/>
        <item x="273"/>
        <item x="133"/>
        <item x="412"/>
        <item x="331"/>
        <item x="213"/>
        <item x="389"/>
        <item x="233"/>
        <item x="113"/>
        <item x="128"/>
        <item x="127"/>
        <item x="189"/>
        <item x="152"/>
        <item x="62"/>
        <item x="33"/>
        <item x="216"/>
        <item x="164"/>
        <item x="278"/>
        <item x="13"/>
        <item x="265"/>
        <item x="139"/>
        <item x="57"/>
        <item x="25"/>
        <item x="282"/>
        <item x="365"/>
        <item x="225"/>
        <item x="95"/>
        <item x="396"/>
        <item x="83"/>
        <item x="386"/>
        <item x="132"/>
        <item x="294"/>
        <item x="209"/>
        <item x="185"/>
        <item x="378"/>
        <item x="248"/>
        <item x="84"/>
        <item x="287"/>
        <item x="197"/>
        <item x="399"/>
        <item x="126"/>
        <item x="332"/>
        <item x="184"/>
        <item x="116"/>
        <item x="238"/>
        <item x="377"/>
        <item x="232"/>
        <item x="51"/>
        <item x="158"/>
        <item x="136"/>
        <item x="330"/>
        <item x="254"/>
        <item x="77"/>
        <item x="153"/>
        <item x="217"/>
        <item x="274"/>
        <item x="218"/>
        <item x="407"/>
        <item x="68"/>
        <item x="320"/>
        <item x="410"/>
        <item x="290"/>
        <item x="264"/>
        <item x="418"/>
        <item x="177"/>
        <item x="306"/>
        <item x="269"/>
        <item x="228"/>
        <item x="27"/>
        <item x="328"/>
        <item x="11"/>
        <item x="129"/>
        <item x="252"/>
        <item x="392"/>
        <item x="376"/>
        <item x="342"/>
        <item x="36"/>
        <item x="268"/>
        <item x="47"/>
        <item x="302"/>
        <item x="239"/>
        <item x="38"/>
        <item x="171"/>
        <item x="341"/>
        <item x="29"/>
        <item x="281"/>
        <item x="145"/>
        <item x="243"/>
        <item x="135"/>
        <item x="401"/>
        <item x="162"/>
        <item x="318"/>
        <item x="283"/>
        <item x="9"/>
        <item x="102"/>
        <item x="172"/>
        <item x="215"/>
        <item x="299"/>
        <item x="303"/>
        <item x="344"/>
        <item x="21"/>
        <item x="363"/>
        <item x="272"/>
        <item x="271"/>
        <item x="393"/>
        <item x="109"/>
        <item x="26"/>
        <item x="339"/>
        <item x="118"/>
        <item x="307"/>
        <item x="73"/>
        <item x="305"/>
        <item x="241"/>
        <item x="104"/>
        <item x="246"/>
        <item x="66"/>
        <item x="258"/>
        <item x="362"/>
        <item x="58"/>
        <item x="352"/>
        <item x="203"/>
        <item x="424"/>
        <item x="20"/>
        <item x="117"/>
        <item x="134"/>
        <item x="188"/>
        <item x="15"/>
        <item x="364"/>
        <item x="381"/>
        <item x="387"/>
        <item x="98"/>
        <item x="300"/>
        <item x="373"/>
        <item x="160"/>
        <item x="317"/>
        <item x="174"/>
        <item x="23"/>
        <item x="405"/>
        <item x="298"/>
        <item x="125"/>
        <item x="284"/>
        <item x="334"/>
        <item x="226"/>
        <item x="85"/>
        <item x="14"/>
        <item x="291"/>
        <item x="321"/>
        <item x="394"/>
        <item x="308"/>
        <item x="309"/>
        <item x="147"/>
        <item x="137"/>
        <item x="122"/>
        <item x="325"/>
        <item x="167"/>
        <item x="343"/>
        <item x="159"/>
        <item x="32"/>
        <item x="267"/>
        <item x="417"/>
        <item x="89"/>
        <item x="349"/>
        <item x="319"/>
        <item x="196"/>
        <item x="22"/>
        <item x="356"/>
        <item x="333"/>
        <item x="121"/>
        <item x="422"/>
        <item x="385"/>
        <item x="250"/>
        <item x="170"/>
        <item x="71"/>
        <item x="123"/>
        <item x="143"/>
        <item x="257"/>
        <item x="67"/>
        <item x="279"/>
        <item x="234"/>
        <item x="224"/>
        <item x="338"/>
        <item x="16"/>
        <item x="200"/>
        <item x="30"/>
        <item x="416"/>
        <item x="346"/>
        <item x="421"/>
        <item x="242"/>
        <item x="82"/>
        <item x="374"/>
        <item x="260"/>
        <item x="5"/>
        <item x="340"/>
        <item x="61"/>
        <item x="161"/>
        <item x="288"/>
        <item x="383"/>
        <item x="391"/>
        <item x="100"/>
        <item x="419"/>
        <item x="97"/>
        <item x="105"/>
        <item x="4"/>
        <item x="293"/>
        <item x="354"/>
        <item x="148"/>
        <item x="72"/>
        <item x="53"/>
        <item x="337"/>
        <item x="63"/>
        <item x="229"/>
        <item x="150"/>
        <item x="420"/>
        <item x="199"/>
        <item x="182"/>
        <item x="231"/>
        <item x="249"/>
        <item x="227"/>
        <item x="39"/>
        <item x="348"/>
        <item x="8"/>
        <item x="219"/>
        <item x="359"/>
        <item x="400"/>
        <item x="368"/>
        <item x="314"/>
        <item x="42"/>
        <item x="108"/>
        <item x="247"/>
        <item x="327"/>
        <item x="7"/>
        <item x="155"/>
        <item x="413"/>
        <item x="369"/>
        <item x="414"/>
        <item x="397"/>
        <item x="220"/>
        <item x="18"/>
        <item x="329"/>
        <item x="205"/>
        <item x="35"/>
        <item x="124"/>
        <item x="195"/>
        <item x="28"/>
        <item x="1"/>
        <item x="44"/>
        <item x="357"/>
        <item x="46"/>
        <item x="404"/>
        <item x="390"/>
        <item x="52"/>
        <item x="262"/>
        <item x="180"/>
        <item x="355"/>
        <item x="173"/>
        <item x="103"/>
        <item x="353"/>
        <item x="310"/>
        <item x="194"/>
        <item x="37"/>
        <item x="157"/>
        <item x="165"/>
        <item x="379"/>
        <item x="270"/>
        <item x="163"/>
        <item x="210"/>
        <item x="168"/>
        <item x="208"/>
        <item x="193"/>
        <item x="88"/>
        <item x="107"/>
        <item x="75"/>
        <item x="183"/>
        <item x="106"/>
        <item x="214"/>
        <item x="24"/>
        <item x="415"/>
        <item x="64"/>
        <item x="425"/>
        <item x="295"/>
        <item x="93"/>
        <item x="336"/>
        <item x="198"/>
        <item x="141"/>
        <item x="192"/>
        <item x="204"/>
        <item x="350"/>
        <item x="335"/>
        <item x="315"/>
        <item x="324"/>
        <item x="2"/>
        <item x="380"/>
        <item x="59"/>
        <item x="312"/>
        <item x="375"/>
        <item x="110"/>
        <item x="176"/>
        <item x="382"/>
        <item x="43"/>
        <item x="0"/>
        <item x="426"/>
        <item t="default"/>
      </items>
    </pivotField>
    <pivotField showAll="0"/>
    <pivotField showAll="0">
      <items count="285">
        <item h="1" x="250"/>
        <item h="1" x="144"/>
        <item h="1" x="253"/>
        <item x="104"/>
        <item h="1" x="51"/>
        <item h="1" x="22"/>
        <item h="1" x="30"/>
        <item h="1" x="70"/>
        <item h="1" x="140"/>
        <item h="1" x="119"/>
        <item h="1" x="92"/>
        <item h="1" x="53"/>
        <item h="1" x="83"/>
        <item h="1" x="113"/>
        <item h="1" x="135"/>
        <item h="1" x="44"/>
        <item h="1" x="170"/>
        <item h="1" x="97"/>
        <item h="1" x="204"/>
        <item h="1" x="103"/>
        <item h="1" x="163"/>
        <item h="1" x="187"/>
        <item h="1" x="214"/>
        <item h="1" x="158"/>
        <item h="1" x="242"/>
        <item h="1" x="80"/>
        <item h="1" x="4"/>
        <item h="1" x="117"/>
        <item h="1" x="116"/>
        <item h="1" x="209"/>
        <item h="1" x="43"/>
        <item h="1" x="56"/>
        <item h="1" x="74"/>
        <item h="1" x="221"/>
        <item h="1" x="216"/>
        <item h="1" x="146"/>
        <item h="1" x="34"/>
        <item h="1" x="48"/>
        <item h="1" x="229"/>
        <item h="1" x="94"/>
        <item h="1" x="12"/>
        <item h="1" x="251"/>
        <item h="1" x="202"/>
        <item h="1" x="60"/>
        <item h="1" x="66"/>
        <item h="1" x="185"/>
        <item h="1" x="27"/>
        <item h="1" x="129"/>
        <item h="1" x="59"/>
        <item h="1" x="39"/>
        <item h="1" x="6"/>
        <item h="1" x="133"/>
        <item h="1" x="189"/>
        <item h="1" x="13"/>
        <item h="1" x="35"/>
        <item h="1" x="82"/>
        <item h="1" x="102"/>
        <item h="1" x="165"/>
        <item h="1" x="10"/>
        <item h="1" x="121"/>
        <item h="1" x="58"/>
        <item h="1" x="191"/>
        <item h="1" x="17"/>
        <item h="1" x="71"/>
        <item h="1" x="128"/>
        <item h="1" x="198"/>
        <item h="1" x="61"/>
        <item h="1" x="244"/>
        <item h="1" x="175"/>
        <item h="1" x="131"/>
        <item h="1" x="0"/>
        <item h="1" x="100"/>
        <item h="1" x="85"/>
        <item h="1" x="5"/>
        <item h="1" x="153"/>
        <item h="1" x="134"/>
        <item h="1" x="269"/>
        <item h="1" x="159"/>
        <item h="1" x="181"/>
        <item h="1" x="125"/>
        <item h="1" x="138"/>
        <item h="1" x="67"/>
        <item h="1" x="213"/>
        <item h="1" x="228"/>
        <item h="1" x="126"/>
        <item h="1" x="11"/>
        <item h="1" x="42"/>
        <item h="1" x="46"/>
        <item h="1" x="38"/>
        <item h="1" x="20"/>
        <item h="1" x="111"/>
        <item h="1" x="25"/>
        <item h="1" x="55"/>
        <item h="1" x="230"/>
        <item h="1" x="179"/>
        <item h="1" x="26"/>
        <item h="1" x="224"/>
        <item h="1" x="207"/>
        <item h="1" x="32"/>
        <item h="1" x="64"/>
        <item h="1" x="9"/>
        <item h="1" x="172"/>
        <item h="1" x="188"/>
        <item h="1" x="47"/>
        <item h="1" x="217"/>
        <item h="1" x="99"/>
        <item h="1" x="31"/>
        <item h="1" x="183"/>
        <item h="1" x="171"/>
        <item h="1" x="108"/>
        <item h="1" x="105"/>
        <item h="1" x="36"/>
        <item h="1" x="2"/>
        <item h="1" x="77"/>
        <item h="1" x="109"/>
        <item h="1" x="136"/>
        <item h="1" x="276"/>
        <item h="1" x="255"/>
        <item h="1" x="73"/>
        <item h="1" x="124"/>
        <item h="1" x="98"/>
        <item h="1" x="28"/>
        <item h="1" x="143"/>
        <item h="1" x="112"/>
        <item h="1" x="142"/>
        <item h="1" x="96"/>
        <item h="1" x="110"/>
        <item h="1" x="72"/>
        <item h="1" x="52"/>
        <item h="1" x="24"/>
        <item h="1" x="21"/>
        <item h="1" x="150"/>
        <item h="1" x="18"/>
        <item h="1" x="57"/>
        <item h="1" x="45"/>
        <item h="1" x="232"/>
        <item h="1" x="162"/>
        <item h="1" x="68"/>
        <item h="1" x="197"/>
        <item h="1" x="225"/>
        <item h="1" x="78"/>
        <item h="1" x="199"/>
        <item h="1" x="118"/>
        <item h="1" x="234"/>
        <item h="1" x="7"/>
        <item h="1" x="210"/>
        <item h="1" x="252"/>
        <item h="1" x="88"/>
        <item h="1" x="14"/>
        <item h="1" x="260"/>
        <item h="1" x="195"/>
        <item h="1" x="257"/>
        <item h="1" x="147"/>
        <item h="1" x="184"/>
        <item h="1" x="266"/>
        <item h="1" x="267"/>
        <item h="1" x="241"/>
        <item h="1" x="168"/>
        <item h="1" x="218"/>
        <item h="1" x="141"/>
        <item h="1" x="261"/>
        <item h="1" x="226"/>
        <item h="1" x="33"/>
        <item h="1" x="37"/>
        <item h="1" x="268"/>
        <item h="1" x="173"/>
        <item h="1" x="122"/>
        <item h="1" x="149"/>
        <item h="1" x="151"/>
        <item h="1" x="212"/>
        <item h="1" x="41"/>
        <item h="1" x="132"/>
        <item h="1" x="93"/>
        <item h="1" x="127"/>
        <item h="1" x="166"/>
        <item h="1" x="65"/>
        <item h="1" x="3"/>
        <item h="1" x="203"/>
        <item h="1" x="154"/>
        <item h="1" x="106"/>
        <item h="1" x="249"/>
        <item h="1" x="281"/>
        <item h="1" x="40"/>
        <item h="1" x="223"/>
        <item h="1" x="54"/>
        <item h="1" x="247"/>
        <item h="1" x="87"/>
        <item h="1" x="161"/>
        <item h="1" x="167"/>
        <item h="1" x="256"/>
        <item h="1" x="233"/>
        <item h="1" x="275"/>
        <item h="1" x="254"/>
        <item h="1" x="81"/>
        <item h="1" x="245"/>
        <item h="1" x="206"/>
        <item h="1" x="75"/>
        <item h="1" x="84"/>
        <item h="1" x="101"/>
        <item h="1" x="178"/>
        <item h="1" x="145"/>
        <item h="1" x="219"/>
        <item h="1" x="50"/>
        <item h="1" x="270"/>
        <item h="1" x="123"/>
        <item h="1" x="164"/>
        <item h="1" x="79"/>
        <item h="1" x="200"/>
        <item h="1" x="182"/>
        <item h="1" x="264"/>
        <item h="1" x="152"/>
        <item h="1" x="208"/>
        <item h="1" x="193"/>
        <item h="1" x="278"/>
        <item h="1" x="263"/>
        <item h="1" x="63"/>
        <item h="1" x="174"/>
        <item h="1" x="89"/>
        <item h="1" x="16"/>
        <item h="1" x="265"/>
        <item h="1" x="160"/>
        <item h="1" x="49"/>
        <item h="1" x="15"/>
        <item h="1" x="237"/>
        <item h="1" x="186"/>
        <item h="1" x="240"/>
        <item h="1" x="259"/>
        <item h="1" x="19"/>
        <item h="1" x="62"/>
        <item h="1" x="114"/>
        <item h="1" x="239"/>
        <item h="1" x="157"/>
        <item h="1" x="227"/>
        <item h="1" x="148"/>
        <item h="1" x="277"/>
        <item h="1" x="272"/>
        <item h="1" x="69"/>
        <item h="1" x="243"/>
        <item h="1" x="280"/>
        <item h="1" x="246"/>
        <item h="1" x="271"/>
        <item h="1" x="274"/>
        <item h="1" x="222"/>
        <item h="1" x="76"/>
        <item h="1" x="23"/>
        <item h="1" x="211"/>
        <item h="1" x="29"/>
        <item h="1" x="196"/>
        <item h="1" x="190"/>
        <item h="1" x="156"/>
        <item h="1" x="107"/>
        <item h="1" x="95"/>
        <item h="1" x="205"/>
        <item h="1" x="236"/>
        <item h="1" x="258"/>
        <item h="1" x="180"/>
        <item h="1" x="192"/>
        <item h="1" x="91"/>
        <item h="1" x="169"/>
        <item h="1" x="90"/>
        <item h="1" x="176"/>
        <item h="1" x="215"/>
        <item h="1" x="238"/>
        <item h="1" x="155"/>
        <item h="1" x="262"/>
        <item h="1" x="130"/>
        <item h="1" x="273"/>
        <item h="1" x="8"/>
        <item h="1" x="86"/>
        <item h="1" x="248"/>
        <item h="1" x="139"/>
        <item h="1" x="235"/>
        <item h="1" x="137"/>
        <item h="1" x="220"/>
        <item h="1" x="120"/>
        <item h="1" x="177"/>
        <item h="1" x="201"/>
        <item h="1" x="194"/>
        <item h="1" x="115"/>
        <item h="1" x="1"/>
        <item h="1" x="231"/>
        <item h="1" x="282"/>
        <item h="1" x="279"/>
        <item h="1" x="283"/>
        <item t="default"/>
      </items>
    </pivotField>
    <pivotField dataField="1" showAll="0"/>
    <pivotField showAll="0"/>
    <pivotField showAll="0">
      <items count="428">
        <item x="157"/>
        <item x="393"/>
        <item x="195"/>
        <item x="347"/>
        <item x="223"/>
        <item x="329"/>
        <item x="18"/>
        <item x="367"/>
        <item x="377"/>
        <item x="128"/>
        <item x="392"/>
        <item x="8"/>
        <item x="299"/>
        <item x="351"/>
        <item x="61"/>
        <item x="397"/>
        <item x="183"/>
        <item x="208"/>
        <item x="418"/>
        <item x="57"/>
        <item x="363"/>
        <item x="417"/>
        <item x="341"/>
        <item x="248"/>
        <item x="154"/>
        <item x="407"/>
        <item x="21"/>
        <item x="190"/>
        <item x="221"/>
        <item x="47"/>
        <item x="15"/>
        <item x="220"/>
        <item x="228"/>
        <item x="24"/>
        <item x="165"/>
        <item x="227"/>
        <item x="380"/>
        <item x="23"/>
        <item x="229"/>
        <item x="394"/>
        <item x="110"/>
        <item x="302"/>
        <item x="101"/>
        <item x="286"/>
        <item x="143"/>
        <item x="163"/>
        <item x="42"/>
        <item x="39"/>
        <item x="58"/>
        <item x="339"/>
        <item x="94"/>
        <item x="323"/>
        <item x="63"/>
        <item x="64"/>
        <item x="162"/>
        <item x="342"/>
        <item x="120"/>
        <item x="25"/>
        <item x="222"/>
        <item x="36"/>
        <item x="147"/>
        <item x="201"/>
        <item x="312"/>
        <item x="22"/>
        <item x="12"/>
        <item x="105"/>
        <item x="383"/>
        <item x="166"/>
        <item x="78"/>
        <item x="257"/>
        <item x="308"/>
        <item x="160"/>
        <item x="386"/>
        <item x="111"/>
        <item x="300"/>
        <item x="261"/>
        <item x="123"/>
        <item x="242"/>
        <item x="423"/>
        <item x="137"/>
        <item x="136"/>
        <item x="424"/>
        <item x="269"/>
        <item x="234"/>
        <item x="4"/>
        <item x="210"/>
        <item x="360"/>
        <item x="243"/>
        <item x="365"/>
        <item x="158"/>
        <item x="189"/>
        <item x="89"/>
        <item x="275"/>
        <item x="119"/>
        <item x="353"/>
        <item x="421"/>
        <item x="290"/>
        <item x="376"/>
        <item x="349"/>
        <item x="313"/>
        <item x="179"/>
        <item x="297"/>
        <item x="235"/>
        <item x="259"/>
        <item x="28"/>
        <item x="279"/>
        <item x="240"/>
        <item x="98"/>
        <item x="118"/>
        <item x="43"/>
        <item x="368"/>
        <item x="344"/>
        <item x="132"/>
        <item x="398"/>
        <item x="276"/>
        <item x="250"/>
        <item x="191"/>
        <item x="362"/>
        <item x="54"/>
        <item x="314"/>
        <item x="192"/>
        <item x="294"/>
        <item x="389"/>
        <item x="372"/>
        <item x="232"/>
        <item x="320"/>
        <item x="354"/>
        <item x="244"/>
        <item x="72"/>
        <item x="38"/>
        <item x="187"/>
        <item x="236"/>
        <item x="238"/>
        <item x="406"/>
        <item x="322"/>
        <item x="419"/>
        <item x="283"/>
        <item x="420"/>
        <item x="264"/>
        <item x="26"/>
        <item x="14"/>
        <item x="75"/>
        <item x="176"/>
        <item x="304"/>
        <item x="241"/>
        <item x="87"/>
        <item x="144"/>
        <item x="337"/>
        <item x="56"/>
        <item x="211"/>
        <item x="74"/>
        <item x="409"/>
        <item x="66"/>
        <item x="214"/>
        <item x="251"/>
        <item x="197"/>
        <item x="369"/>
        <item x="153"/>
        <item x="215"/>
        <item x="173"/>
        <item x="156"/>
        <item x="346"/>
        <item x="230"/>
        <item x="52"/>
        <item x="90"/>
        <item x="106"/>
        <item x="318"/>
        <item x="218"/>
        <item x="321"/>
        <item x="168"/>
        <item x="374"/>
        <item x="7"/>
        <item x="121"/>
        <item x="410"/>
        <item x="2"/>
        <item x="112"/>
        <item x="103"/>
        <item x="425"/>
        <item x="194"/>
        <item x="127"/>
        <item x="399"/>
        <item x="71"/>
        <item x="35"/>
        <item x="225"/>
        <item x="404"/>
        <item x="224"/>
        <item x="131"/>
        <item x="199"/>
        <item x="16"/>
        <item x="330"/>
        <item x="319"/>
        <item x="142"/>
        <item x="422"/>
        <item x="81"/>
        <item x="402"/>
        <item x="385"/>
        <item x="0"/>
        <item x="32"/>
        <item x="95"/>
        <item x="69"/>
        <item x="200"/>
        <item x="345"/>
        <item x="254"/>
        <item x="328"/>
        <item x="348"/>
        <item x="384"/>
        <item x="358"/>
        <item x="93"/>
        <item x="370"/>
        <item x="379"/>
        <item x="292"/>
        <item x="414"/>
        <item x="33"/>
        <item x="289"/>
        <item x="411"/>
        <item x="284"/>
        <item x="213"/>
        <item x="45"/>
        <item x="246"/>
        <item x="332"/>
        <item x="115"/>
        <item x="305"/>
        <item x="262"/>
        <item x="11"/>
        <item x="27"/>
        <item x="396"/>
        <item x="327"/>
        <item x="50"/>
        <item x="219"/>
        <item x="247"/>
        <item x="216"/>
        <item x="366"/>
        <item x="412"/>
        <item x="80"/>
        <item x="122"/>
        <item x="138"/>
        <item x="325"/>
        <item x="303"/>
        <item x="287"/>
        <item x="175"/>
        <item x="188"/>
        <item x="51"/>
        <item x="85"/>
        <item x="20"/>
        <item x="274"/>
        <item x="317"/>
        <item x="180"/>
        <item x="209"/>
        <item x="109"/>
        <item x="202"/>
        <item x="400"/>
        <item x="293"/>
        <item x="373"/>
        <item x="260"/>
        <item x="226"/>
        <item x="141"/>
        <item x="133"/>
        <item x="40"/>
        <item x="282"/>
        <item x="324"/>
        <item x="273"/>
        <item x="55"/>
        <item x="9"/>
        <item x="155"/>
        <item x="255"/>
        <item x="390"/>
        <item x="315"/>
        <item x="309"/>
        <item x="331"/>
        <item x="381"/>
        <item x="178"/>
        <item x="395"/>
        <item x="388"/>
        <item x="5"/>
        <item x="17"/>
        <item x="277"/>
        <item x="296"/>
        <item x="3"/>
        <item x="285"/>
        <item x="164"/>
        <item x="231"/>
        <item x="172"/>
        <item x="44"/>
        <item x="181"/>
        <item x="107"/>
        <item x="1"/>
        <item x="68"/>
        <item x="361"/>
        <item x="415"/>
        <item x="326"/>
        <item x="252"/>
        <item x="140"/>
        <item x="401"/>
        <item x="334"/>
        <item x="217"/>
        <item x="270"/>
        <item x="310"/>
        <item x="152"/>
        <item x="298"/>
        <item x="265"/>
        <item x="99"/>
        <item x="130"/>
        <item x="97"/>
        <item x="198"/>
        <item x="13"/>
        <item x="53"/>
        <item x="378"/>
        <item x="413"/>
        <item x="126"/>
        <item x="100"/>
        <item x="307"/>
        <item x="145"/>
        <item x="343"/>
        <item x="177"/>
        <item x="306"/>
        <item x="340"/>
        <item x="204"/>
        <item x="117"/>
        <item x="207"/>
        <item x="403"/>
        <item x="371"/>
        <item x="295"/>
        <item x="245"/>
        <item x="271"/>
        <item x="281"/>
        <item x="83"/>
        <item x="316"/>
        <item x="350"/>
        <item x="239"/>
        <item x="391"/>
        <item x="212"/>
        <item x="171"/>
        <item x="19"/>
        <item x="29"/>
        <item x="88"/>
        <item x="86"/>
        <item x="266"/>
        <item x="146"/>
        <item x="134"/>
        <item x="280"/>
        <item x="256"/>
        <item x="364"/>
        <item x="268"/>
        <item x="77"/>
        <item x="193"/>
        <item x="338"/>
        <item x="30"/>
        <item x="48"/>
        <item x="46"/>
        <item x="159"/>
        <item x="387"/>
        <item x="82"/>
        <item x="272"/>
        <item x="170"/>
        <item x="263"/>
        <item x="288"/>
        <item x="203"/>
        <item x="237"/>
        <item x="10"/>
        <item x="129"/>
        <item x="148"/>
        <item x="102"/>
        <item x="186"/>
        <item x="311"/>
        <item x="249"/>
        <item x="96"/>
        <item x="125"/>
        <item x="405"/>
        <item x="352"/>
        <item x="31"/>
        <item x="169"/>
        <item x="84"/>
        <item x="41"/>
        <item x="91"/>
        <item x="382"/>
        <item x="205"/>
        <item x="206"/>
        <item x="359"/>
        <item x="416"/>
        <item x="336"/>
        <item x="291"/>
        <item x="185"/>
        <item x="139"/>
        <item x="278"/>
        <item x="167"/>
        <item x="79"/>
        <item x="253"/>
        <item x="135"/>
        <item x="116"/>
        <item x="73"/>
        <item x="62"/>
        <item x="161"/>
        <item x="335"/>
        <item x="196"/>
        <item x="149"/>
        <item x="92"/>
        <item x="182"/>
        <item x="37"/>
        <item x="6"/>
        <item x="124"/>
        <item x="65"/>
        <item x="355"/>
        <item x="356"/>
        <item x="67"/>
        <item x="258"/>
        <item x="357"/>
        <item x="408"/>
        <item x="108"/>
        <item x="333"/>
        <item x="60"/>
        <item x="174"/>
        <item x="150"/>
        <item x="375"/>
        <item x="151"/>
        <item x="76"/>
        <item x="113"/>
        <item x="184"/>
        <item x="267"/>
        <item x="70"/>
        <item x="114"/>
        <item x="34"/>
        <item x="301"/>
        <item x="104"/>
        <item x="59"/>
        <item x="49"/>
        <item x="233"/>
        <item x="4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5">
    <i>
      <x/>
    </i>
    <i>
      <x v="3"/>
    </i>
    <i>
      <x v="4"/>
    </i>
    <i>
      <x v="5"/>
    </i>
    <i t="grand">
      <x/>
    </i>
  </rowItems>
  <colItems count="1">
    <i/>
  </colItems>
  <dataFields count="1">
    <dataField name="Sum of Viewership" fld="7"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2319F5-9492-4BCB-95C5-3A31F95725E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3" firstHeaderRow="1" firstDataRow="1" firstDataCol="1"/>
  <pivotFields count="25">
    <pivotField showAll="0"/>
    <pivotField showAll="0">
      <items count="5">
        <item x="2"/>
        <item x="0"/>
        <item x="1"/>
        <item x="3"/>
        <item t="default"/>
      </items>
    </pivotField>
    <pivotField axis="axisRow" showAll="0">
      <items count="11">
        <item x="6"/>
        <item x="1"/>
        <item x="5"/>
        <item x="4"/>
        <item x="8"/>
        <item x="7"/>
        <item x="3"/>
        <item x="2"/>
        <item x="0"/>
        <item x="9"/>
        <item t="default"/>
      </items>
    </pivotField>
    <pivotField showAll="0">
      <items count="79">
        <item x="45"/>
        <item x="76"/>
        <item x="0"/>
        <item x="22"/>
        <item x="4"/>
        <item x="14"/>
        <item x="15"/>
        <item x="44"/>
        <item x="35"/>
        <item x="53"/>
        <item x="72"/>
        <item x="36"/>
        <item x="16"/>
        <item x="21"/>
        <item x="3"/>
        <item x="62"/>
        <item x="51"/>
        <item x="61"/>
        <item x="26"/>
        <item x="13"/>
        <item x="57"/>
        <item x="69"/>
        <item x="28"/>
        <item x="46"/>
        <item x="63"/>
        <item x="71"/>
        <item x="47"/>
        <item x="37"/>
        <item x="18"/>
        <item x="70"/>
        <item x="59"/>
        <item x="32"/>
        <item x="33"/>
        <item x="48"/>
        <item x="25"/>
        <item x="11"/>
        <item x="50"/>
        <item x="7"/>
        <item x="5"/>
        <item x="58"/>
        <item x="68"/>
        <item x="55"/>
        <item x="39"/>
        <item x="34"/>
        <item x="29"/>
        <item x="17"/>
        <item x="54"/>
        <item x="66"/>
        <item x="52"/>
        <item x="9"/>
        <item x="31"/>
        <item x="74"/>
        <item x="10"/>
        <item x="73"/>
        <item x="65"/>
        <item x="38"/>
        <item x="67"/>
        <item x="75"/>
        <item x="42"/>
        <item x="6"/>
        <item x="23"/>
        <item x="64"/>
        <item x="27"/>
        <item x="12"/>
        <item x="43"/>
        <item x="56"/>
        <item x="30"/>
        <item x="40"/>
        <item x="2"/>
        <item x="1"/>
        <item x="19"/>
        <item x="41"/>
        <item x="8"/>
        <item x="60"/>
        <item x="49"/>
        <item x="20"/>
        <item x="24"/>
        <item x="77"/>
        <item t="default"/>
      </items>
    </pivotField>
    <pivotField showAll="0">
      <items count="428">
        <item x="237"/>
        <item x="222"/>
        <item x="70"/>
        <item x="74"/>
        <item x="45"/>
        <item x="187"/>
        <item x="276"/>
        <item x="406"/>
        <item x="316"/>
        <item x="12"/>
        <item x="131"/>
        <item x="211"/>
        <item x="140"/>
        <item x="87"/>
        <item x="423"/>
        <item x="251"/>
        <item x="360"/>
        <item x="138"/>
        <item x="179"/>
        <item x="236"/>
        <item x="54"/>
        <item x="175"/>
        <item x="48"/>
        <item x="178"/>
        <item x="403"/>
        <item x="120"/>
        <item x="253"/>
        <item x="144"/>
        <item x="94"/>
        <item x="370"/>
        <item x="358"/>
        <item x="6"/>
        <item x="112"/>
        <item x="286"/>
        <item x="149"/>
        <item x="19"/>
        <item x="395"/>
        <item x="10"/>
        <item x="361"/>
        <item x="49"/>
        <item x="40"/>
        <item x="259"/>
        <item x="311"/>
        <item x="166"/>
        <item x="119"/>
        <item x="186"/>
        <item x="154"/>
        <item x="292"/>
        <item x="245"/>
        <item x="142"/>
        <item x="99"/>
        <item x="297"/>
        <item x="111"/>
        <item x="92"/>
        <item x="223"/>
        <item x="261"/>
        <item x="31"/>
        <item x="408"/>
        <item x="351"/>
        <item x="181"/>
        <item x="86"/>
        <item x="266"/>
        <item x="206"/>
        <item x="326"/>
        <item x="235"/>
        <item x="169"/>
        <item x="366"/>
        <item x="411"/>
        <item x="398"/>
        <item x="371"/>
        <item x="301"/>
        <item x="304"/>
        <item x="190"/>
        <item x="65"/>
        <item x="90"/>
        <item x="240"/>
        <item x="230"/>
        <item x="201"/>
        <item x="367"/>
        <item x="115"/>
        <item x="388"/>
        <item x="191"/>
        <item x="78"/>
        <item x="80"/>
        <item x="69"/>
        <item x="156"/>
        <item x="285"/>
        <item x="347"/>
        <item x="79"/>
        <item x="101"/>
        <item x="372"/>
        <item x="41"/>
        <item x="207"/>
        <item x="212"/>
        <item x="17"/>
        <item x="202"/>
        <item x="244"/>
        <item x="345"/>
        <item x="277"/>
        <item x="221"/>
        <item x="114"/>
        <item x="81"/>
        <item x="323"/>
        <item x="96"/>
        <item x="275"/>
        <item x="384"/>
        <item x="76"/>
        <item x="55"/>
        <item x="256"/>
        <item x="409"/>
        <item x="130"/>
        <item x="50"/>
        <item x="322"/>
        <item x="313"/>
        <item x="151"/>
        <item x="296"/>
        <item x="56"/>
        <item x="3"/>
        <item x="402"/>
        <item x="263"/>
        <item x="280"/>
        <item x="255"/>
        <item x="34"/>
        <item x="289"/>
        <item x="91"/>
        <item x="60"/>
        <item x="146"/>
        <item x="273"/>
        <item x="133"/>
        <item x="412"/>
        <item x="331"/>
        <item x="213"/>
        <item x="389"/>
        <item x="233"/>
        <item x="113"/>
        <item x="128"/>
        <item x="127"/>
        <item x="189"/>
        <item x="152"/>
        <item x="62"/>
        <item x="33"/>
        <item x="216"/>
        <item x="164"/>
        <item x="278"/>
        <item x="13"/>
        <item x="265"/>
        <item x="139"/>
        <item x="57"/>
        <item x="25"/>
        <item x="282"/>
        <item x="365"/>
        <item x="225"/>
        <item x="95"/>
        <item x="396"/>
        <item x="83"/>
        <item x="386"/>
        <item x="132"/>
        <item x="294"/>
        <item x="209"/>
        <item x="185"/>
        <item x="378"/>
        <item x="248"/>
        <item x="84"/>
        <item x="287"/>
        <item x="197"/>
        <item x="399"/>
        <item x="126"/>
        <item x="332"/>
        <item x="184"/>
        <item x="116"/>
        <item x="238"/>
        <item x="377"/>
        <item x="232"/>
        <item x="51"/>
        <item x="158"/>
        <item x="136"/>
        <item x="330"/>
        <item x="254"/>
        <item x="77"/>
        <item x="153"/>
        <item x="217"/>
        <item x="274"/>
        <item x="218"/>
        <item x="407"/>
        <item x="68"/>
        <item x="320"/>
        <item x="410"/>
        <item x="290"/>
        <item x="264"/>
        <item x="418"/>
        <item x="177"/>
        <item x="306"/>
        <item x="269"/>
        <item x="228"/>
        <item x="27"/>
        <item x="328"/>
        <item x="11"/>
        <item x="129"/>
        <item x="252"/>
        <item x="392"/>
        <item x="376"/>
        <item x="342"/>
        <item x="36"/>
        <item x="268"/>
        <item x="47"/>
        <item x="302"/>
        <item x="239"/>
        <item x="38"/>
        <item x="171"/>
        <item x="341"/>
        <item x="29"/>
        <item x="281"/>
        <item x="145"/>
        <item x="243"/>
        <item x="135"/>
        <item x="401"/>
        <item x="162"/>
        <item x="318"/>
        <item x="283"/>
        <item x="9"/>
        <item x="102"/>
        <item x="172"/>
        <item x="215"/>
        <item x="299"/>
        <item x="303"/>
        <item x="344"/>
        <item x="21"/>
        <item x="363"/>
        <item x="272"/>
        <item x="271"/>
        <item x="393"/>
        <item x="109"/>
        <item x="26"/>
        <item x="339"/>
        <item x="118"/>
        <item x="307"/>
        <item x="73"/>
        <item x="305"/>
        <item x="241"/>
        <item x="104"/>
        <item x="246"/>
        <item x="66"/>
        <item x="258"/>
        <item x="362"/>
        <item x="58"/>
        <item x="352"/>
        <item x="203"/>
        <item x="424"/>
        <item x="20"/>
        <item x="117"/>
        <item x="134"/>
        <item x="188"/>
        <item x="15"/>
        <item x="364"/>
        <item x="381"/>
        <item x="387"/>
        <item x="98"/>
        <item x="300"/>
        <item x="373"/>
        <item x="160"/>
        <item x="317"/>
        <item x="174"/>
        <item x="23"/>
        <item x="405"/>
        <item x="298"/>
        <item x="125"/>
        <item x="284"/>
        <item x="334"/>
        <item x="226"/>
        <item x="85"/>
        <item x="14"/>
        <item x="291"/>
        <item x="321"/>
        <item x="394"/>
        <item x="308"/>
        <item x="309"/>
        <item x="147"/>
        <item x="137"/>
        <item x="122"/>
        <item x="325"/>
        <item x="167"/>
        <item x="343"/>
        <item x="159"/>
        <item x="32"/>
        <item x="267"/>
        <item x="417"/>
        <item x="89"/>
        <item x="349"/>
        <item x="319"/>
        <item x="196"/>
        <item x="22"/>
        <item x="356"/>
        <item x="333"/>
        <item x="121"/>
        <item x="422"/>
        <item x="385"/>
        <item x="250"/>
        <item x="170"/>
        <item x="71"/>
        <item x="123"/>
        <item x="143"/>
        <item x="257"/>
        <item x="67"/>
        <item x="279"/>
        <item x="234"/>
        <item x="224"/>
        <item x="338"/>
        <item x="16"/>
        <item x="200"/>
        <item x="30"/>
        <item x="416"/>
        <item x="346"/>
        <item x="421"/>
        <item x="242"/>
        <item x="82"/>
        <item x="374"/>
        <item x="260"/>
        <item x="5"/>
        <item x="340"/>
        <item x="61"/>
        <item x="161"/>
        <item x="288"/>
        <item x="383"/>
        <item x="391"/>
        <item x="100"/>
        <item x="419"/>
        <item x="97"/>
        <item x="105"/>
        <item x="4"/>
        <item x="293"/>
        <item x="354"/>
        <item x="148"/>
        <item x="72"/>
        <item x="53"/>
        <item x="337"/>
        <item x="63"/>
        <item x="229"/>
        <item x="150"/>
        <item x="420"/>
        <item x="199"/>
        <item x="182"/>
        <item x="231"/>
        <item x="249"/>
        <item x="227"/>
        <item x="39"/>
        <item x="348"/>
        <item x="8"/>
        <item x="219"/>
        <item x="359"/>
        <item x="400"/>
        <item x="368"/>
        <item x="314"/>
        <item x="42"/>
        <item x="108"/>
        <item x="247"/>
        <item x="327"/>
        <item x="7"/>
        <item x="155"/>
        <item x="413"/>
        <item x="369"/>
        <item x="414"/>
        <item x="397"/>
        <item x="220"/>
        <item x="18"/>
        <item x="329"/>
        <item x="205"/>
        <item x="35"/>
        <item x="124"/>
        <item x="195"/>
        <item x="28"/>
        <item x="1"/>
        <item x="44"/>
        <item x="357"/>
        <item x="46"/>
        <item x="404"/>
        <item x="390"/>
        <item x="52"/>
        <item x="262"/>
        <item x="180"/>
        <item x="355"/>
        <item x="173"/>
        <item x="103"/>
        <item x="353"/>
        <item x="310"/>
        <item x="194"/>
        <item x="37"/>
        <item x="157"/>
        <item x="165"/>
        <item x="379"/>
        <item x="270"/>
        <item x="163"/>
        <item x="210"/>
        <item x="168"/>
        <item x="208"/>
        <item x="193"/>
        <item x="88"/>
        <item x="107"/>
        <item x="75"/>
        <item x="183"/>
        <item x="106"/>
        <item x="214"/>
        <item x="24"/>
        <item x="415"/>
        <item x="64"/>
        <item x="425"/>
        <item x="295"/>
        <item x="93"/>
        <item x="336"/>
        <item x="198"/>
        <item x="141"/>
        <item x="192"/>
        <item x="204"/>
        <item x="350"/>
        <item x="335"/>
        <item x="315"/>
        <item x="324"/>
        <item x="2"/>
        <item x="380"/>
        <item x="59"/>
        <item x="312"/>
        <item x="375"/>
        <item x="110"/>
        <item x="176"/>
        <item x="382"/>
        <item x="43"/>
        <item x="0"/>
        <item x="426"/>
        <item t="default"/>
      </items>
    </pivotField>
    <pivotField showAll="0">
      <items count="9">
        <item h="1" x="2"/>
        <item h="1" x="5"/>
        <item h="1" x="4"/>
        <item x="6"/>
        <item h="1" x="0"/>
        <item h="1" x="1"/>
        <item h="1" x="3"/>
        <item h="1" x="7"/>
        <item t="default"/>
      </items>
    </pivotField>
    <pivotField showAll="0">
      <items count="285">
        <item x="250"/>
        <item x="144"/>
        <item x="253"/>
        <item x="104"/>
        <item x="51"/>
        <item x="22"/>
        <item x="30"/>
        <item x="70"/>
        <item x="140"/>
        <item x="119"/>
        <item x="92"/>
        <item x="53"/>
        <item x="83"/>
        <item x="113"/>
        <item x="135"/>
        <item x="44"/>
        <item x="170"/>
        <item x="97"/>
        <item x="204"/>
        <item x="103"/>
        <item x="163"/>
        <item x="187"/>
        <item x="214"/>
        <item x="158"/>
        <item x="242"/>
        <item x="80"/>
        <item x="4"/>
        <item x="117"/>
        <item x="116"/>
        <item x="209"/>
        <item x="43"/>
        <item x="56"/>
        <item x="74"/>
        <item x="221"/>
        <item x="216"/>
        <item x="146"/>
        <item x="34"/>
        <item x="48"/>
        <item x="229"/>
        <item x="94"/>
        <item x="12"/>
        <item x="251"/>
        <item x="202"/>
        <item x="60"/>
        <item x="66"/>
        <item x="185"/>
        <item x="27"/>
        <item x="129"/>
        <item x="59"/>
        <item x="39"/>
        <item x="6"/>
        <item x="133"/>
        <item x="189"/>
        <item x="13"/>
        <item x="35"/>
        <item x="82"/>
        <item x="102"/>
        <item x="165"/>
        <item x="10"/>
        <item x="121"/>
        <item x="58"/>
        <item x="191"/>
        <item x="17"/>
        <item x="71"/>
        <item x="128"/>
        <item x="198"/>
        <item x="61"/>
        <item x="244"/>
        <item x="175"/>
        <item x="131"/>
        <item x="0"/>
        <item x="100"/>
        <item x="85"/>
        <item x="5"/>
        <item x="153"/>
        <item x="134"/>
        <item x="269"/>
        <item x="159"/>
        <item x="181"/>
        <item x="125"/>
        <item x="138"/>
        <item x="67"/>
        <item x="213"/>
        <item x="228"/>
        <item x="126"/>
        <item x="11"/>
        <item x="42"/>
        <item x="46"/>
        <item x="38"/>
        <item x="20"/>
        <item x="111"/>
        <item x="25"/>
        <item x="55"/>
        <item x="230"/>
        <item x="179"/>
        <item x="26"/>
        <item x="224"/>
        <item x="207"/>
        <item x="32"/>
        <item x="64"/>
        <item x="9"/>
        <item x="172"/>
        <item x="188"/>
        <item x="47"/>
        <item x="217"/>
        <item x="99"/>
        <item x="31"/>
        <item x="183"/>
        <item x="171"/>
        <item x="108"/>
        <item x="105"/>
        <item x="36"/>
        <item x="2"/>
        <item x="77"/>
        <item x="109"/>
        <item x="136"/>
        <item x="276"/>
        <item x="255"/>
        <item x="73"/>
        <item x="124"/>
        <item x="98"/>
        <item x="28"/>
        <item x="143"/>
        <item x="112"/>
        <item x="142"/>
        <item x="96"/>
        <item x="110"/>
        <item x="72"/>
        <item x="52"/>
        <item x="24"/>
        <item x="21"/>
        <item x="150"/>
        <item x="18"/>
        <item x="57"/>
        <item x="45"/>
        <item x="232"/>
        <item x="162"/>
        <item x="68"/>
        <item x="197"/>
        <item x="225"/>
        <item x="78"/>
        <item x="199"/>
        <item x="118"/>
        <item x="234"/>
        <item x="7"/>
        <item x="210"/>
        <item x="252"/>
        <item x="88"/>
        <item x="14"/>
        <item x="260"/>
        <item x="195"/>
        <item x="257"/>
        <item x="147"/>
        <item x="184"/>
        <item x="266"/>
        <item x="267"/>
        <item x="241"/>
        <item x="168"/>
        <item x="218"/>
        <item x="141"/>
        <item x="261"/>
        <item x="226"/>
        <item x="33"/>
        <item x="37"/>
        <item x="268"/>
        <item x="173"/>
        <item x="122"/>
        <item x="149"/>
        <item x="151"/>
        <item x="212"/>
        <item x="41"/>
        <item x="132"/>
        <item x="93"/>
        <item x="127"/>
        <item x="166"/>
        <item x="65"/>
        <item x="3"/>
        <item x="203"/>
        <item x="154"/>
        <item x="106"/>
        <item x="249"/>
        <item x="281"/>
        <item x="40"/>
        <item x="223"/>
        <item x="54"/>
        <item x="247"/>
        <item x="87"/>
        <item x="161"/>
        <item x="167"/>
        <item x="256"/>
        <item x="233"/>
        <item x="275"/>
        <item x="254"/>
        <item x="81"/>
        <item x="245"/>
        <item x="206"/>
        <item x="75"/>
        <item x="84"/>
        <item x="101"/>
        <item x="178"/>
        <item x="145"/>
        <item x="219"/>
        <item x="50"/>
        <item x="270"/>
        <item x="123"/>
        <item x="164"/>
        <item x="79"/>
        <item x="200"/>
        <item x="182"/>
        <item x="264"/>
        <item x="152"/>
        <item x="208"/>
        <item x="193"/>
        <item x="278"/>
        <item x="263"/>
        <item x="63"/>
        <item x="174"/>
        <item x="89"/>
        <item x="16"/>
        <item x="265"/>
        <item x="160"/>
        <item x="49"/>
        <item x="15"/>
        <item x="237"/>
        <item x="186"/>
        <item x="240"/>
        <item x="259"/>
        <item x="19"/>
        <item x="62"/>
        <item x="114"/>
        <item x="239"/>
        <item x="157"/>
        <item x="227"/>
        <item x="148"/>
        <item x="277"/>
        <item x="272"/>
        <item x="69"/>
        <item x="243"/>
        <item x="280"/>
        <item x="246"/>
        <item x="271"/>
        <item x="274"/>
        <item x="222"/>
        <item x="76"/>
        <item x="23"/>
        <item x="211"/>
        <item x="29"/>
        <item x="196"/>
        <item x="190"/>
        <item x="156"/>
        <item x="107"/>
        <item x="95"/>
        <item x="205"/>
        <item x="236"/>
        <item x="258"/>
        <item x="180"/>
        <item x="192"/>
        <item x="91"/>
        <item x="169"/>
        <item x="90"/>
        <item x="176"/>
        <item x="215"/>
        <item x="238"/>
        <item x="155"/>
        <item x="262"/>
        <item x="130"/>
        <item x="273"/>
        <item x="8"/>
        <item x="86"/>
        <item x="248"/>
        <item x="139"/>
        <item x="235"/>
        <item x="137"/>
        <item x="220"/>
        <item x="120"/>
        <item x="177"/>
        <item x="201"/>
        <item x="194"/>
        <item x="115"/>
        <item x="1"/>
        <item x="231"/>
        <item x="282"/>
        <item x="279"/>
        <item x="283"/>
        <item t="default"/>
      </items>
    </pivotField>
    <pivotField showAll="0">
      <items count="507">
        <item x="302"/>
        <item x="136"/>
        <item x="228"/>
        <item x="28"/>
        <item x="100"/>
        <item x="185"/>
        <item x="483"/>
        <item x="14"/>
        <item x="90"/>
        <item x="147"/>
        <item x="480"/>
        <item x="345"/>
        <item x="319"/>
        <item x="141"/>
        <item x="18"/>
        <item x="176"/>
        <item x="162"/>
        <item x="196"/>
        <item x="384"/>
        <item x="371"/>
        <item x="297"/>
        <item x="161"/>
        <item x="39"/>
        <item x="146"/>
        <item x="172"/>
        <item x="428"/>
        <item x="427"/>
        <item x="268"/>
        <item x="347"/>
        <item x="275"/>
        <item x="112"/>
        <item x="391"/>
        <item x="309"/>
        <item x="85"/>
        <item x="258"/>
        <item x="461"/>
        <item x="296"/>
        <item x="320"/>
        <item x="402"/>
        <item x="0"/>
        <item x="2"/>
        <item x="295"/>
        <item x="111"/>
        <item x="239"/>
        <item x="486"/>
        <item x="397"/>
        <item x="359"/>
        <item x="93"/>
        <item x="246"/>
        <item x="392"/>
        <item x="102"/>
        <item x="491"/>
        <item x="313"/>
        <item x="326"/>
        <item x="48"/>
        <item x="21"/>
        <item x="503"/>
        <item x="431"/>
        <item x="158"/>
        <item x="159"/>
        <item x="119"/>
        <item x="240"/>
        <item x="298"/>
        <item x="4"/>
        <item x="259"/>
        <item x="306"/>
        <item x="150"/>
        <item x="406"/>
        <item x="433"/>
        <item x="367"/>
        <item x="304"/>
        <item x="375"/>
        <item x="504"/>
        <item x="84"/>
        <item x="149"/>
        <item x="114"/>
        <item x="399"/>
        <item x="237"/>
        <item x="459"/>
        <item x="144"/>
        <item x="19"/>
        <item x="242"/>
        <item x="336"/>
        <item x="395"/>
        <item x="288"/>
        <item x="29"/>
        <item x="499"/>
        <item x="251"/>
        <item x="457"/>
        <item x="133"/>
        <item x="77"/>
        <item x="273"/>
        <item x="82"/>
        <item x="354"/>
        <item x="76"/>
        <item x="195"/>
        <item x="366"/>
        <item x="472"/>
        <item x="130"/>
        <item x="344"/>
        <item x="227"/>
        <item x="205"/>
        <item x="106"/>
        <item x="26"/>
        <item x="232"/>
        <item x="462"/>
        <item x="490"/>
        <item x="129"/>
        <item x="59"/>
        <item x="148"/>
        <item x="327"/>
        <item x="410"/>
        <item x="65"/>
        <item x="398"/>
        <item x="75"/>
        <item x="300"/>
        <item x="274"/>
        <item x="465"/>
        <item x="355"/>
        <item x="31"/>
        <item x="426"/>
        <item x="305"/>
        <item x="245"/>
        <item x="120"/>
        <item x="8"/>
        <item x="324"/>
        <item x="188"/>
        <item x="291"/>
        <item x="440"/>
        <item x="234"/>
        <item x="194"/>
        <item x="231"/>
        <item x="418"/>
        <item x="314"/>
        <item x="183"/>
        <item x="467"/>
        <item x="401"/>
        <item x="143"/>
        <item x="411"/>
        <item x="374"/>
        <item x="376"/>
        <item x="358"/>
        <item x="47"/>
        <item x="54"/>
        <item x="167"/>
        <item x="58"/>
        <item x="492"/>
        <item x="157"/>
        <item x="42"/>
        <item x="495"/>
        <item x="464"/>
        <item x="403"/>
        <item x="269"/>
        <item x="197"/>
        <item x="79"/>
        <item x="473"/>
        <item x="496"/>
        <item x="73"/>
        <item x="186"/>
        <item x="61"/>
        <item x="373"/>
        <item x="116"/>
        <item x="53"/>
        <item x="45"/>
        <item x="380"/>
        <item x="430"/>
        <item x="368"/>
        <item x="230"/>
        <item x="247"/>
        <item x="226"/>
        <item x="110"/>
        <item x="223"/>
        <item x="145"/>
        <item x="253"/>
        <item x="16"/>
        <item x="445"/>
        <item x="281"/>
        <item x="379"/>
        <item x="301"/>
        <item x="30"/>
        <item x="20"/>
        <item x="329"/>
        <item x="311"/>
        <item x="9"/>
        <item x="425"/>
        <item x="293"/>
        <item x="484"/>
        <item x="413"/>
        <item x="318"/>
        <item x="422"/>
        <item x="70"/>
        <item x="383"/>
        <item x="493"/>
        <item x="446"/>
        <item x="267"/>
        <item x="278"/>
        <item x="107"/>
        <item x="303"/>
        <item x="351"/>
        <item x="52"/>
        <item x="178"/>
        <item x="341"/>
        <item x="229"/>
        <item x="349"/>
        <item x="220"/>
        <item x="412"/>
        <item x="335"/>
        <item x="370"/>
        <item x="448"/>
        <item x="470"/>
        <item x="437"/>
        <item x="104"/>
        <item x="322"/>
        <item x="332"/>
        <item x="215"/>
        <item x="87"/>
        <item x="501"/>
        <item x="456"/>
        <item x="98"/>
        <item x="451"/>
        <item x="369"/>
        <item x="390"/>
        <item x="475"/>
        <item x="166"/>
        <item x="192"/>
        <item x="182"/>
        <item x="286"/>
        <item x="388"/>
        <item x="257"/>
        <item x="409"/>
        <item x="262"/>
        <item x="222"/>
        <item x="417"/>
        <item x="108"/>
        <item x="346"/>
        <item x="477"/>
        <item x="23"/>
        <item x="193"/>
        <item x="121"/>
        <item x="435"/>
        <item x="34"/>
        <item x="357"/>
        <item x="180"/>
        <item x="233"/>
        <item x="265"/>
        <item x="38"/>
        <item x="60"/>
        <item x="405"/>
        <item x="276"/>
        <item x="264"/>
        <item x="3"/>
        <item x="125"/>
        <item x="13"/>
        <item x="67"/>
        <item x="312"/>
        <item x="353"/>
        <item x="256"/>
        <item x="94"/>
        <item x="168"/>
        <item x="310"/>
        <item x="289"/>
        <item x="447"/>
        <item x="51"/>
        <item x="218"/>
        <item x="17"/>
        <item x="49"/>
        <item x="463"/>
        <item x="339"/>
        <item x="331"/>
        <item x="284"/>
        <item x="124"/>
        <item x="43"/>
        <item x="449"/>
        <item x="127"/>
        <item x="179"/>
        <item x="36"/>
        <item x="69"/>
        <item x="487"/>
        <item x="203"/>
        <item x="22"/>
        <item x="88"/>
        <item x="225"/>
        <item x="126"/>
        <item x="117"/>
        <item x="202"/>
        <item x="350"/>
        <item x="113"/>
        <item x="40"/>
        <item x="6"/>
        <item x="439"/>
        <item x="299"/>
        <item x="212"/>
        <item x="140"/>
        <item x="385"/>
        <item x="321"/>
        <item x="261"/>
        <item x="248"/>
        <item x="137"/>
        <item x="325"/>
        <item x="235"/>
        <item x="10"/>
        <item x="135"/>
        <item x="404"/>
        <item x="169"/>
        <item x="57"/>
        <item x="190"/>
        <item x="50"/>
        <item x="138"/>
        <item x="243"/>
        <item x="469"/>
        <item x="1"/>
        <item x="434"/>
        <item x="500"/>
        <item x="152"/>
        <item x="95"/>
        <item x="128"/>
        <item x="338"/>
        <item x="27"/>
        <item x="221"/>
        <item x="97"/>
        <item x="56"/>
        <item x="334"/>
        <item x="132"/>
        <item x="154"/>
        <item x="83"/>
        <item x="488"/>
        <item x="96"/>
        <item x="41"/>
        <item x="184"/>
        <item x="32"/>
        <item x="282"/>
        <item x="455"/>
        <item x="466"/>
        <item x="213"/>
        <item x="381"/>
        <item x="387"/>
        <item x="378"/>
        <item x="170"/>
        <item x="175"/>
        <item x="330"/>
        <item x="432"/>
        <item x="163"/>
        <item x="80"/>
        <item x="420"/>
        <item x="160"/>
        <item x="453"/>
        <item x="424"/>
        <item x="62"/>
        <item x="416"/>
        <item x="219"/>
        <item x="249"/>
        <item x="109"/>
        <item x="199"/>
        <item x="468"/>
        <item x="153"/>
        <item x="238"/>
        <item x="429"/>
        <item x="450"/>
        <item x="333"/>
        <item x="139"/>
        <item x="33"/>
        <item x="481"/>
        <item x="189"/>
        <item x="37"/>
        <item x="317"/>
        <item x="15"/>
        <item x="362"/>
        <item x="254"/>
        <item x="290"/>
        <item x="89"/>
        <item x="78"/>
        <item x="270"/>
        <item x="308"/>
        <item x="118"/>
        <item x="99"/>
        <item x="101"/>
        <item x="328"/>
        <item x="164"/>
        <item x="165"/>
        <item x="255"/>
        <item x="442"/>
        <item x="198"/>
        <item x="436"/>
        <item x="348"/>
        <item x="377"/>
        <item x="11"/>
        <item x="479"/>
        <item x="452"/>
        <item x="241"/>
        <item x="35"/>
        <item x="91"/>
        <item x="458"/>
        <item x="408"/>
        <item x="444"/>
        <item x="498"/>
        <item x="454"/>
        <item x="389"/>
        <item x="115"/>
        <item x="279"/>
        <item x="66"/>
        <item x="208"/>
        <item x="187"/>
        <item x="156"/>
        <item x="294"/>
        <item x="485"/>
        <item x="283"/>
        <item x="460"/>
        <item x="209"/>
        <item x="471"/>
        <item x="217"/>
        <item x="103"/>
        <item x="200"/>
        <item x="72"/>
        <item x="131"/>
        <item x="44"/>
        <item x="216"/>
        <item x="142"/>
        <item x="476"/>
        <item x="74"/>
        <item x="315"/>
        <item x="92"/>
        <item x="244"/>
        <item x="407"/>
        <item x="280"/>
        <item x="263"/>
        <item x="204"/>
        <item x="63"/>
        <item x="364"/>
        <item x="236"/>
        <item x="337"/>
        <item x="342"/>
        <item x="365"/>
        <item x="323"/>
        <item x="177"/>
        <item x="287"/>
        <item x="71"/>
        <item x="414"/>
        <item x="494"/>
        <item x="478"/>
        <item x="386"/>
        <item x="7"/>
        <item x="155"/>
        <item x="24"/>
        <item x="423"/>
        <item x="396"/>
        <item x="363"/>
        <item x="191"/>
        <item x="361"/>
        <item x="292"/>
        <item x="502"/>
        <item x="55"/>
        <item x="400"/>
        <item x="260"/>
        <item x="171"/>
        <item x="122"/>
        <item x="181"/>
        <item x="252"/>
        <item x="360"/>
        <item x="394"/>
        <item x="224"/>
        <item x="272"/>
        <item x="201"/>
        <item x="271"/>
        <item x="372"/>
        <item x="307"/>
        <item x="497"/>
        <item x="382"/>
        <item x="474"/>
        <item x="421"/>
        <item x="214"/>
        <item x="441"/>
        <item x="123"/>
        <item x="343"/>
        <item x="46"/>
        <item x="443"/>
        <item x="206"/>
        <item x="210"/>
        <item x="340"/>
        <item x="352"/>
        <item x="64"/>
        <item x="105"/>
        <item x="174"/>
        <item x="25"/>
        <item x="81"/>
        <item x="266"/>
        <item x="151"/>
        <item x="12"/>
        <item x="419"/>
        <item x="316"/>
        <item x="415"/>
        <item x="173"/>
        <item x="68"/>
        <item x="86"/>
        <item x="393"/>
        <item x="356"/>
        <item x="482"/>
        <item x="5"/>
        <item x="285"/>
        <item x="489"/>
        <item x="211"/>
        <item x="207"/>
        <item x="438"/>
        <item x="277"/>
        <item x="134"/>
        <item x="250"/>
        <item x="505"/>
        <item t="default"/>
      </items>
    </pivotField>
    <pivotField showAll="0"/>
    <pivotField showAll="0"/>
    <pivotField showAll="0"/>
    <pivotField showAll="0"/>
    <pivotField showAll="0">
      <items count="4">
        <item x="1"/>
        <item x="0"/>
        <item x="2"/>
        <item t="default"/>
      </items>
    </pivotField>
    <pivotField showAll="0"/>
    <pivotField dataField="1" showAll="0"/>
    <pivotField showAll="0"/>
    <pivotField showAll="0"/>
    <pivotField showAll="0">
      <items count="43">
        <item x="3"/>
        <item x="1"/>
        <item x="21"/>
        <item x="8"/>
        <item x="38"/>
        <item x="40"/>
        <item x="24"/>
        <item x="0"/>
        <item x="30"/>
        <item x="32"/>
        <item x="5"/>
        <item x="9"/>
        <item x="20"/>
        <item x="11"/>
        <item x="37"/>
        <item x="23"/>
        <item x="18"/>
        <item x="29"/>
        <item x="25"/>
        <item x="12"/>
        <item x="2"/>
        <item x="13"/>
        <item x="7"/>
        <item x="33"/>
        <item x="22"/>
        <item x="14"/>
        <item x="31"/>
        <item x="16"/>
        <item x="28"/>
        <item x="35"/>
        <item x="39"/>
        <item x="17"/>
        <item x="27"/>
        <item x="4"/>
        <item x="34"/>
        <item x="26"/>
        <item x="19"/>
        <item x="36"/>
        <item x="10"/>
        <item x="6"/>
        <item x="15"/>
        <item x="41"/>
        <item t="default"/>
      </items>
    </pivotField>
    <pivotField showAll="0"/>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
  </rowFields>
  <rowItems count="10">
    <i>
      <x/>
    </i>
    <i>
      <x v="1"/>
    </i>
    <i>
      <x v="2"/>
    </i>
    <i>
      <x v="3"/>
    </i>
    <i>
      <x v="4"/>
    </i>
    <i>
      <x v="5"/>
    </i>
    <i>
      <x v="6"/>
    </i>
    <i>
      <x v="7"/>
    </i>
    <i>
      <x v="8"/>
    </i>
    <i t="grand">
      <x/>
    </i>
  </rowItems>
  <colItems count="1">
    <i/>
  </colItems>
  <dataFields count="1">
    <dataField name="Sum of Likes" fld="14" baseField="0" baseItem="0"/>
  </dataFields>
  <chartFormats count="20">
    <chartFormat chart="1" format="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2" count="1" selected="0">
            <x v="0"/>
          </reference>
        </references>
      </pivotArea>
    </chartFormat>
    <chartFormat chart="6" format="13">
      <pivotArea type="data" outline="0" fieldPosition="0">
        <references count="2">
          <reference field="4294967294" count="1" selected="0">
            <x v="0"/>
          </reference>
          <reference field="2" count="1" selected="0">
            <x v="1"/>
          </reference>
        </references>
      </pivotArea>
    </chartFormat>
    <chartFormat chart="6" format="14">
      <pivotArea type="data" outline="0" fieldPosition="0">
        <references count="2">
          <reference field="4294967294" count="1" selected="0">
            <x v="0"/>
          </reference>
          <reference field="2" count="1" selected="0">
            <x v="2"/>
          </reference>
        </references>
      </pivotArea>
    </chartFormat>
    <chartFormat chart="6" format="15">
      <pivotArea type="data" outline="0" fieldPosition="0">
        <references count="2">
          <reference field="4294967294" count="1" selected="0">
            <x v="0"/>
          </reference>
          <reference field="2" count="1" selected="0">
            <x v="3"/>
          </reference>
        </references>
      </pivotArea>
    </chartFormat>
    <chartFormat chart="6" format="16">
      <pivotArea type="data" outline="0" fieldPosition="0">
        <references count="2">
          <reference field="4294967294" count="1" selected="0">
            <x v="0"/>
          </reference>
          <reference field="2" count="1" selected="0">
            <x v="4"/>
          </reference>
        </references>
      </pivotArea>
    </chartFormat>
    <chartFormat chart="6" format="17">
      <pivotArea type="data" outline="0" fieldPosition="0">
        <references count="2">
          <reference field="4294967294" count="1" selected="0">
            <x v="0"/>
          </reference>
          <reference field="2" count="1" selected="0">
            <x v="5"/>
          </reference>
        </references>
      </pivotArea>
    </chartFormat>
    <chartFormat chart="6" format="18">
      <pivotArea type="data" outline="0" fieldPosition="0">
        <references count="2">
          <reference field="4294967294" count="1" selected="0">
            <x v="0"/>
          </reference>
          <reference field="2" count="1" selected="0">
            <x v="6"/>
          </reference>
        </references>
      </pivotArea>
    </chartFormat>
    <chartFormat chart="6" format="19">
      <pivotArea type="data" outline="0" fieldPosition="0">
        <references count="2">
          <reference field="4294967294" count="1" selected="0">
            <x v="0"/>
          </reference>
          <reference field="2" count="1" selected="0">
            <x v="7"/>
          </reference>
        </references>
      </pivotArea>
    </chartFormat>
    <chartFormat chart="6" format="20">
      <pivotArea type="data" outline="0" fieldPosition="0">
        <references count="2">
          <reference field="4294967294" count="1" selected="0">
            <x v="0"/>
          </reference>
          <reference field="2" count="1" selected="0">
            <x v="8"/>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1" format="6">
      <pivotArea type="data" outline="0" fieldPosition="0">
        <references count="2">
          <reference field="4294967294" count="1" selected="0">
            <x v="0"/>
          </reference>
          <reference field="2" count="1" selected="0">
            <x v="5"/>
          </reference>
        </references>
      </pivotArea>
    </chartFormat>
    <chartFormat chart="1" format="7">
      <pivotArea type="data" outline="0" fieldPosition="0">
        <references count="2">
          <reference field="4294967294" count="1" selected="0">
            <x v="0"/>
          </reference>
          <reference field="2" count="1" selected="0">
            <x v="6"/>
          </reference>
        </references>
      </pivotArea>
    </chartFormat>
    <chartFormat chart="1" format="8">
      <pivotArea type="data" outline="0" fieldPosition="0">
        <references count="2">
          <reference field="4294967294" count="1" selected="0">
            <x v="0"/>
          </reference>
          <reference field="2" count="1" selected="0">
            <x v="7"/>
          </reference>
        </references>
      </pivotArea>
    </chartFormat>
    <chartFormat chart="1" format="9">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__mins" xr10:uid="{371E5650-72E9-4211-B366-69AB9CC49E57}" sourceName="Duration (mins)">
  <pivotTables>
    <pivotTable tabId="3" name="PivotTable1"/>
  </pivotTables>
  <data>
    <tabular pivotCacheId="2007575124">
      <items count="284">
        <i x="250"/>
        <i x="144"/>
        <i x="253"/>
        <i x="104" s="1"/>
        <i x="51"/>
        <i x="22"/>
        <i x="30"/>
        <i x="70"/>
        <i x="140"/>
        <i x="119"/>
        <i x="92"/>
        <i x="53"/>
        <i x="83"/>
        <i x="113"/>
        <i x="135"/>
        <i x="44"/>
        <i x="170"/>
        <i x="97"/>
        <i x="204"/>
        <i x="103"/>
        <i x="163"/>
        <i x="187"/>
        <i x="214"/>
        <i x="158"/>
        <i x="242"/>
        <i x="80"/>
        <i x="4"/>
        <i x="117"/>
        <i x="116"/>
        <i x="209"/>
        <i x="43"/>
        <i x="56"/>
        <i x="74"/>
        <i x="221"/>
        <i x="216"/>
        <i x="146"/>
        <i x="34"/>
        <i x="48"/>
        <i x="229"/>
        <i x="94"/>
        <i x="12"/>
        <i x="251"/>
        <i x="202"/>
        <i x="60"/>
        <i x="66"/>
        <i x="185"/>
        <i x="27"/>
        <i x="129"/>
        <i x="59"/>
        <i x="39"/>
        <i x="6"/>
        <i x="133"/>
        <i x="189"/>
        <i x="13"/>
        <i x="35"/>
        <i x="82"/>
        <i x="102"/>
        <i x="165"/>
        <i x="10"/>
        <i x="121"/>
        <i x="58"/>
        <i x="191"/>
        <i x="17"/>
        <i x="71"/>
        <i x="128"/>
        <i x="198"/>
        <i x="61"/>
        <i x="244"/>
        <i x="175"/>
        <i x="131"/>
        <i x="0"/>
        <i x="100"/>
        <i x="85"/>
        <i x="5"/>
        <i x="153"/>
        <i x="134"/>
        <i x="269"/>
        <i x="159"/>
        <i x="181"/>
        <i x="125"/>
        <i x="138"/>
        <i x="67"/>
        <i x="213"/>
        <i x="228"/>
        <i x="126"/>
        <i x="11"/>
        <i x="42"/>
        <i x="46"/>
        <i x="38"/>
        <i x="20"/>
        <i x="111"/>
        <i x="25"/>
        <i x="55"/>
        <i x="230"/>
        <i x="179"/>
        <i x="26"/>
        <i x="224"/>
        <i x="207"/>
        <i x="32"/>
        <i x="64"/>
        <i x="9"/>
        <i x="172"/>
        <i x="188"/>
        <i x="47"/>
        <i x="217"/>
        <i x="99"/>
        <i x="31"/>
        <i x="183"/>
        <i x="171"/>
        <i x="108"/>
        <i x="105"/>
        <i x="36"/>
        <i x="2"/>
        <i x="77"/>
        <i x="109"/>
        <i x="136"/>
        <i x="276"/>
        <i x="255"/>
        <i x="73"/>
        <i x="124"/>
        <i x="98"/>
        <i x="28"/>
        <i x="143"/>
        <i x="112"/>
        <i x="142"/>
        <i x="96"/>
        <i x="110"/>
        <i x="72"/>
        <i x="52"/>
        <i x="24"/>
        <i x="21"/>
        <i x="150"/>
        <i x="18"/>
        <i x="57"/>
        <i x="45"/>
        <i x="232"/>
        <i x="162"/>
        <i x="68"/>
        <i x="197"/>
        <i x="225"/>
        <i x="78"/>
        <i x="199"/>
        <i x="118"/>
        <i x="234"/>
        <i x="7"/>
        <i x="210"/>
        <i x="252"/>
        <i x="88"/>
        <i x="14"/>
        <i x="260"/>
        <i x="195"/>
        <i x="257"/>
        <i x="147"/>
        <i x="184"/>
        <i x="266"/>
        <i x="267"/>
        <i x="241"/>
        <i x="168"/>
        <i x="218"/>
        <i x="141"/>
        <i x="261"/>
        <i x="226"/>
        <i x="33"/>
        <i x="37"/>
        <i x="268"/>
        <i x="173"/>
        <i x="122"/>
        <i x="149"/>
        <i x="151"/>
        <i x="212"/>
        <i x="41"/>
        <i x="132"/>
        <i x="93"/>
        <i x="127"/>
        <i x="166"/>
        <i x="65"/>
        <i x="3"/>
        <i x="203"/>
        <i x="154"/>
        <i x="106"/>
        <i x="249"/>
        <i x="281"/>
        <i x="40"/>
        <i x="223"/>
        <i x="54"/>
        <i x="247"/>
        <i x="87"/>
        <i x="161"/>
        <i x="167"/>
        <i x="256"/>
        <i x="233"/>
        <i x="275"/>
        <i x="254"/>
        <i x="81"/>
        <i x="245"/>
        <i x="206"/>
        <i x="75"/>
        <i x="84"/>
        <i x="101"/>
        <i x="178"/>
        <i x="145"/>
        <i x="219"/>
        <i x="50"/>
        <i x="270"/>
        <i x="123"/>
        <i x="164"/>
        <i x="79"/>
        <i x="200"/>
        <i x="182"/>
        <i x="264"/>
        <i x="152"/>
        <i x="208"/>
        <i x="193"/>
        <i x="278"/>
        <i x="263"/>
        <i x="63"/>
        <i x="174"/>
        <i x="89"/>
        <i x="16"/>
        <i x="265"/>
        <i x="160"/>
        <i x="49"/>
        <i x="15"/>
        <i x="237"/>
        <i x="186"/>
        <i x="240"/>
        <i x="259"/>
        <i x="19"/>
        <i x="62"/>
        <i x="114"/>
        <i x="239"/>
        <i x="157"/>
        <i x="227"/>
        <i x="148"/>
        <i x="277"/>
        <i x="272"/>
        <i x="69"/>
        <i x="243"/>
        <i x="280"/>
        <i x="246"/>
        <i x="271"/>
        <i x="274"/>
        <i x="222"/>
        <i x="76"/>
        <i x="23"/>
        <i x="211"/>
        <i x="29"/>
        <i x="196"/>
        <i x="190"/>
        <i x="156"/>
        <i x="107"/>
        <i x="95"/>
        <i x="205"/>
        <i x="236"/>
        <i x="258"/>
        <i x="180"/>
        <i x="192"/>
        <i x="91"/>
        <i x="169"/>
        <i x="90"/>
        <i x="176"/>
        <i x="215"/>
        <i x="238"/>
        <i x="155"/>
        <i x="262"/>
        <i x="130"/>
        <i x="273"/>
        <i x="8"/>
        <i x="86"/>
        <i x="248"/>
        <i x="139"/>
        <i x="235"/>
        <i x="137"/>
        <i x="220"/>
        <i x="120"/>
        <i x="177"/>
        <i x="201"/>
        <i x="194"/>
        <i x="115"/>
        <i x="1"/>
        <i x="231"/>
        <i x="282"/>
        <i x="279"/>
        <i x="28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ewer_Gender" xr10:uid="{3004A780-EC36-4CCE-B9B7-CF2DE626790B}" sourceName="Viewer Gender">
  <pivotTables>
    <pivotTable tabId="4" name="PivotTable2"/>
  </pivotTables>
  <data>
    <tabular pivotCacheId="2007575124">
      <items count="3">
        <i x="1"/>
        <i x="0" s="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the_Week" xr10:uid="{8F1A4FF5-B2C9-4860-A109-6593BF5F0E59}" sourceName="Day of the Week">
  <pivotTables>
    <pivotTable tabId="5" name="PivotTable3"/>
  </pivotTables>
  <data>
    <tabular pivotCacheId="2007575124">
      <items count="8">
        <i x="2"/>
        <i x="5"/>
        <i x="4"/>
        <i x="6" s="1"/>
        <i x="0"/>
        <i x="1"/>
        <i x="3"/>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ewer Gender" xr10:uid="{A57C02FE-17E3-467B-A935-038BA47F0B2C}" cache="Slicer_Viewer_Gender" caption="Viewer 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uration (mins)" xr10:uid="{58626150-9E9C-4751-8479-3D101CAC1416}" cache="Slicer_Duration__mins" caption="Duration (min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of the Week" xr10:uid="{251DCD3A-B14B-46FA-9847-1F96F38E10A3}" cache="Slicer_Day_of_the_Week" caption="Day of the Week"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uration (mins) 1" xr10:uid="{34D52F51-356C-4EE1-A627-2244F592051C}" cache="Slicer_Duration__mins" caption="Duration (mins)" rowHeight="234950"/>
  <slicer name="Viewer Gender 1" xr10:uid="{E804AB5C-B26F-4A99-9A81-1F1151FC34CB}" cache="Slicer_Viewer_Gender" caption="Viewer Gender" rowHeight="234950"/>
  <slicer name="Day of the Week 1" xr10:uid="{7A5A71CE-B630-4AE3-9876-25133E9859C6}" cache="Slicer_Day_of_the_Week" caption="Day of the Week"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E5B532-F70F-4426-AF91-59DA06772202}" name="Table1" displayName="Table1" ref="A1:W1000" totalsRowShown="0">
  <autoFilter ref="A1:W1000" xr:uid="{50E5B532-F70F-4426-AF91-59DA06772202}"/>
  <tableColumns count="23">
    <tableColumn id="1" xr3:uid="{C83F6BEF-1348-4BDA-BE3C-F582174C8A01}" name="Content ID"/>
    <tableColumn id="2" xr3:uid="{C551E0D8-2CC3-4D8A-8A7D-789432D8B2C0}" name="Content Type"/>
    <tableColumn id="3" xr3:uid="{CE02128E-75F9-41B9-8FCC-F250AE94598E}" name="Genre"/>
    <tableColumn id="4" xr3:uid="{51A79C4E-4A93-4504-A030-DAA1EE46D3F0}" name="Release Date" dataDxfId="2"/>
    <tableColumn id="5" xr3:uid="{B1C3BCCF-BA10-4418-B56B-5248B1DD2D6F}" name="Time of Day" dataDxfId="1"/>
    <tableColumn id="6" xr3:uid="{8C5308A2-BBBA-46FC-9ADC-135DABF93544}" name="Day of the Week"/>
    <tableColumn id="7" xr3:uid="{962B71F0-C808-4D36-BA12-154CF6D49B28}" name="Duration (mins)"/>
    <tableColumn id="8" xr3:uid="{5BD8B6A4-741B-4CA1-AF02-2536E147E724}" name="Viewership"/>
    <tableColumn id="9" xr3:uid="{4CD36206-C082-4BFF-A4F4-757FB3202FBC}" name="Average Watch Time (mins)"/>
    <tableColumn id="10" xr3:uid="{53931511-7252-4EA7-8657-28F10230EA3D}" name="Peak Viewership Time" dataDxfId="0"/>
    <tableColumn id="11" xr3:uid="{FAF047AA-A0EB-4F9E-9F19-2B71DE038B35}" name="Peak Viewership Day"/>
    <tableColumn id="12" xr3:uid="{6ACDE9AD-38FD-4090-866D-A64BB8EA1946}" name="Viewer Age"/>
    <tableColumn id="13" xr3:uid="{359C3054-7EDA-4061-B395-049623E71E9C}" name="Viewer Gender"/>
    <tableColumn id="14" xr3:uid="{13082795-8C81-4E8F-9DCF-F96477A2F50E}" name="Viewer Location"/>
    <tableColumn id="15" xr3:uid="{538E8070-58A8-4851-845B-6AB2A3E2B3F8}" name="Likes"/>
    <tableColumn id="16" xr3:uid="{96ABFC24-8374-4089-BBE2-8DA20EA7AF19}" name="Shares"/>
    <tableColumn id="17" xr3:uid="{F16E6154-D0E9-442B-83AE-57AFB2E94BF0}" name="Comments"/>
    <tableColumn id="18" xr3:uid="{F3DEF921-AA96-46F0-8930-276F70736E61}" name="User Ratings"/>
    <tableColumn id="19" xr3:uid="{BD5FEA31-2B36-4E1A-9296-E8808F839C63}" name="Seasonality"/>
    <tableColumn id="20" xr3:uid="{016E08A0-6FE3-4AE0-B215-E216B747F15D}" name="Content Popularity"/>
    <tableColumn id="21" xr3:uid="{B847696B-67D7-4A12-93EE-60AB249FED3B}" name="Competitor Content"/>
    <tableColumn id="22" xr3:uid="{DDAB5A37-70A2-4A33-B6ED-AA6F6FCCF634}" name="Promotion Data"/>
    <tableColumn id="23" xr3:uid="{2C9101D4-627D-4CB0-B0F9-9606322C59B2}" name="Subscription Dat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_of_Day" xr10:uid="{4AF7F02A-2179-4583-B813-116260F64244}" sourceName="Time of Day">
  <pivotTables>
    <pivotTable tabId="4" name="PivotTable2"/>
  </pivotTables>
  <state minimalRefreshVersion="6" lastRefreshVersion="6" pivotCacheId="2007575124" filterType="unknown">
    <bounds startDate="1899-12-31T00:01:00" endDate="1901-01-01T23:57: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eak_Viewership_Time" xr10:uid="{B97F0E53-0CED-4214-8B48-E90F3BA38BAD}" sourceName="Peak Viewership Time">
  <pivotTables>
    <pivotTable tabId="3" name="PivotTable1"/>
  </pivotTables>
  <state minimalRefreshVersion="6" lastRefreshVersion="6" pivotCacheId="2007575124" filterType="unknown">
    <bounds startDate="1899-12-31T00:07:00" endDate="1901-01-01T23:57: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7A9FE994-16AE-4D2E-8EAF-2D4DB45AADE0}" sourceName="Release Date">
  <pivotTables>
    <pivotTable tabId="5" name="PivotTable3"/>
  </pivotTables>
  <state minimalRefreshVersion="6" lastRefreshVersion="6" pivotCacheId="2007575124"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of Day" xr10:uid="{E5764313-305F-4A97-BF78-95E69EA995D3}" cache="NativeTimeline_Time_of_Day" caption="Time of Day" level="2" selectionLevel="2" scrollPosition="1900-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eak Viewership Time" xr10:uid="{7CDB4709-4EE3-4DEA-9870-09B8672E4416}" cache="NativeTimeline_Peak_Viewership_Time" caption="Peak Viewership Time" level="2" selectionLevel="2" scrollPosition="1900-06-06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61BDF5FB-EB6E-4232-A521-C1E1A77F5A73}" cache="NativeTimeline_Release_Date" caption="Release Date" level="2" selectionLevel="2" scrollPosition="2025-06-06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of Day 1" xr10:uid="{8C435033-D43B-49B7-AB4D-6C85FCA55307}" cache="NativeTimeline_Time_of_Day" caption="Time of Day" level="2" selectionLevel="2" scrollPosition="1900-06-06T00:00:00"/>
  <timeline name="Peak Viewership Time 1" xr10:uid="{B61C04C7-5752-42B7-ABDE-F0A73AD5D26F}" cache="NativeTimeline_Peak_Viewership_Time" caption="Peak Viewership Time" level="2" selectionLevel="2" scrollPosition="1900-06-06T00:00:00"/>
  <timeline name="Release Date 1" xr10:uid="{DE3FF88E-4497-4DB8-B146-4D8B583DDFA1}" cache="NativeTimeline_Release_Date" caption="Release Date" level="2" selectionLevel="2" scrollPosition="2025-06-06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A6AC3-2C39-4727-A134-4DBF58D82E6D}">
  <dimension ref="A3:B7"/>
  <sheetViews>
    <sheetView workbookViewId="0">
      <selection activeCell="B5" sqref="B5"/>
    </sheetView>
  </sheetViews>
  <sheetFormatPr defaultRowHeight="14.4" x14ac:dyDescent="0.3"/>
  <cols>
    <col min="1" max="1" width="12.5546875" bestFit="1" customWidth="1"/>
    <col min="2" max="2" width="18.44140625" bestFit="1" customWidth="1"/>
  </cols>
  <sheetData>
    <row r="3" spans="1:2" x14ac:dyDescent="0.3">
      <c r="A3" s="11" t="s">
        <v>82</v>
      </c>
      <c r="B3" t="s">
        <v>85</v>
      </c>
    </row>
    <row r="4" spans="1:2" x14ac:dyDescent="0.3">
      <c r="A4" s="12" t="s">
        <v>54</v>
      </c>
      <c r="B4">
        <v>60</v>
      </c>
    </row>
    <row r="5" spans="1:2" x14ac:dyDescent="0.3">
      <c r="A5" s="12" t="s">
        <v>23</v>
      </c>
      <c r="B5">
        <v>93</v>
      </c>
    </row>
    <row r="6" spans="1:2" x14ac:dyDescent="0.3">
      <c r="A6" s="12" t="s">
        <v>34</v>
      </c>
      <c r="B6">
        <v>83</v>
      </c>
    </row>
    <row r="7" spans="1:2" x14ac:dyDescent="0.3">
      <c r="A7" s="12" t="s">
        <v>83</v>
      </c>
      <c r="B7">
        <v>236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D5014-79C9-4831-A197-0A20475F3F4A}">
  <dimension ref="A3:B8"/>
  <sheetViews>
    <sheetView workbookViewId="0">
      <selection activeCell="B6" sqref="B6"/>
    </sheetView>
  </sheetViews>
  <sheetFormatPr defaultRowHeight="14.4" x14ac:dyDescent="0.3"/>
  <cols>
    <col min="1" max="1" width="12.5546875" bestFit="1" customWidth="1"/>
    <col min="2" max="2" width="16.77734375" bestFit="1" customWidth="1"/>
  </cols>
  <sheetData>
    <row r="3" spans="1:2" x14ac:dyDescent="0.3">
      <c r="A3" s="11" t="s">
        <v>82</v>
      </c>
      <c r="B3" t="s">
        <v>84</v>
      </c>
    </row>
    <row r="4" spans="1:2" x14ac:dyDescent="0.3">
      <c r="A4" s="12" t="s">
        <v>72</v>
      </c>
      <c r="B4">
        <v>40151</v>
      </c>
    </row>
    <row r="5" spans="1:2" x14ac:dyDescent="0.3">
      <c r="A5" s="12" t="s">
        <v>55</v>
      </c>
      <c r="B5">
        <v>49863</v>
      </c>
    </row>
    <row r="6" spans="1:2" x14ac:dyDescent="0.3">
      <c r="A6" s="12" t="s">
        <v>61</v>
      </c>
      <c r="B6">
        <v>21808</v>
      </c>
    </row>
    <row r="7" spans="1:2" x14ac:dyDescent="0.3">
      <c r="A7" s="12" t="s">
        <v>75</v>
      </c>
      <c r="B7">
        <v>39276</v>
      </c>
    </row>
    <row r="8" spans="1:2" x14ac:dyDescent="0.3">
      <c r="A8" s="12" t="s">
        <v>83</v>
      </c>
      <c r="B8">
        <v>151098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9039E-9F75-4A03-BA34-BBA760224749}">
  <dimension ref="A3:B13"/>
  <sheetViews>
    <sheetView workbookViewId="0">
      <selection activeCell="K23" sqref="K23"/>
    </sheetView>
  </sheetViews>
  <sheetFormatPr defaultRowHeight="14.4" x14ac:dyDescent="0.3"/>
  <cols>
    <col min="1" max="1" width="12.5546875" bestFit="1" customWidth="1"/>
    <col min="2" max="2" width="11.5546875" bestFit="1" customWidth="1"/>
  </cols>
  <sheetData>
    <row r="3" spans="1:2" x14ac:dyDescent="0.3">
      <c r="A3" s="11" t="s">
        <v>82</v>
      </c>
      <c r="B3" t="s">
        <v>86</v>
      </c>
    </row>
    <row r="4" spans="1:2" x14ac:dyDescent="0.3">
      <c r="A4" s="12" t="s">
        <v>72</v>
      </c>
      <c r="B4">
        <v>12787</v>
      </c>
    </row>
    <row r="5" spans="1:2" x14ac:dyDescent="0.3">
      <c r="A5" s="12" t="s">
        <v>35</v>
      </c>
      <c r="B5">
        <v>9234</v>
      </c>
    </row>
    <row r="6" spans="1:2" x14ac:dyDescent="0.3">
      <c r="A6" s="12" t="s">
        <v>64</v>
      </c>
      <c r="B6">
        <v>18551</v>
      </c>
    </row>
    <row r="7" spans="1:2" x14ac:dyDescent="0.3">
      <c r="A7" s="12" t="s">
        <v>55</v>
      </c>
      <c r="B7">
        <v>14512</v>
      </c>
    </row>
    <row r="8" spans="1:2" x14ac:dyDescent="0.3">
      <c r="A8" s="12" t="s">
        <v>61</v>
      </c>
      <c r="B8">
        <v>9549</v>
      </c>
    </row>
    <row r="9" spans="1:2" x14ac:dyDescent="0.3">
      <c r="A9" s="12" t="s">
        <v>75</v>
      </c>
      <c r="B9">
        <v>5409</v>
      </c>
    </row>
    <row r="10" spans="1:2" x14ac:dyDescent="0.3">
      <c r="A10" s="12" t="s">
        <v>48</v>
      </c>
      <c r="B10">
        <v>15259</v>
      </c>
    </row>
    <row r="11" spans="1:2" x14ac:dyDescent="0.3">
      <c r="A11" s="12" t="s">
        <v>43</v>
      </c>
      <c r="B11">
        <v>15486</v>
      </c>
    </row>
    <row r="12" spans="1:2" x14ac:dyDescent="0.3">
      <c r="A12" s="12" t="s">
        <v>24</v>
      </c>
      <c r="B12">
        <v>17289</v>
      </c>
    </row>
    <row r="13" spans="1:2" x14ac:dyDescent="0.3">
      <c r="A13" s="12" t="s">
        <v>83</v>
      </c>
      <c r="B13">
        <v>118076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2932C-3653-41F4-AED0-7B27B94C83F9}">
  <dimension ref="A1:DA1528"/>
  <sheetViews>
    <sheetView showGridLines="0" showRowColHeaders="0" tabSelected="1" zoomScale="111" workbookViewId="0">
      <selection activeCell="J4" sqref="J4"/>
    </sheetView>
  </sheetViews>
  <sheetFormatPr defaultRowHeight="14.4" x14ac:dyDescent="0.3"/>
  <sheetData>
    <row r="1" spans="1:105" x14ac:dyDescent="0.3">
      <c r="A1" s="25" t="s">
        <v>87</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row>
    <row r="2" spans="1:105" x14ac:dyDescent="0.3">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row>
    <row r="3" spans="1:105" x14ac:dyDescent="0.3">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row>
    <row r="4" spans="1:105" x14ac:dyDescent="0.3">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row>
    <row r="5" spans="1:105" x14ac:dyDescent="0.3">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row>
    <row r="6" spans="1:105" x14ac:dyDescent="0.3">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row>
    <row r="7" spans="1:105" x14ac:dyDescent="0.3">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row>
    <row r="8" spans="1:105"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row>
    <row r="9" spans="1:105" x14ac:dyDescent="0.3">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row>
    <row r="10" spans="1:105" x14ac:dyDescent="0.3">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row>
    <row r="11" spans="1:105" x14ac:dyDescent="0.3">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row>
    <row r="12" spans="1:105" x14ac:dyDescent="0.3">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row>
    <row r="13" spans="1:105"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row>
    <row r="14" spans="1:105" x14ac:dyDescent="0.3">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row>
    <row r="15" spans="1:105" x14ac:dyDescent="0.3">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row>
    <row r="16" spans="1:105" x14ac:dyDescent="0.3">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row>
    <row r="17" spans="1:39" x14ac:dyDescent="0.3">
      <c r="A17" s="14"/>
      <c r="B17" s="14"/>
      <c r="C17" s="14"/>
      <c r="D17" s="14"/>
      <c r="E17" s="14"/>
      <c r="F17" s="14"/>
      <c r="G17" s="14"/>
      <c r="H17" s="14"/>
      <c r="I17" s="14"/>
      <c r="J17" s="14"/>
      <c r="K17" s="14"/>
      <c r="L17" s="15"/>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row>
    <row r="18" spans="1:39"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row>
    <row r="19" spans="1:39"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row>
    <row r="20" spans="1:39"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row>
    <row r="21" spans="1:39"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row>
    <row r="22" spans="1:39"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row>
    <row r="23" spans="1:39"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row>
    <row r="24" spans="1:39"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row>
    <row r="25" spans="1:39"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row>
    <row r="26" spans="1:39"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row>
    <row r="27" spans="1:39"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row>
    <row r="28" spans="1:39"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row>
    <row r="29" spans="1:39" x14ac:dyDescent="0.3">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row>
    <row r="30" spans="1:39"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row>
    <row r="31" spans="1:39" x14ac:dyDescent="0.3">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row>
    <row r="32" spans="1:39" x14ac:dyDescent="0.3">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row>
    <row r="33" spans="1:39" x14ac:dyDescent="0.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row>
    <row r="34" spans="1:39" x14ac:dyDescent="0.3">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row>
    <row r="35" spans="1:39" x14ac:dyDescent="0.3">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row>
    <row r="36" spans="1:39" x14ac:dyDescent="0.3">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row>
    <row r="37" spans="1:39" x14ac:dyDescent="0.3">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row>
    <row r="38" spans="1:39" x14ac:dyDescent="0.3">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row>
    <row r="39" spans="1:39" x14ac:dyDescent="0.3">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row>
    <row r="40" spans="1:39" x14ac:dyDescent="0.3">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row>
    <row r="41" spans="1:39" x14ac:dyDescent="0.3">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row>
    <row r="42" spans="1:39" x14ac:dyDescent="0.3">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row>
    <row r="43" spans="1:39" x14ac:dyDescent="0.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row>
    <row r="44" spans="1:39" x14ac:dyDescent="0.3">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row>
    <row r="45" spans="1:39" x14ac:dyDescent="0.3">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row>
    <row r="46" spans="1:39" x14ac:dyDescent="0.3">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row>
    <row r="47" spans="1:39" x14ac:dyDescent="0.3">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row>
    <row r="48" spans="1:39" x14ac:dyDescent="0.3">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row>
    <row r="49" spans="1:39" x14ac:dyDescent="0.3">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row>
    <row r="50" spans="1:39" x14ac:dyDescent="0.3">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row>
    <row r="51" spans="1:39"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row>
    <row r="52" spans="1:39" x14ac:dyDescent="0.3">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row>
    <row r="53" spans="1:39" x14ac:dyDescent="0.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row>
    <row r="54" spans="1:39" x14ac:dyDescent="0.3">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row>
    <row r="55" spans="1:39" x14ac:dyDescent="0.3">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row>
    <row r="56" spans="1:39" x14ac:dyDescent="0.3">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row>
    <row r="57" spans="1:39" x14ac:dyDescent="0.3">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row>
    <row r="58" spans="1:39" x14ac:dyDescent="0.3">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row>
    <row r="59" spans="1:39" x14ac:dyDescent="0.3">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row>
    <row r="60" spans="1:39" x14ac:dyDescent="0.3">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row>
    <row r="61" spans="1:39" x14ac:dyDescent="0.3">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row>
    <row r="62" spans="1:39" x14ac:dyDescent="0.3">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row>
    <row r="63" spans="1:39" x14ac:dyDescent="0.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row>
    <row r="64" spans="1:39" x14ac:dyDescent="0.3">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row>
    <row r="65" spans="1:39" x14ac:dyDescent="0.3">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row>
    <row r="66" spans="1:39" x14ac:dyDescent="0.3">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row>
    <row r="67" spans="1:39" x14ac:dyDescent="0.3">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row>
    <row r="68" spans="1:39" x14ac:dyDescent="0.3">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row>
    <row r="69" spans="1:39" x14ac:dyDescent="0.3">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row>
    <row r="70" spans="1:39" x14ac:dyDescent="0.3">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row>
    <row r="71" spans="1:39" x14ac:dyDescent="0.3">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row>
    <row r="72" spans="1:39" x14ac:dyDescent="0.3">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row>
    <row r="73" spans="1:39" x14ac:dyDescent="0.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row>
    <row r="74" spans="1:39" x14ac:dyDescent="0.3">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row>
    <row r="75" spans="1:39" x14ac:dyDescent="0.3">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row>
    <row r="76" spans="1:39" x14ac:dyDescent="0.3">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row>
    <row r="77" spans="1:39" x14ac:dyDescent="0.3">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row>
    <row r="78" spans="1:39" x14ac:dyDescent="0.3">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row>
    <row r="79" spans="1:39" x14ac:dyDescent="0.3">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row>
    <row r="80" spans="1:39" x14ac:dyDescent="0.3">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row>
    <row r="81" spans="1:39" x14ac:dyDescent="0.3">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row>
    <row r="82" spans="1:39" x14ac:dyDescent="0.3">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row>
    <row r="83" spans="1:39" x14ac:dyDescent="0.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row>
    <row r="84" spans="1:39" x14ac:dyDescent="0.3">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row>
    <row r="85" spans="1:39" x14ac:dyDescent="0.3">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row>
    <row r="86" spans="1:39" x14ac:dyDescent="0.3">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row>
    <row r="87" spans="1:39" x14ac:dyDescent="0.3">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row>
    <row r="88" spans="1:39" x14ac:dyDescent="0.3">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row>
    <row r="89" spans="1:39" x14ac:dyDescent="0.3">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row>
    <row r="90" spans="1:39" x14ac:dyDescent="0.3">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row>
    <row r="91" spans="1:39" x14ac:dyDescent="0.3">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row>
    <row r="92" spans="1:39" x14ac:dyDescent="0.3">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row>
    <row r="93" spans="1:39" x14ac:dyDescent="0.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row>
    <row r="94" spans="1:39" x14ac:dyDescent="0.3">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row>
    <row r="95" spans="1:39" x14ac:dyDescent="0.3">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row>
    <row r="96" spans="1:39" x14ac:dyDescent="0.3">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row>
    <row r="97" spans="1:39" x14ac:dyDescent="0.3">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row>
    <row r="98" spans="1:39" x14ac:dyDescent="0.3">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row>
    <row r="99" spans="1:39" x14ac:dyDescent="0.3">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row>
    <row r="100" spans="1:39" x14ac:dyDescent="0.3">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row>
    <row r="101" spans="1:39" x14ac:dyDescent="0.3">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row>
    <row r="102" spans="1:39" x14ac:dyDescent="0.3">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row>
    <row r="103" spans="1:39" x14ac:dyDescent="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row>
    <row r="104" spans="1:39" x14ac:dyDescent="0.3">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row>
    <row r="105" spans="1:39" x14ac:dyDescent="0.3">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row>
    <row r="106" spans="1:39" x14ac:dyDescent="0.3">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row>
    <row r="107" spans="1:39" x14ac:dyDescent="0.3">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row>
    <row r="108" spans="1:39" x14ac:dyDescent="0.3">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row>
    <row r="109" spans="1:39" x14ac:dyDescent="0.3">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row>
    <row r="110" spans="1:39" x14ac:dyDescent="0.3">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row>
    <row r="111" spans="1:39" x14ac:dyDescent="0.3">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row>
    <row r="112" spans="1:39" x14ac:dyDescent="0.3">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row>
    <row r="113" spans="1:39" x14ac:dyDescent="0.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row>
    <row r="114" spans="1:39" x14ac:dyDescent="0.3">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row>
    <row r="115" spans="1:39" x14ac:dyDescent="0.3">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row>
    <row r="116" spans="1:39" x14ac:dyDescent="0.3">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row>
    <row r="117" spans="1:39" x14ac:dyDescent="0.3">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row>
    <row r="118" spans="1:39" x14ac:dyDescent="0.3">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row>
    <row r="119" spans="1:39" x14ac:dyDescent="0.3">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row>
    <row r="120" spans="1:39" x14ac:dyDescent="0.3">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row>
    <row r="121" spans="1:39" x14ac:dyDescent="0.3">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row>
    <row r="122" spans="1:39" x14ac:dyDescent="0.3">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row>
    <row r="123" spans="1:39" x14ac:dyDescent="0.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row>
    <row r="124" spans="1:39" x14ac:dyDescent="0.3">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row>
    <row r="125" spans="1:39" x14ac:dyDescent="0.3">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row>
    <row r="126" spans="1:39" x14ac:dyDescent="0.3">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row>
    <row r="127" spans="1:39" x14ac:dyDescent="0.3">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row>
    <row r="128" spans="1:39" x14ac:dyDescent="0.3">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row>
    <row r="129" spans="1:39" x14ac:dyDescent="0.3">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row>
    <row r="130" spans="1:39" x14ac:dyDescent="0.3">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row>
    <row r="131" spans="1:39" x14ac:dyDescent="0.3">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row>
    <row r="132" spans="1:39" x14ac:dyDescent="0.3">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row>
    <row r="133" spans="1:39" x14ac:dyDescent="0.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row>
    <row r="134" spans="1:39" x14ac:dyDescent="0.3">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row>
    <row r="135" spans="1:39" x14ac:dyDescent="0.3">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row>
    <row r="136" spans="1:39" x14ac:dyDescent="0.3">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row>
    <row r="137" spans="1:39" x14ac:dyDescent="0.3">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row>
    <row r="138" spans="1:39" x14ac:dyDescent="0.3">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row>
    <row r="139" spans="1:39" x14ac:dyDescent="0.3">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row>
    <row r="140" spans="1:39" x14ac:dyDescent="0.3">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row>
    <row r="141" spans="1:39" x14ac:dyDescent="0.3">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row>
    <row r="142" spans="1:39" x14ac:dyDescent="0.3">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row>
    <row r="143" spans="1:39" x14ac:dyDescent="0.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row>
    <row r="144" spans="1:39" x14ac:dyDescent="0.3">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row>
    <row r="145" spans="1:39" x14ac:dyDescent="0.3">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row>
    <row r="146" spans="1:39" x14ac:dyDescent="0.3">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row>
    <row r="147" spans="1:39" x14ac:dyDescent="0.3">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row>
    <row r="148" spans="1:39" x14ac:dyDescent="0.3">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row>
    <row r="149" spans="1:39" x14ac:dyDescent="0.3">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row>
    <row r="150" spans="1:39" x14ac:dyDescent="0.3">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row>
    <row r="151" spans="1:39" x14ac:dyDescent="0.3">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row>
    <row r="152" spans="1:39" x14ac:dyDescent="0.3">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row>
    <row r="153" spans="1:39" x14ac:dyDescent="0.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row>
    <row r="154" spans="1:39" x14ac:dyDescent="0.3">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row>
    <row r="155" spans="1:39" x14ac:dyDescent="0.3">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row>
    <row r="156" spans="1:39" x14ac:dyDescent="0.3">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row>
    <row r="157" spans="1:39" x14ac:dyDescent="0.3">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row>
    <row r="158" spans="1:39" x14ac:dyDescent="0.3">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row>
    <row r="159" spans="1:39" x14ac:dyDescent="0.3">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row>
    <row r="160" spans="1:39" x14ac:dyDescent="0.3">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row>
    <row r="161" spans="1:39" x14ac:dyDescent="0.3">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row>
    <row r="162" spans="1:39" x14ac:dyDescent="0.3">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row>
    <row r="163" spans="1:39" x14ac:dyDescent="0.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row>
    <row r="164" spans="1:39" x14ac:dyDescent="0.3">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row>
    <row r="165" spans="1:39" x14ac:dyDescent="0.3">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row>
    <row r="166" spans="1:39" x14ac:dyDescent="0.3">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row>
    <row r="167" spans="1:39" x14ac:dyDescent="0.3">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row>
    <row r="168" spans="1:39" x14ac:dyDescent="0.3">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row>
    <row r="169" spans="1:39" x14ac:dyDescent="0.3">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row>
    <row r="170" spans="1:39" x14ac:dyDescent="0.3">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row>
    <row r="171" spans="1:39" x14ac:dyDescent="0.3">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row>
    <row r="172" spans="1:39" x14ac:dyDescent="0.3">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row>
    <row r="173" spans="1:39" x14ac:dyDescent="0.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row>
    <row r="174" spans="1:39" x14ac:dyDescent="0.3">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row>
    <row r="175" spans="1:39" x14ac:dyDescent="0.3">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row>
    <row r="176" spans="1:39" x14ac:dyDescent="0.3">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row>
    <row r="177" spans="1:39" x14ac:dyDescent="0.3">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row>
    <row r="178" spans="1:39" x14ac:dyDescent="0.3">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row>
    <row r="179" spans="1:39" x14ac:dyDescent="0.3">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row>
    <row r="180" spans="1:39" x14ac:dyDescent="0.3">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row>
    <row r="181" spans="1:39" x14ac:dyDescent="0.3">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row>
    <row r="182" spans="1:39" x14ac:dyDescent="0.3">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row>
    <row r="183" spans="1:39" x14ac:dyDescent="0.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row>
    <row r="184" spans="1:39" x14ac:dyDescent="0.3">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row>
    <row r="185" spans="1:39" x14ac:dyDescent="0.3">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row>
    <row r="186" spans="1:39" x14ac:dyDescent="0.3">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row>
    <row r="187" spans="1:39" x14ac:dyDescent="0.3">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row>
    <row r="188" spans="1:39" x14ac:dyDescent="0.3">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row>
    <row r="189" spans="1:39" x14ac:dyDescent="0.3">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row>
    <row r="190" spans="1:39" x14ac:dyDescent="0.3">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row>
    <row r="191" spans="1:39" x14ac:dyDescent="0.3">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row>
    <row r="192" spans="1:39" x14ac:dyDescent="0.3">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row>
    <row r="193" spans="1:39" x14ac:dyDescent="0.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row>
    <row r="194" spans="1:39" x14ac:dyDescent="0.3">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row>
    <row r="195" spans="1:39" x14ac:dyDescent="0.3">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row>
    <row r="196" spans="1:39" x14ac:dyDescent="0.3">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row>
    <row r="197" spans="1:39" x14ac:dyDescent="0.3">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row>
    <row r="198" spans="1:39" x14ac:dyDescent="0.3">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row>
    <row r="199" spans="1:39" x14ac:dyDescent="0.3">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row>
    <row r="200" spans="1:39" x14ac:dyDescent="0.3">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row>
    <row r="201" spans="1:39" x14ac:dyDescent="0.3">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row>
    <row r="202" spans="1:39" x14ac:dyDescent="0.3">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row>
    <row r="203" spans="1:39" x14ac:dyDescent="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row>
    <row r="204" spans="1:39" x14ac:dyDescent="0.3">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row>
    <row r="205" spans="1:39" x14ac:dyDescent="0.3">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row>
    <row r="206" spans="1:39" x14ac:dyDescent="0.3">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row>
    <row r="207" spans="1:39" x14ac:dyDescent="0.3">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row>
    <row r="208" spans="1:39" x14ac:dyDescent="0.3">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row>
    <row r="209" spans="1:39" x14ac:dyDescent="0.3">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row>
    <row r="210" spans="1:39" x14ac:dyDescent="0.3">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row>
    <row r="211" spans="1:39" x14ac:dyDescent="0.3">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row>
    <row r="212" spans="1:39" x14ac:dyDescent="0.3">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row>
    <row r="213" spans="1:39" x14ac:dyDescent="0.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row>
    <row r="214" spans="1:39" x14ac:dyDescent="0.3">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row>
    <row r="215" spans="1:39" x14ac:dyDescent="0.3">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row>
    <row r="216" spans="1:39" x14ac:dyDescent="0.3">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row>
    <row r="217" spans="1:39" x14ac:dyDescent="0.3">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row>
    <row r="218" spans="1:39" x14ac:dyDescent="0.3">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row>
    <row r="219" spans="1:39" x14ac:dyDescent="0.3">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row>
    <row r="220" spans="1:39" x14ac:dyDescent="0.3">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row>
    <row r="221" spans="1:39" x14ac:dyDescent="0.3">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row>
    <row r="222" spans="1:39" x14ac:dyDescent="0.3">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row>
    <row r="223" spans="1:39" x14ac:dyDescent="0.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row>
    <row r="224" spans="1:39" x14ac:dyDescent="0.3">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row>
    <row r="225" spans="1:39" x14ac:dyDescent="0.3">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row>
    <row r="226" spans="1:39" x14ac:dyDescent="0.3">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row>
    <row r="227" spans="1:39" x14ac:dyDescent="0.3">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row>
    <row r="228" spans="1:39" x14ac:dyDescent="0.3">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row>
    <row r="229" spans="1:39" x14ac:dyDescent="0.3">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row>
    <row r="230" spans="1:39" x14ac:dyDescent="0.3">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row>
    <row r="231" spans="1:39" x14ac:dyDescent="0.3">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row>
    <row r="232" spans="1:39" x14ac:dyDescent="0.3">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row>
    <row r="233" spans="1:39" x14ac:dyDescent="0.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row>
    <row r="234" spans="1:39" x14ac:dyDescent="0.3">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row>
    <row r="235" spans="1:39" x14ac:dyDescent="0.3">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row>
    <row r="236" spans="1:39" x14ac:dyDescent="0.3">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row>
    <row r="237" spans="1:39" x14ac:dyDescent="0.3">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row>
    <row r="238" spans="1:39" x14ac:dyDescent="0.3">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row>
    <row r="239" spans="1:39" x14ac:dyDescent="0.3">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row>
    <row r="240" spans="1:39" x14ac:dyDescent="0.3">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row>
    <row r="241" spans="1:39" x14ac:dyDescent="0.3">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row>
    <row r="242" spans="1:39" x14ac:dyDescent="0.3">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row>
    <row r="243" spans="1:39" x14ac:dyDescent="0.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row>
    <row r="244" spans="1:39" x14ac:dyDescent="0.3">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row>
    <row r="245" spans="1:39" x14ac:dyDescent="0.3">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row>
    <row r="246" spans="1:39" x14ac:dyDescent="0.3">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row>
    <row r="247" spans="1:39" x14ac:dyDescent="0.3">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row>
    <row r="248" spans="1:39" x14ac:dyDescent="0.3">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row>
    <row r="249" spans="1:39" x14ac:dyDescent="0.3">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row>
    <row r="250" spans="1:39" x14ac:dyDescent="0.3">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row>
    <row r="251" spans="1:39" x14ac:dyDescent="0.3">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row>
    <row r="252" spans="1:39" x14ac:dyDescent="0.3">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row>
    <row r="253" spans="1:39" x14ac:dyDescent="0.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row>
    <row r="254" spans="1:39" x14ac:dyDescent="0.3">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row>
    <row r="255" spans="1:39" x14ac:dyDescent="0.3">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row>
    <row r="256" spans="1:39" x14ac:dyDescent="0.3">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row>
    <row r="257" spans="1:39" x14ac:dyDescent="0.3">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row>
    <row r="258" spans="1:39" x14ac:dyDescent="0.3">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row>
    <row r="259" spans="1:39" x14ac:dyDescent="0.3">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row>
    <row r="260" spans="1:39" x14ac:dyDescent="0.3">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row>
    <row r="261" spans="1:39" x14ac:dyDescent="0.3">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row>
    <row r="262" spans="1:39" x14ac:dyDescent="0.3">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row>
    <row r="263" spans="1:39" x14ac:dyDescent="0.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row>
    <row r="264" spans="1:39" x14ac:dyDescent="0.3">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row>
    <row r="265" spans="1:39" x14ac:dyDescent="0.3">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row>
    <row r="266" spans="1:39" x14ac:dyDescent="0.3">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row>
    <row r="267" spans="1:39" x14ac:dyDescent="0.3">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row>
    <row r="268" spans="1:39" x14ac:dyDescent="0.3">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row>
    <row r="269" spans="1:39" x14ac:dyDescent="0.3">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row>
    <row r="270" spans="1:39" x14ac:dyDescent="0.3">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row>
    <row r="271" spans="1:39" x14ac:dyDescent="0.3">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row>
    <row r="272" spans="1:39" x14ac:dyDescent="0.3">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row>
    <row r="273" spans="1:39" x14ac:dyDescent="0.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row>
    <row r="274" spans="1:39" x14ac:dyDescent="0.3">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row>
    <row r="275" spans="1:39" x14ac:dyDescent="0.3">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row>
    <row r="276" spans="1:39" x14ac:dyDescent="0.3">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row>
    <row r="277" spans="1:39" x14ac:dyDescent="0.3">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row>
    <row r="278" spans="1:39" x14ac:dyDescent="0.3">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row>
    <row r="279" spans="1:39" x14ac:dyDescent="0.3">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row>
    <row r="280" spans="1:39" x14ac:dyDescent="0.3">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row>
    <row r="281" spans="1:39" x14ac:dyDescent="0.3">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row>
    <row r="282" spans="1:39" x14ac:dyDescent="0.3">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row>
    <row r="283" spans="1:39" x14ac:dyDescent="0.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row>
    <row r="284" spans="1:39" x14ac:dyDescent="0.3">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row>
    <row r="285" spans="1:39" x14ac:dyDescent="0.3">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row>
    <row r="286" spans="1:39" x14ac:dyDescent="0.3">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row>
    <row r="287" spans="1:39" x14ac:dyDescent="0.3">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row>
    <row r="288" spans="1:39" x14ac:dyDescent="0.3">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row>
    <row r="289" spans="1:39" x14ac:dyDescent="0.3">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row>
    <row r="290" spans="1:39" x14ac:dyDescent="0.3">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row>
    <row r="291" spans="1:39" x14ac:dyDescent="0.3">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row>
    <row r="292" spans="1:39" x14ac:dyDescent="0.3">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row>
    <row r="293" spans="1:39" x14ac:dyDescent="0.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row>
    <row r="294" spans="1:39" x14ac:dyDescent="0.3">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row>
    <row r="295" spans="1:39" x14ac:dyDescent="0.3">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row>
    <row r="296" spans="1:39" x14ac:dyDescent="0.3">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row>
    <row r="297" spans="1:39" x14ac:dyDescent="0.3">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row>
    <row r="298" spans="1:39" x14ac:dyDescent="0.3">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row>
    <row r="299" spans="1:39" x14ac:dyDescent="0.3">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row>
    <row r="300" spans="1:39" x14ac:dyDescent="0.3">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row>
    <row r="301" spans="1:39" x14ac:dyDescent="0.3">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row>
    <row r="302" spans="1:39" x14ac:dyDescent="0.3">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row>
    <row r="303" spans="1:39" x14ac:dyDescent="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row>
    <row r="304" spans="1:39" x14ac:dyDescent="0.3">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row>
    <row r="305" spans="1:39" x14ac:dyDescent="0.3">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row>
    <row r="306" spans="1:39" x14ac:dyDescent="0.3">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row>
    <row r="307" spans="1:39" x14ac:dyDescent="0.3">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row>
    <row r="308" spans="1:39" x14ac:dyDescent="0.3">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row>
    <row r="309" spans="1:39" x14ac:dyDescent="0.3">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row>
    <row r="310" spans="1:39" x14ac:dyDescent="0.3">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row>
    <row r="311" spans="1:39" x14ac:dyDescent="0.3">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row>
    <row r="312" spans="1:39" x14ac:dyDescent="0.3">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row>
    <row r="313" spans="1:39" x14ac:dyDescent="0.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row>
    <row r="314" spans="1:39" x14ac:dyDescent="0.3">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row>
    <row r="315" spans="1:39" x14ac:dyDescent="0.3">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row>
    <row r="316" spans="1:39" x14ac:dyDescent="0.3">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row>
    <row r="317" spans="1:39" x14ac:dyDescent="0.3">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row>
    <row r="318" spans="1:39" x14ac:dyDescent="0.3">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row>
    <row r="319" spans="1:39" x14ac:dyDescent="0.3">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row>
    <row r="320" spans="1:39" x14ac:dyDescent="0.3">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row>
    <row r="321" spans="1:39" x14ac:dyDescent="0.3">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row>
    <row r="322" spans="1:39" x14ac:dyDescent="0.3">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row>
    <row r="323" spans="1:39" x14ac:dyDescent="0.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row>
    <row r="324" spans="1:39" x14ac:dyDescent="0.3">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row>
    <row r="325" spans="1:39" x14ac:dyDescent="0.3">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row>
    <row r="326" spans="1:39" x14ac:dyDescent="0.3">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row>
    <row r="327" spans="1:39" x14ac:dyDescent="0.3">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row>
    <row r="328" spans="1:39" x14ac:dyDescent="0.3">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row>
    <row r="329" spans="1:39" x14ac:dyDescent="0.3">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row>
    <row r="330" spans="1:39" x14ac:dyDescent="0.3">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row>
    <row r="331" spans="1:39" x14ac:dyDescent="0.3">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row>
    <row r="332" spans="1:39" x14ac:dyDescent="0.3">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row>
    <row r="333" spans="1:39" x14ac:dyDescent="0.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row>
    <row r="334" spans="1:39" x14ac:dyDescent="0.3">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row>
    <row r="335" spans="1:39" x14ac:dyDescent="0.3">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row>
    <row r="336" spans="1:39" x14ac:dyDescent="0.3">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row>
    <row r="337" spans="1:39" x14ac:dyDescent="0.3">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row>
    <row r="338" spans="1:39" x14ac:dyDescent="0.3">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row>
    <row r="339" spans="1:39" x14ac:dyDescent="0.3">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row>
    <row r="340" spans="1:39" x14ac:dyDescent="0.3">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row>
    <row r="341" spans="1:39" x14ac:dyDescent="0.3">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row>
    <row r="342" spans="1:39" x14ac:dyDescent="0.3">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row>
    <row r="343" spans="1:39" x14ac:dyDescent="0.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row>
    <row r="344" spans="1:39" x14ac:dyDescent="0.3">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row>
    <row r="345" spans="1:39" x14ac:dyDescent="0.3">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row>
    <row r="346" spans="1:39" x14ac:dyDescent="0.3">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row>
    <row r="347" spans="1:39" x14ac:dyDescent="0.3">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row>
    <row r="348" spans="1:39" x14ac:dyDescent="0.3">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row>
    <row r="349" spans="1:39" x14ac:dyDescent="0.3">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row>
    <row r="350" spans="1:39" x14ac:dyDescent="0.3">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row>
    <row r="351" spans="1:39" x14ac:dyDescent="0.3">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row>
    <row r="352" spans="1:39" x14ac:dyDescent="0.3">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row>
    <row r="353" spans="1:39" x14ac:dyDescent="0.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row>
    <row r="354" spans="1:39" x14ac:dyDescent="0.3">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row>
    <row r="355" spans="1:39" x14ac:dyDescent="0.3">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row>
    <row r="356" spans="1:39" x14ac:dyDescent="0.3">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row>
    <row r="357" spans="1:39" x14ac:dyDescent="0.3">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row>
    <row r="358" spans="1:39" x14ac:dyDescent="0.3">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row>
    <row r="359" spans="1:39" x14ac:dyDescent="0.3">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row>
    <row r="360" spans="1:39" x14ac:dyDescent="0.3">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row>
    <row r="361" spans="1:39" x14ac:dyDescent="0.3">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row>
    <row r="362" spans="1:39" x14ac:dyDescent="0.3">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row>
    <row r="363" spans="1:39" x14ac:dyDescent="0.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row>
    <row r="364" spans="1:39" x14ac:dyDescent="0.3">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row>
    <row r="365" spans="1:39" x14ac:dyDescent="0.3">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row>
    <row r="366" spans="1:39" x14ac:dyDescent="0.3">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row>
    <row r="367" spans="1:39" x14ac:dyDescent="0.3">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row>
    <row r="368" spans="1:39" x14ac:dyDescent="0.3">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row>
    <row r="369" spans="1:39" x14ac:dyDescent="0.3">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row>
    <row r="370" spans="1:39" x14ac:dyDescent="0.3">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row>
    <row r="371" spans="1:39" x14ac:dyDescent="0.3">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row>
    <row r="372" spans="1:39" x14ac:dyDescent="0.3">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row>
    <row r="373" spans="1:39" x14ac:dyDescent="0.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row>
    <row r="374" spans="1:39" x14ac:dyDescent="0.3">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row>
    <row r="375" spans="1:39" x14ac:dyDescent="0.3">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row>
    <row r="376" spans="1:39" x14ac:dyDescent="0.3">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row>
    <row r="377" spans="1:39" x14ac:dyDescent="0.3">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row>
    <row r="378" spans="1:39" x14ac:dyDescent="0.3">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row>
    <row r="379" spans="1:39" x14ac:dyDescent="0.3">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row>
    <row r="380" spans="1:39" x14ac:dyDescent="0.3">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row>
    <row r="381" spans="1:39" x14ac:dyDescent="0.3">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row>
    <row r="382" spans="1:39" x14ac:dyDescent="0.3">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row>
    <row r="383" spans="1:39" x14ac:dyDescent="0.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row>
    <row r="384" spans="1:39" x14ac:dyDescent="0.3">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row>
    <row r="385" spans="1:39" x14ac:dyDescent="0.3">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row>
    <row r="386" spans="1:39" x14ac:dyDescent="0.3">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row>
    <row r="387" spans="1:39" x14ac:dyDescent="0.3">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row>
    <row r="388" spans="1:39" x14ac:dyDescent="0.3">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row>
    <row r="389" spans="1:39" x14ac:dyDescent="0.3">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row>
    <row r="390" spans="1:39" x14ac:dyDescent="0.3">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row>
    <row r="391" spans="1:39" x14ac:dyDescent="0.3">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row>
    <row r="392" spans="1:39" x14ac:dyDescent="0.3">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row>
    <row r="393" spans="1:39" x14ac:dyDescent="0.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row>
    <row r="394" spans="1:39" x14ac:dyDescent="0.3">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row>
    <row r="395" spans="1:39" x14ac:dyDescent="0.3">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row>
    <row r="396" spans="1:39" x14ac:dyDescent="0.3">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row>
    <row r="397" spans="1:39" x14ac:dyDescent="0.3">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row>
    <row r="398" spans="1:39" x14ac:dyDescent="0.3">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row>
    <row r="399" spans="1:39" x14ac:dyDescent="0.3">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row>
    <row r="400" spans="1:39" x14ac:dyDescent="0.3">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row>
    <row r="401" spans="1:39" x14ac:dyDescent="0.3">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row>
    <row r="402" spans="1:39" x14ac:dyDescent="0.3">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row>
    <row r="403" spans="1:39" x14ac:dyDescent="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row>
    <row r="404" spans="1:39" x14ac:dyDescent="0.3">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row>
    <row r="405" spans="1:39" x14ac:dyDescent="0.3">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row>
    <row r="406" spans="1:39" x14ac:dyDescent="0.3">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row>
    <row r="407" spans="1:39" x14ac:dyDescent="0.3">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row>
    <row r="408" spans="1:39" x14ac:dyDescent="0.3">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row>
    <row r="409" spans="1:39" x14ac:dyDescent="0.3">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row>
    <row r="410" spans="1:39" x14ac:dyDescent="0.3">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row>
    <row r="411" spans="1:39" x14ac:dyDescent="0.3">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row>
    <row r="412" spans="1:39" x14ac:dyDescent="0.3">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row>
    <row r="413" spans="1:39" x14ac:dyDescent="0.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row>
    <row r="414" spans="1:39" x14ac:dyDescent="0.3">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row>
    <row r="415" spans="1:39" x14ac:dyDescent="0.3">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row>
    <row r="416" spans="1:39" x14ac:dyDescent="0.3">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row>
    <row r="417" spans="1:39" x14ac:dyDescent="0.3">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row>
    <row r="418" spans="1:39" x14ac:dyDescent="0.3">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row>
    <row r="419" spans="1:39" x14ac:dyDescent="0.3">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row>
    <row r="420" spans="1:39" x14ac:dyDescent="0.3">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row>
    <row r="421" spans="1:39" x14ac:dyDescent="0.3">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row>
    <row r="422" spans="1:39" x14ac:dyDescent="0.3">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row>
    <row r="423" spans="1:39" x14ac:dyDescent="0.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row>
    <row r="424" spans="1:39" x14ac:dyDescent="0.3">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row>
    <row r="425" spans="1:39" x14ac:dyDescent="0.3">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row>
    <row r="426" spans="1:39" x14ac:dyDescent="0.3">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row>
    <row r="427" spans="1:39" x14ac:dyDescent="0.3">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row>
    <row r="428" spans="1:39" x14ac:dyDescent="0.3">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row>
    <row r="429" spans="1:39" x14ac:dyDescent="0.3">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row>
    <row r="430" spans="1:39" x14ac:dyDescent="0.3">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row>
    <row r="431" spans="1:39" x14ac:dyDescent="0.3">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row>
    <row r="432" spans="1:39" x14ac:dyDescent="0.3">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row>
    <row r="433" spans="1:39" x14ac:dyDescent="0.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row>
    <row r="434" spans="1:39" x14ac:dyDescent="0.3">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row>
    <row r="435" spans="1:39" x14ac:dyDescent="0.3">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row>
    <row r="436" spans="1:39" x14ac:dyDescent="0.3">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row>
    <row r="437" spans="1:39" x14ac:dyDescent="0.3">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row>
    <row r="438" spans="1:39" x14ac:dyDescent="0.3">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row>
    <row r="439" spans="1:39" x14ac:dyDescent="0.3">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row>
    <row r="440" spans="1:39" x14ac:dyDescent="0.3">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row>
    <row r="441" spans="1:39" x14ac:dyDescent="0.3">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row>
    <row r="442" spans="1:39" x14ac:dyDescent="0.3">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row>
    <row r="443" spans="1:39" x14ac:dyDescent="0.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row>
    <row r="444" spans="1:39" x14ac:dyDescent="0.3">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row>
    <row r="445" spans="1:39" x14ac:dyDescent="0.3">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row>
    <row r="446" spans="1:39" x14ac:dyDescent="0.3">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row>
    <row r="447" spans="1:39" x14ac:dyDescent="0.3">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row>
    <row r="448" spans="1:39" x14ac:dyDescent="0.3">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row>
    <row r="449" spans="1:39" x14ac:dyDescent="0.3">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row>
    <row r="450" spans="1:39" x14ac:dyDescent="0.3">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row>
    <row r="451" spans="1:39" x14ac:dyDescent="0.3">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row>
    <row r="452" spans="1:39" x14ac:dyDescent="0.3">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row>
    <row r="453" spans="1:39" x14ac:dyDescent="0.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row>
    <row r="454" spans="1:39" x14ac:dyDescent="0.3">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row>
    <row r="455" spans="1:39" x14ac:dyDescent="0.3">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row>
    <row r="456" spans="1:39" x14ac:dyDescent="0.3">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row>
    <row r="457" spans="1:39" x14ac:dyDescent="0.3">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row>
    <row r="458" spans="1:39" x14ac:dyDescent="0.3">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row>
    <row r="459" spans="1:39" x14ac:dyDescent="0.3">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row>
    <row r="460" spans="1:39" x14ac:dyDescent="0.3">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row>
    <row r="461" spans="1:39" x14ac:dyDescent="0.3">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row>
    <row r="462" spans="1:39" x14ac:dyDescent="0.3">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row>
    <row r="463" spans="1:39" x14ac:dyDescent="0.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row>
    <row r="464" spans="1:39" x14ac:dyDescent="0.3">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row>
    <row r="465" spans="1:39" x14ac:dyDescent="0.3">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row>
    <row r="466" spans="1:39" x14ac:dyDescent="0.3">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row>
    <row r="467" spans="1:39" x14ac:dyDescent="0.3">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row>
    <row r="468" spans="1:39" x14ac:dyDescent="0.3">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row>
    <row r="469" spans="1:39" x14ac:dyDescent="0.3">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row>
    <row r="470" spans="1:39" x14ac:dyDescent="0.3">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row>
    <row r="471" spans="1:39" x14ac:dyDescent="0.3">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row>
    <row r="472" spans="1:39" x14ac:dyDescent="0.3">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row>
    <row r="473" spans="1:39" x14ac:dyDescent="0.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row>
    <row r="474" spans="1:39" x14ac:dyDescent="0.3">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row>
    <row r="475" spans="1:39" x14ac:dyDescent="0.3">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row>
    <row r="476" spans="1:39" x14ac:dyDescent="0.3">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row>
    <row r="477" spans="1:39" x14ac:dyDescent="0.3">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row>
    <row r="478" spans="1:39" x14ac:dyDescent="0.3">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row>
    <row r="479" spans="1:39" x14ac:dyDescent="0.3">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row>
    <row r="480" spans="1:39" x14ac:dyDescent="0.3">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row>
    <row r="481" spans="1:39" x14ac:dyDescent="0.3">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row>
    <row r="482" spans="1:39" x14ac:dyDescent="0.3">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row>
    <row r="483" spans="1:39" x14ac:dyDescent="0.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row>
    <row r="484" spans="1:39" x14ac:dyDescent="0.3">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row>
    <row r="485" spans="1:39" x14ac:dyDescent="0.3">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row>
    <row r="486" spans="1:39" x14ac:dyDescent="0.3">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row>
    <row r="487" spans="1:39" x14ac:dyDescent="0.3">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row>
    <row r="488" spans="1:39" x14ac:dyDescent="0.3">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row>
    <row r="489" spans="1:39" x14ac:dyDescent="0.3">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row>
    <row r="490" spans="1:39" x14ac:dyDescent="0.3">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row>
    <row r="491" spans="1:39" x14ac:dyDescent="0.3">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row>
    <row r="492" spans="1:39" x14ac:dyDescent="0.3">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row>
    <row r="493" spans="1:39" x14ac:dyDescent="0.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row>
    <row r="494" spans="1:39" x14ac:dyDescent="0.3">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row>
    <row r="495" spans="1:39" x14ac:dyDescent="0.3">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row>
    <row r="496" spans="1:39" x14ac:dyDescent="0.3">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row>
    <row r="497" spans="1:39" x14ac:dyDescent="0.3">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row>
    <row r="498" spans="1:39" x14ac:dyDescent="0.3">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row>
    <row r="499" spans="1:39" x14ac:dyDescent="0.3">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row>
    <row r="500" spans="1:39" x14ac:dyDescent="0.3">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row>
    <row r="501" spans="1:39" x14ac:dyDescent="0.3">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row>
    <row r="502" spans="1:39" x14ac:dyDescent="0.3">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row>
    <row r="503" spans="1:39" x14ac:dyDescent="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row>
    <row r="504" spans="1:39" x14ac:dyDescent="0.3">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row>
    <row r="505" spans="1:39" x14ac:dyDescent="0.3">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row>
    <row r="506" spans="1:39" x14ac:dyDescent="0.3">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row>
    <row r="507" spans="1:39" x14ac:dyDescent="0.3">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row>
    <row r="508" spans="1:39" x14ac:dyDescent="0.3">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row>
    <row r="509" spans="1:39" x14ac:dyDescent="0.3">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row>
    <row r="510" spans="1:39" x14ac:dyDescent="0.3">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row>
    <row r="511" spans="1:39" x14ac:dyDescent="0.3">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row>
    <row r="512" spans="1:39" x14ac:dyDescent="0.3">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row>
    <row r="513" spans="1:39" x14ac:dyDescent="0.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row>
    <row r="514" spans="1:39" x14ac:dyDescent="0.3">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row>
    <row r="515" spans="1:39" x14ac:dyDescent="0.3">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row>
    <row r="516" spans="1:39" x14ac:dyDescent="0.3">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row>
    <row r="517" spans="1:39" x14ac:dyDescent="0.3">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row>
    <row r="518" spans="1:39" x14ac:dyDescent="0.3">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row>
    <row r="519" spans="1:39" x14ac:dyDescent="0.3">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row>
    <row r="520" spans="1:39" x14ac:dyDescent="0.3">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row>
    <row r="521" spans="1:39" x14ac:dyDescent="0.3">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row>
    <row r="522" spans="1:39" x14ac:dyDescent="0.3">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row>
    <row r="523" spans="1:39" x14ac:dyDescent="0.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row>
    <row r="524" spans="1:39" x14ac:dyDescent="0.3">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row>
    <row r="525" spans="1:39" x14ac:dyDescent="0.3">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row>
    <row r="526" spans="1:39" x14ac:dyDescent="0.3">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row>
    <row r="527" spans="1:39" x14ac:dyDescent="0.3">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row>
    <row r="528" spans="1:39" x14ac:dyDescent="0.3">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row>
    <row r="529" spans="1:39" x14ac:dyDescent="0.3">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row>
    <row r="530" spans="1:39" x14ac:dyDescent="0.3">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row>
    <row r="531" spans="1:39" x14ac:dyDescent="0.3">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row>
    <row r="532" spans="1:39" x14ac:dyDescent="0.3">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row>
    <row r="533" spans="1:39" x14ac:dyDescent="0.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row>
    <row r="534" spans="1:39" x14ac:dyDescent="0.3">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row>
    <row r="535" spans="1:39" x14ac:dyDescent="0.3">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row>
    <row r="536" spans="1:39" x14ac:dyDescent="0.3">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row>
    <row r="537" spans="1:39" x14ac:dyDescent="0.3">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row>
    <row r="538" spans="1:39" x14ac:dyDescent="0.3">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row>
    <row r="539" spans="1:39" x14ac:dyDescent="0.3">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row>
    <row r="540" spans="1:39" x14ac:dyDescent="0.3">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row>
    <row r="541" spans="1:39" x14ac:dyDescent="0.3">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row>
    <row r="542" spans="1:39" x14ac:dyDescent="0.3">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row>
    <row r="543" spans="1:39" x14ac:dyDescent="0.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row>
    <row r="544" spans="1:39" x14ac:dyDescent="0.3">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row>
    <row r="545" spans="1:39" x14ac:dyDescent="0.3">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row>
    <row r="546" spans="1:39" x14ac:dyDescent="0.3">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row>
    <row r="547" spans="1:39" x14ac:dyDescent="0.3">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row>
    <row r="548" spans="1:39" x14ac:dyDescent="0.3">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row>
    <row r="549" spans="1:39" x14ac:dyDescent="0.3">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row>
    <row r="550" spans="1:39" x14ac:dyDescent="0.3">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row>
    <row r="551" spans="1:39" x14ac:dyDescent="0.3">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row>
    <row r="552" spans="1:39" x14ac:dyDescent="0.3">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row>
    <row r="553" spans="1:39" x14ac:dyDescent="0.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row>
    <row r="554" spans="1:39" x14ac:dyDescent="0.3">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row>
    <row r="555" spans="1:39" x14ac:dyDescent="0.3">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row>
    <row r="556" spans="1:39" x14ac:dyDescent="0.3">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row>
    <row r="557" spans="1:39" x14ac:dyDescent="0.3">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row>
    <row r="558" spans="1:39" x14ac:dyDescent="0.3">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row>
    <row r="559" spans="1:39" x14ac:dyDescent="0.3">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row>
    <row r="560" spans="1:39" x14ac:dyDescent="0.3">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row>
    <row r="561" spans="1:39" x14ac:dyDescent="0.3">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row>
    <row r="562" spans="1:39" x14ac:dyDescent="0.3">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row>
    <row r="563" spans="1:39" x14ac:dyDescent="0.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row>
    <row r="564" spans="1:39" x14ac:dyDescent="0.3">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row>
    <row r="565" spans="1:39" x14ac:dyDescent="0.3">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row>
    <row r="566" spans="1:39" x14ac:dyDescent="0.3">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row>
    <row r="567" spans="1:39" x14ac:dyDescent="0.3">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row>
    <row r="568" spans="1:39" x14ac:dyDescent="0.3">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row>
    <row r="569" spans="1:39" x14ac:dyDescent="0.3">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row>
    <row r="570" spans="1:39" x14ac:dyDescent="0.3">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row>
    <row r="571" spans="1:39" x14ac:dyDescent="0.3">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row>
    <row r="572" spans="1:39" x14ac:dyDescent="0.3">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row>
    <row r="573" spans="1:39" x14ac:dyDescent="0.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row>
    <row r="574" spans="1:39" x14ac:dyDescent="0.3">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row>
    <row r="575" spans="1:39" x14ac:dyDescent="0.3">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row>
    <row r="576" spans="1:39" x14ac:dyDescent="0.3">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row>
    <row r="577" spans="1:39" x14ac:dyDescent="0.3">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row>
    <row r="578" spans="1:39" x14ac:dyDescent="0.3">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row>
    <row r="579" spans="1:39" x14ac:dyDescent="0.3">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row>
    <row r="580" spans="1:39" x14ac:dyDescent="0.3">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row>
    <row r="581" spans="1:39" x14ac:dyDescent="0.3">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row>
    <row r="582" spans="1:39" x14ac:dyDescent="0.3">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row>
    <row r="583" spans="1:39" x14ac:dyDescent="0.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row>
    <row r="584" spans="1:39" x14ac:dyDescent="0.3">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row>
    <row r="585" spans="1:39" x14ac:dyDescent="0.3">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row>
    <row r="586" spans="1:39" x14ac:dyDescent="0.3">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row>
    <row r="587" spans="1:39" x14ac:dyDescent="0.3">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row>
    <row r="588" spans="1:39" x14ac:dyDescent="0.3">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row>
    <row r="589" spans="1:39" x14ac:dyDescent="0.3">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row>
    <row r="590" spans="1:39" x14ac:dyDescent="0.3">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row>
    <row r="591" spans="1:39" x14ac:dyDescent="0.3">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row>
    <row r="592" spans="1:39" x14ac:dyDescent="0.3">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row>
    <row r="593" spans="1:39" x14ac:dyDescent="0.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row>
    <row r="594" spans="1:39" x14ac:dyDescent="0.3">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row>
    <row r="595" spans="1:39" x14ac:dyDescent="0.3">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row>
    <row r="596" spans="1:39" x14ac:dyDescent="0.3">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row>
    <row r="597" spans="1:39" x14ac:dyDescent="0.3">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row>
    <row r="598" spans="1:39" x14ac:dyDescent="0.3">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row>
    <row r="599" spans="1:39" x14ac:dyDescent="0.3">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row>
    <row r="600" spans="1:39" x14ac:dyDescent="0.3">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row>
    <row r="601" spans="1:39" x14ac:dyDescent="0.3">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row>
    <row r="602" spans="1:39" x14ac:dyDescent="0.3">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row>
    <row r="603" spans="1:39" x14ac:dyDescent="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row>
    <row r="604" spans="1:39" x14ac:dyDescent="0.3">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row>
    <row r="605" spans="1:39" x14ac:dyDescent="0.3">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row>
    <row r="606" spans="1:39" x14ac:dyDescent="0.3">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row>
    <row r="607" spans="1:39" x14ac:dyDescent="0.3">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row>
    <row r="608" spans="1:39" x14ac:dyDescent="0.3">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row>
    <row r="609" spans="1:39" x14ac:dyDescent="0.3">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row>
    <row r="610" spans="1:39" x14ac:dyDescent="0.3">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row>
    <row r="611" spans="1:39" x14ac:dyDescent="0.3">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row>
    <row r="612" spans="1:39" x14ac:dyDescent="0.3">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row>
    <row r="613" spans="1:39" x14ac:dyDescent="0.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row>
    <row r="614" spans="1:39" x14ac:dyDescent="0.3">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row>
    <row r="615" spans="1:39" x14ac:dyDescent="0.3">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row>
    <row r="616" spans="1:39" x14ac:dyDescent="0.3">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row>
    <row r="617" spans="1:39" x14ac:dyDescent="0.3">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row>
    <row r="618" spans="1:39" x14ac:dyDescent="0.3">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row>
    <row r="619" spans="1:39" x14ac:dyDescent="0.3">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row>
    <row r="620" spans="1:39" x14ac:dyDescent="0.3">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row>
    <row r="621" spans="1:39" x14ac:dyDescent="0.3">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row>
    <row r="622" spans="1:39" x14ac:dyDescent="0.3">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row>
    <row r="623" spans="1:39" x14ac:dyDescent="0.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row>
    <row r="624" spans="1:39" x14ac:dyDescent="0.3">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row>
    <row r="625" spans="1:39" x14ac:dyDescent="0.3">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row>
    <row r="626" spans="1:39" x14ac:dyDescent="0.3">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row>
    <row r="627" spans="1:39" x14ac:dyDescent="0.3">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row>
    <row r="628" spans="1:39" x14ac:dyDescent="0.3">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row>
    <row r="629" spans="1:39" x14ac:dyDescent="0.3">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row>
    <row r="630" spans="1:39" x14ac:dyDescent="0.3">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row>
    <row r="631" spans="1:39" x14ac:dyDescent="0.3">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row>
    <row r="632" spans="1:39" x14ac:dyDescent="0.3">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row>
    <row r="633" spans="1:39" x14ac:dyDescent="0.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row>
    <row r="634" spans="1:39" x14ac:dyDescent="0.3">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row>
    <row r="635" spans="1:39" x14ac:dyDescent="0.3">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row>
    <row r="636" spans="1:39" x14ac:dyDescent="0.3">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row>
    <row r="637" spans="1:39" x14ac:dyDescent="0.3">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row>
    <row r="638" spans="1:39" x14ac:dyDescent="0.3">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row>
    <row r="639" spans="1:39" x14ac:dyDescent="0.3">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row>
    <row r="640" spans="1:39" x14ac:dyDescent="0.3">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row>
    <row r="641" spans="1:39" x14ac:dyDescent="0.3">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row>
    <row r="642" spans="1:39" x14ac:dyDescent="0.3">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row>
    <row r="643" spans="1:39" x14ac:dyDescent="0.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row>
    <row r="644" spans="1:39" x14ac:dyDescent="0.3">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row>
    <row r="645" spans="1:39" x14ac:dyDescent="0.3">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row>
    <row r="646" spans="1:39" x14ac:dyDescent="0.3">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row>
    <row r="647" spans="1:39" x14ac:dyDescent="0.3">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row>
    <row r="648" spans="1:39" x14ac:dyDescent="0.3">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row>
    <row r="649" spans="1:39" x14ac:dyDescent="0.3">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row>
    <row r="650" spans="1:39" x14ac:dyDescent="0.3">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row>
    <row r="651" spans="1:39" x14ac:dyDescent="0.3">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row>
    <row r="652" spans="1:39" x14ac:dyDescent="0.3">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row>
    <row r="653" spans="1:39" x14ac:dyDescent="0.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row>
    <row r="654" spans="1:39" x14ac:dyDescent="0.3">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row>
    <row r="655" spans="1:39" x14ac:dyDescent="0.3">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row>
    <row r="656" spans="1:39" x14ac:dyDescent="0.3">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row>
    <row r="657" spans="1:39" x14ac:dyDescent="0.3">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row>
    <row r="658" spans="1:39" x14ac:dyDescent="0.3">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row>
    <row r="659" spans="1:39" x14ac:dyDescent="0.3">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row>
    <row r="660" spans="1:39" x14ac:dyDescent="0.3">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row>
    <row r="661" spans="1:39" x14ac:dyDescent="0.3">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row>
    <row r="662" spans="1:39" x14ac:dyDescent="0.3">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row>
    <row r="663" spans="1:39" x14ac:dyDescent="0.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row>
    <row r="664" spans="1:39" x14ac:dyDescent="0.3">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row>
    <row r="665" spans="1:39" x14ac:dyDescent="0.3">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row>
    <row r="666" spans="1:39" x14ac:dyDescent="0.3">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row>
    <row r="667" spans="1:39" x14ac:dyDescent="0.3">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row>
    <row r="668" spans="1:39" x14ac:dyDescent="0.3">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row>
    <row r="669" spans="1:39" x14ac:dyDescent="0.3">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row>
    <row r="670" spans="1:39" x14ac:dyDescent="0.3">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row>
    <row r="671" spans="1:39" x14ac:dyDescent="0.3">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row>
    <row r="672" spans="1:39" x14ac:dyDescent="0.3">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row>
    <row r="673" spans="1:39" x14ac:dyDescent="0.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row>
    <row r="674" spans="1:39" x14ac:dyDescent="0.3">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row>
    <row r="675" spans="1:39" x14ac:dyDescent="0.3">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row>
    <row r="676" spans="1:39" x14ac:dyDescent="0.3">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row>
    <row r="677" spans="1:39" x14ac:dyDescent="0.3">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row>
    <row r="678" spans="1:39" x14ac:dyDescent="0.3">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row>
    <row r="679" spans="1:39" x14ac:dyDescent="0.3">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row>
    <row r="680" spans="1:39" x14ac:dyDescent="0.3">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row>
    <row r="681" spans="1:39" x14ac:dyDescent="0.3">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row>
    <row r="682" spans="1:39" x14ac:dyDescent="0.3">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row>
    <row r="683" spans="1:39" x14ac:dyDescent="0.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row>
    <row r="684" spans="1:39" x14ac:dyDescent="0.3">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row>
    <row r="685" spans="1:39" x14ac:dyDescent="0.3">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row>
    <row r="686" spans="1:39" x14ac:dyDescent="0.3">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row>
    <row r="687" spans="1:39" x14ac:dyDescent="0.3">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row>
    <row r="688" spans="1:39" x14ac:dyDescent="0.3">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row>
    <row r="689" spans="1:39" x14ac:dyDescent="0.3">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row>
    <row r="690" spans="1:39" x14ac:dyDescent="0.3">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row>
    <row r="691" spans="1:39" x14ac:dyDescent="0.3">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row>
    <row r="692" spans="1:39" x14ac:dyDescent="0.3">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row>
    <row r="693" spans="1:39" x14ac:dyDescent="0.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row>
    <row r="694" spans="1:39" x14ac:dyDescent="0.3">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row>
    <row r="695" spans="1:39" x14ac:dyDescent="0.3">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row>
    <row r="696" spans="1:39" x14ac:dyDescent="0.3">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row>
    <row r="697" spans="1:39" x14ac:dyDescent="0.3">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row>
    <row r="698" spans="1:39" x14ac:dyDescent="0.3">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row>
    <row r="699" spans="1:39" x14ac:dyDescent="0.3">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row>
    <row r="700" spans="1:39" x14ac:dyDescent="0.3">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row>
    <row r="701" spans="1:39" x14ac:dyDescent="0.3">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row>
    <row r="702" spans="1:39" x14ac:dyDescent="0.3">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row>
    <row r="703" spans="1:39" x14ac:dyDescent="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row>
    <row r="704" spans="1:39" x14ac:dyDescent="0.3">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row>
    <row r="705" spans="1:39" x14ac:dyDescent="0.3">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row>
    <row r="706" spans="1:39" x14ac:dyDescent="0.3">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row>
    <row r="707" spans="1:39" x14ac:dyDescent="0.3">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row>
    <row r="708" spans="1:39" x14ac:dyDescent="0.3">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row>
    <row r="709" spans="1:39" x14ac:dyDescent="0.3">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row>
    <row r="710" spans="1:39" x14ac:dyDescent="0.3">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row>
    <row r="711" spans="1:39" x14ac:dyDescent="0.3">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row>
    <row r="712" spans="1:39" x14ac:dyDescent="0.3">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row>
    <row r="713" spans="1:39" x14ac:dyDescent="0.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row>
    <row r="714" spans="1:39" x14ac:dyDescent="0.3">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row>
    <row r="715" spans="1:39" x14ac:dyDescent="0.3">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row>
    <row r="716" spans="1:39" x14ac:dyDescent="0.3">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row>
    <row r="717" spans="1:39" x14ac:dyDescent="0.3">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row>
    <row r="718" spans="1:39" x14ac:dyDescent="0.3">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row>
    <row r="719" spans="1:39" x14ac:dyDescent="0.3">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row>
    <row r="720" spans="1:39" x14ac:dyDescent="0.3">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row>
    <row r="721" spans="1:39" x14ac:dyDescent="0.3">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row>
    <row r="722" spans="1:39" x14ac:dyDescent="0.3">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row>
    <row r="723" spans="1:39" x14ac:dyDescent="0.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row>
    <row r="724" spans="1:39" x14ac:dyDescent="0.3">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row>
    <row r="725" spans="1:39" x14ac:dyDescent="0.3">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row>
    <row r="726" spans="1:39" x14ac:dyDescent="0.3">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row>
    <row r="727" spans="1:39" x14ac:dyDescent="0.3">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row>
    <row r="728" spans="1:39" x14ac:dyDescent="0.3">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row>
    <row r="729" spans="1:39" x14ac:dyDescent="0.3">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row>
    <row r="730" spans="1:39" x14ac:dyDescent="0.3">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row>
    <row r="731" spans="1:39" x14ac:dyDescent="0.3">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row>
    <row r="732" spans="1:39" x14ac:dyDescent="0.3">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row>
    <row r="733" spans="1:39" x14ac:dyDescent="0.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row>
    <row r="734" spans="1:39" x14ac:dyDescent="0.3">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row>
    <row r="735" spans="1:39" x14ac:dyDescent="0.3">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row>
    <row r="736" spans="1:39" x14ac:dyDescent="0.3">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row>
    <row r="737" spans="1:39" x14ac:dyDescent="0.3">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row>
    <row r="738" spans="1:39" x14ac:dyDescent="0.3">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row>
    <row r="739" spans="1:39" x14ac:dyDescent="0.3">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row>
    <row r="740" spans="1:39" x14ac:dyDescent="0.3">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row>
    <row r="741" spans="1:39" x14ac:dyDescent="0.3">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row>
    <row r="742" spans="1:39" x14ac:dyDescent="0.3">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row>
    <row r="743" spans="1:39" x14ac:dyDescent="0.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row>
    <row r="744" spans="1:39" x14ac:dyDescent="0.3">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row>
    <row r="745" spans="1:39" x14ac:dyDescent="0.3">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row>
    <row r="746" spans="1:39" x14ac:dyDescent="0.3">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row>
    <row r="747" spans="1:39" x14ac:dyDescent="0.3">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row>
    <row r="748" spans="1:39" x14ac:dyDescent="0.3">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row>
    <row r="749" spans="1:39" x14ac:dyDescent="0.3">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row>
    <row r="750" spans="1:39" x14ac:dyDescent="0.3">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row>
    <row r="751" spans="1:39" x14ac:dyDescent="0.3">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row>
    <row r="752" spans="1:39" x14ac:dyDescent="0.3">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row>
    <row r="753" spans="1:39" x14ac:dyDescent="0.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row>
    <row r="754" spans="1:39" x14ac:dyDescent="0.3">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row>
    <row r="755" spans="1:39" x14ac:dyDescent="0.3">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row>
    <row r="756" spans="1:39" x14ac:dyDescent="0.3">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row>
    <row r="757" spans="1:39" x14ac:dyDescent="0.3">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row>
    <row r="758" spans="1:39" x14ac:dyDescent="0.3">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row>
    <row r="759" spans="1:39" x14ac:dyDescent="0.3">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row>
    <row r="760" spans="1:39" x14ac:dyDescent="0.3">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row>
    <row r="761" spans="1:39" x14ac:dyDescent="0.3">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row>
    <row r="762" spans="1:39" x14ac:dyDescent="0.3">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row>
    <row r="763" spans="1:39" x14ac:dyDescent="0.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row>
    <row r="764" spans="1:39" x14ac:dyDescent="0.3">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row>
    <row r="765" spans="1:39" x14ac:dyDescent="0.3">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row>
    <row r="766" spans="1:39" x14ac:dyDescent="0.3">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row>
    <row r="767" spans="1:39" x14ac:dyDescent="0.3">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row>
    <row r="768" spans="1:39" x14ac:dyDescent="0.3">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row>
    <row r="769" spans="1:39" x14ac:dyDescent="0.3">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row>
    <row r="770" spans="1:39" x14ac:dyDescent="0.3">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row>
    <row r="771" spans="1:39" x14ac:dyDescent="0.3">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row>
    <row r="772" spans="1:39" x14ac:dyDescent="0.3">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row>
    <row r="773" spans="1:39" x14ac:dyDescent="0.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row>
    <row r="774" spans="1:39" x14ac:dyDescent="0.3">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row>
    <row r="775" spans="1:39" x14ac:dyDescent="0.3">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row>
    <row r="776" spans="1:39" x14ac:dyDescent="0.3">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row>
    <row r="777" spans="1:39" x14ac:dyDescent="0.3">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row>
    <row r="778" spans="1:39" x14ac:dyDescent="0.3">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row>
    <row r="779" spans="1:39" x14ac:dyDescent="0.3">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row>
    <row r="780" spans="1:39" x14ac:dyDescent="0.3">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row>
    <row r="781" spans="1:39" x14ac:dyDescent="0.3">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row>
    <row r="782" spans="1:39" x14ac:dyDescent="0.3">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row>
    <row r="783" spans="1:39" x14ac:dyDescent="0.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row>
    <row r="784" spans="1:39" x14ac:dyDescent="0.3">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row>
    <row r="785" spans="1:39" x14ac:dyDescent="0.3">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row>
    <row r="786" spans="1:39" x14ac:dyDescent="0.3">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row>
    <row r="787" spans="1:39" x14ac:dyDescent="0.3">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row>
    <row r="788" spans="1:39" x14ac:dyDescent="0.3">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row>
    <row r="789" spans="1:39" x14ac:dyDescent="0.3">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row>
    <row r="790" spans="1:39" x14ac:dyDescent="0.3">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row>
    <row r="791" spans="1:39" x14ac:dyDescent="0.3">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row>
    <row r="792" spans="1:39" x14ac:dyDescent="0.3">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row>
    <row r="793" spans="1:39" x14ac:dyDescent="0.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row>
    <row r="794" spans="1:39" x14ac:dyDescent="0.3">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row>
    <row r="795" spans="1:39" x14ac:dyDescent="0.3">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row>
    <row r="796" spans="1:39" x14ac:dyDescent="0.3">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row>
    <row r="797" spans="1:39" x14ac:dyDescent="0.3">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row>
    <row r="798" spans="1:39" x14ac:dyDescent="0.3">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row>
    <row r="799" spans="1:39" x14ac:dyDescent="0.3">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row>
    <row r="800" spans="1:39" x14ac:dyDescent="0.3">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row>
    <row r="801" spans="1:39" x14ac:dyDescent="0.3">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row>
    <row r="802" spans="1:39" x14ac:dyDescent="0.3">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row>
    <row r="803" spans="1:39" x14ac:dyDescent="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row>
    <row r="804" spans="1:39" x14ac:dyDescent="0.3">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row>
    <row r="805" spans="1:39" x14ac:dyDescent="0.3">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row>
    <row r="806" spans="1:39" x14ac:dyDescent="0.3">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row>
    <row r="807" spans="1:39" x14ac:dyDescent="0.3">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row>
    <row r="808" spans="1:39" x14ac:dyDescent="0.3">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row>
    <row r="809" spans="1:39" x14ac:dyDescent="0.3">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row>
    <row r="810" spans="1:39" x14ac:dyDescent="0.3">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row>
    <row r="811" spans="1:39" x14ac:dyDescent="0.3">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row>
    <row r="812" spans="1:39" x14ac:dyDescent="0.3">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row>
    <row r="813" spans="1:39" x14ac:dyDescent="0.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row>
    <row r="814" spans="1:39" x14ac:dyDescent="0.3">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row>
    <row r="815" spans="1:39" x14ac:dyDescent="0.3">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row>
    <row r="816" spans="1:39" x14ac:dyDescent="0.3">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row>
    <row r="817" spans="1:39" x14ac:dyDescent="0.3">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row>
    <row r="818" spans="1:39" x14ac:dyDescent="0.3">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row>
    <row r="819" spans="1:39" x14ac:dyDescent="0.3">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row>
    <row r="820" spans="1:39" x14ac:dyDescent="0.3">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row>
    <row r="821" spans="1:39" x14ac:dyDescent="0.3">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row>
    <row r="822" spans="1:39" x14ac:dyDescent="0.3">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row>
    <row r="823" spans="1:39" x14ac:dyDescent="0.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row>
    <row r="824" spans="1:39" x14ac:dyDescent="0.3">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row>
    <row r="825" spans="1:39" x14ac:dyDescent="0.3">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row>
    <row r="826" spans="1:39" x14ac:dyDescent="0.3">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row>
    <row r="827" spans="1:39" x14ac:dyDescent="0.3">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row>
    <row r="828" spans="1:39" x14ac:dyDescent="0.3">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row>
    <row r="829" spans="1:39" x14ac:dyDescent="0.3">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row>
    <row r="830" spans="1:39" x14ac:dyDescent="0.3">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row>
    <row r="831" spans="1:39" x14ac:dyDescent="0.3">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row>
    <row r="832" spans="1:39" x14ac:dyDescent="0.3">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row>
    <row r="833" spans="1:39" x14ac:dyDescent="0.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row>
    <row r="834" spans="1:39" x14ac:dyDescent="0.3">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row>
    <row r="835" spans="1:39" x14ac:dyDescent="0.3">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row>
    <row r="836" spans="1:39" x14ac:dyDescent="0.3">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row>
    <row r="837" spans="1:39" x14ac:dyDescent="0.3">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row>
    <row r="838" spans="1:39" x14ac:dyDescent="0.3">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row>
    <row r="839" spans="1:39" x14ac:dyDescent="0.3">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row>
    <row r="840" spans="1:39" x14ac:dyDescent="0.3">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row>
    <row r="841" spans="1:39" x14ac:dyDescent="0.3">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row>
    <row r="842" spans="1:39" x14ac:dyDescent="0.3">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row>
    <row r="843" spans="1:39" x14ac:dyDescent="0.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row>
    <row r="844" spans="1:39" x14ac:dyDescent="0.3">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row>
    <row r="845" spans="1:39" x14ac:dyDescent="0.3">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row>
    <row r="846" spans="1:39" x14ac:dyDescent="0.3">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row>
    <row r="847" spans="1:39" x14ac:dyDescent="0.3">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row>
    <row r="848" spans="1:39" x14ac:dyDescent="0.3">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row>
    <row r="849" spans="1:39" x14ac:dyDescent="0.3">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row>
    <row r="850" spans="1:39" x14ac:dyDescent="0.3">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row>
    <row r="851" spans="1:39" x14ac:dyDescent="0.3">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row>
    <row r="852" spans="1:39" x14ac:dyDescent="0.3">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row>
    <row r="853" spans="1:39" x14ac:dyDescent="0.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row>
    <row r="854" spans="1:39" x14ac:dyDescent="0.3">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row>
    <row r="855" spans="1:39" x14ac:dyDescent="0.3">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row>
    <row r="856" spans="1:39" x14ac:dyDescent="0.3">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row>
    <row r="857" spans="1:39" x14ac:dyDescent="0.3">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row>
    <row r="858" spans="1:39" x14ac:dyDescent="0.3">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row>
    <row r="859" spans="1:39" x14ac:dyDescent="0.3">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row>
    <row r="860" spans="1:39" x14ac:dyDescent="0.3">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row>
    <row r="861" spans="1:39" x14ac:dyDescent="0.3">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row>
    <row r="862" spans="1:39" x14ac:dyDescent="0.3">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row>
    <row r="863" spans="1:39" x14ac:dyDescent="0.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row>
    <row r="864" spans="1:39" x14ac:dyDescent="0.3">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row>
    <row r="865" spans="1:39" x14ac:dyDescent="0.3">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row>
    <row r="866" spans="1:39" x14ac:dyDescent="0.3">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row>
    <row r="867" spans="1:39" x14ac:dyDescent="0.3">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row>
    <row r="868" spans="1:39" x14ac:dyDescent="0.3">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row>
    <row r="869" spans="1:39" x14ac:dyDescent="0.3">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row>
    <row r="870" spans="1:39" x14ac:dyDescent="0.3">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row>
    <row r="871" spans="1:39" x14ac:dyDescent="0.3">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row>
    <row r="872" spans="1:39" x14ac:dyDescent="0.3">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row>
    <row r="873" spans="1:39" x14ac:dyDescent="0.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row>
    <row r="874" spans="1:39" x14ac:dyDescent="0.3">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row>
    <row r="875" spans="1:39" x14ac:dyDescent="0.3">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row>
    <row r="876" spans="1:39" x14ac:dyDescent="0.3">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row>
    <row r="877" spans="1:39" x14ac:dyDescent="0.3">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row>
    <row r="878" spans="1:39" x14ac:dyDescent="0.3">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row>
    <row r="879" spans="1:39" x14ac:dyDescent="0.3">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row>
    <row r="880" spans="1:39" x14ac:dyDescent="0.3">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row>
    <row r="881" spans="1:39" x14ac:dyDescent="0.3">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row>
    <row r="882" spans="1:39" x14ac:dyDescent="0.3">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row>
    <row r="883" spans="1:39" x14ac:dyDescent="0.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row>
    <row r="884" spans="1:39" x14ac:dyDescent="0.3">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row>
    <row r="885" spans="1:39" x14ac:dyDescent="0.3">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row>
    <row r="886" spans="1:39" x14ac:dyDescent="0.3">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row>
    <row r="887" spans="1:39" x14ac:dyDescent="0.3">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row>
    <row r="888" spans="1:39" x14ac:dyDescent="0.3">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row>
    <row r="889" spans="1:39" x14ac:dyDescent="0.3">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row>
    <row r="890" spans="1:39" x14ac:dyDescent="0.3">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row>
    <row r="891" spans="1:39" x14ac:dyDescent="0.3">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row>
    <row r="892" spans="1:39" x14ac:dyDescent="0.3">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row>
    <row r="893" spans="1:39" x14ac:dyDescent="0.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row>
    <row r="894" spans="1:39" x14ac:dyDescent="0.3">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row>
    <row r="895" spans="1:39" x14ac:dyDescent="0.3">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row>
    <row r="896" spans="1:39" x14ac:dyDescent="0.3">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row>
    <row r="897" spans="1:39" x14ac:dyDescent="0.3">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row>
    <row r="898" spans="1:39" x14ac:dyDescent="0.3">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row>
    <row r="899" spans="1:39" x14ac:dyDescent="0.3">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row>
    <row r="900" spans="1:39" x14ac:dyDescent="0.3">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row>
    <row r="901" spans="1:39" x14ac:dyDescent="0.3">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row>
    <row r="902" spans="1:39" x14ac:dyDescent="0.3">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row>
    <row r="903" spans="1:39" x14ac:dyDescent="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row>
    <row r="904" spans="1:39" x14ac:dyDescent="0.3">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row>
    <row r="905" spans="1:39" x14ac:dyDescent="0.3">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row>
    <row r="906" spans="1:39" x14ac:dyDescent="0.3">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row>
    <row r="907" spans="1:39" x14ac:dyDescent="0.3">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row>
    <row r="908" spans="1:39" x14ac:dyDescent="0.3">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row>
    <row r="909" spans="1:39" x14ac:dyDescent="0.3">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row>
    <row r="910" spans="1:39" x14ac:dyDescent="0.3">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row>
    <row r="911" spans="1:39" x14ac:dyDescent="0.3">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row>
    <row r="912" spans="1:39" x14ac:dyDescent="0.3">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row>
    <row r="913" spans="1:39" x14ac:dyDescent="0.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row>
    <row r="914" spans="1:39" x14ac:dyDescent="0.3">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row>
    <row r="915" spans="1:39" x14ac:dyDescent="0.3">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row>
    <row r="916" spans="1:39" x14ac:dyDescent="0.3">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row>
    <row r="917" spans="1:39" x14ac:dyDescent="0.3">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row>
    <row r="918" spans="1:39" x14ac:dyDescent="0.3">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row>
    <row r="919" spans="1:39" x14ac:dyDescent="0.3">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row>
    <row r="920" spans="1:39" x14ac:dyDescent="0.3">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row>
    <row r="921" spans="1:39" x14ac:dyDescent="0.3">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row>
    <row r="922" spans="1:39" x14ac:dyDescent="0.3">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row>
    <row r="923" spans="1:39" x14ac:dyDescent="0.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row>
    <row r="924" spans="1:39" x14ac:dyDescent="0.3">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row>
    <row r="925" spans="1:39" x14ac:dyDescent="0.3">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row>
    <row r="926" spans="1:39" x14ac:dyDescent="0.3">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row>
    <row r="927" spans="1:39" x14ac:dyDescent="0.3">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row>
    <row r="928" spans="1:39" x14ac:dyDescent="0.3">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row>
    <row r="929" spans="1:39" x14ac:dyDescent="0.3">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row>
    <row r="930" spans="1:39" x14ac:dyDescent="0.3">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row>
    <row r="931" spans="1:39" x14ac:dyDescent="0.3">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row>
    <row r="932" spans="1:39" x14ac:dyDescent="0.3">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row>
    <row r="933" spans="1:39" x14ac:dyDescent="0.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row>
    <row r="934" spans="1:39" x14ac:dyDescent="0.3">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row>
    <row r="935" spans="1:39" x14ac:dyDescent="0.3">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row>
    <row r="936" spans="1:39" x14ac:dyDescent="0.3">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row>
    <row r="937" spans="1:39" x14ac:dyDescent="0.3">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row>
    <row r="938" spans="1:39" x14ac:dyDescent="0.3">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row>
    <row r="939" spans="1:39" x14ac:dyDescent="0.3">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row>
    <row r="940" spans="1:39" x14ac:dyDescent="0.3">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row>
    <row r="941" spans="1:39" x14ac:dyDescent="0.3">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row>
    <row r="942" spans="1:39" x14ac:dyDescent="0.3">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row>
    <row r="943" spans="1:39" x14ac:dyDescent="0.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row>
    <row r="944" spans="1:39" x14ac:dyDescent="0.3">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row>
    <row r="945" spans="1:39" x14ac:dyDescent="0.3">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row>
    <row r="946" spans="1:39" x14ac:dyDescent="0.3">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row>
    <row r="947" spans="1:39" x14ac:dyDescent="0.3">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row>
    <row r="948" spans="1:39" x14ac:dyDescent="0.3">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row>
    <row r="949" spans="1:39" x14ac:dyDescent="0.3">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row>
    <row r="950" spans="1:39" x14ac:dyDescent="0.3">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row>
    <row r="951" spans="1:39" x14ac:dyDescent="0.3">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row>
    <row r="952" spans="1:39" x14ac:dyDescent="0.3">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row>
    <row r="953" spans="1:39" x14ac:dyDescent="0.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row>
    <row r="954" spans="1:39" x14ac:dyDescent="0.3">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row>
    <row r="955" spans="1:39" x14ac:dyDescent="0.3">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row>
    <row r="956" spans="1:39" x14ac:dyDescent="0.3">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row>
    <row r="957" spans="1:39" x14ac:dyDescent="0.3">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row>
    <row r="958" spans="1:39" x14ac:dyDescent="0.3">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row>
    <row r="959" spans="1:39" x14ac:dyDescent="0.3">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row>
    <row r="960" spans="1:39" x14ac:dyDescent="0.3">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row>
    <row r="961" spans="1:39" x14ac:dyDescent="0.3">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row>
    <row r="962" spans="1:39" x14ac:dyDescent="0.3">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row>
    <row r="963" spans="1:39" x14ac:dyDescent="0.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row>
    <row r="964" spans="1:39" x14ac:dyDescent="0.3">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row>
    <row r="965" spans="1:39" x14ac:dyDescent="0.3">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row>
    <row r="966" spans="1:39" x14ac:dyDescent="0.3">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row>
    <row r="967" spans="1:39" x14ac:dyDescent="0.3">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row>
    <row r="968" spans="1:39" x14ac:dyDescent="0.3">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row>
    <row r="969" spans="1:39" x14ac:dyDescent="0.3">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row>
    <row r="970" spans="1:39" x14ac:dyDescent="0.3">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row>
    <row r="971" spans="1:39" x14ac:dyDescent="0.3">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row>
    <row r="972" spans="1:39" x14ac:dyDescent="0.3">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row>
    <row r="973" spans="1:39" x14ac:dyDescent="0.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row>
    <row r="974" spans="1:39" x14ac:dyDescent="0.3">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row>
    <row r="975" spans="1:39" x14ac:dyDescent="0.3">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row>
    <row r="976" spans="1:39" x14ac:dyDescent="0.3">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row>
    <row r="977" spans="1:39" x14ac:dyDescent="0.3">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row>
    <row r="978" spans="1:39" x14ac:dyDescent="0.3">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row>
    <row r="979" spans="1:39" x14ac:dyDescent="0.3">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row>
    <row r="980" spans="1:39" x14ac:dyDescent="0.3">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row>
    <row r="981" spans="1:39" x14ac:dyDescent="0.3">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row>
    <row r="982" spans="1:39" x14ac:dyDescent="0.3">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row>
    <row r="983" spans="1:39" x14ac:dyDescent="0.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row>
    <row r="984" spans="1:39" x14ac:dyDescent="0.3">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row>
    <row r="985" spans="1:39" x14ac:dyDescent="0.3">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row>
    <row r="986" spans="1:39" x14ac:dyDescent="0.3">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row>
    <row r="987" spans="1:39" x14ac:dyDescent="0.3">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row>
    <row r="988" spans="1:39" x14ac:dyDescent="0.3">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row>
    <row r="989" spans="1:39" x14ac:dyDescent="0.3">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row>
    <row r="990" spans="1:39" x14ac:dyDescent="0.3">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row>
    <row r="991" spans="1:39" x14ac:dyDescent="0.3">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row>
    <row r="992" spans="1:39" x14ac:dyDescent="0.3">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row>
    <row r="993" spans="1:39" x14ac:dyDescent="0.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row>
    <row r="994" spans="1:39" x14ac:dyDescent="0.3">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row>
    <row r="995" spans="1:39" x14ac:dyDescent="0.3">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row>
    <row r="996" spans="1:39" x14ac:dyDescent="0.3">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row>
    <row r="997" spans="1:39" x14ac:dyDescent="0.3">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row>
    <row r="998" spans="1:39" x14ac:dyDescent="0.3">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row>
    <row r="999" spans="1:39" x14ac:dyDescent="0.3">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row>
    <row r="1000" spans="1:39" x14ac:dyDescent="0.3">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row>
    <row r="1001" spans="1:39" x14ac:dyDescent="0.3">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row>
    <row r="1002" spans="1:39" x14ac:dyDescent="0.3">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c r="AL1002" s="14"/>
      <c r="AM1002" s="14"/>
    </row>
    <row r="1003" spans="1:39" x14ac:dyDescent="0.3">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c r="AL1003" s="14"/>
      <c r="AM1003" s="14"/>
    </row>
    <row r="1004" spans="1:39" x14ac:dyDescent="0.3">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c r="AL1004" s="14"/>
      <c r="AM1004" s="14"/>
    </row>
    <row r="1005" spans="1:39" x14ac:dyDescent="0.3">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c r="AD1005" s="14"/>
      <c r="AE1005" s="14"/>
      <c r="AF1005" s="14"/>
      <c r="AG1005" s="14"/>
      <c r="AH1005" s="14"/>
      <c r="AI1005" s="14"/>
      <c r="AJ1005" s="14"/>
      <c r="AK1005" s="14"/>
      <c r="AL1005" s="14"/>
      <c r="AM1005" s="14"/>
    </row>
    <row r="1006" spans="1:39" x14ac:dyDescent="0.3">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c r="AE1006" s="14"/>
      <c r="AF1006" s="14"/>
      <c r="AG1006" s="14"/>
      <c r="AH1006" s="14"/>
      <c r="AI1006" s="14"/>
      <c r="AJ1006" s="14"/>
      <c r="AK1006" s="14"/>
      <c r="AL1006" s="14"/>
      <c r="AM1006" s="14"/>
    </row>
    <row r="1007" spans="1:39" x14ac:dyDescent="0.3">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4"/>
      <c r="AE1007" s="14"/>
      <c r="AF1007" s="14"/>
      <c r="AG1007" s="14"/>
      <c r="AH1007" s="14"/>
      <c r="AI1007" s="14"/>
      <c r="AJ1007" s="14"/>
      <c r="AK1007" s="14"/>
      <c r="AL1007" s="14"/>
      <c r="AM1007" s="14"/>
    </row>
    <row r="1008" spans="1:39" x14ac:dyDescent="0.3">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4"/>
      <c r="AE1008" s="14"/>
      <c r="AF1008" s="14"/>
      <c r="AG1008" s="14"/>
      <c r="AH1008" s="14"/>
      <c r="AI1008" s="14"/>
      <c r="AJ1008" s="14"/>
      <c r="AK1008" s="14"/>
      <c r="AL1008" s="14"/>
      <c r="AM1008" s="14"/>
    </row>
    <row r="1009" spans="1:39" x14ac:dyDescent="0.3">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14"/>
      <c r="AL1009" s="14"/>
      <c r="AM1009" s="14"/>
    </row>
    <row r="1010" spans="1:39" x14ac:dyDescent="0.3">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c r="AD1010" s="14"/>
      <c r="AE1010" s="14"/>
      <c r="AF1010" s="14"/>
      <c r="AG1010" s="14"/>
      <c r="AH1010" s="14"/>
      <c r="AI1010" s="14"/>
      <c r="AJ1010" s="14"/>
      <c r="AK1010" s="14"/>
      <c r="AL1010" s="14"/>
      <c r="AM1010" s="14"/>
    </row>
    <row r="1011" spans="1:39" x14ac:dyDescent="0.3">
      <c r="A1011" s="14"/>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4"/>
      <c r="AE1011" s="14"/>
      <c r="AF1011" s="14"/>
      <c r="AG1011" s="14"/>
      <c r="AH1011" s="14"/>
      <c r="AI1011" s="14"/>
      <c r="AJ1011" s="14"/>
      <c r="AK1011" s="14"/>
      <c r="AL1011" s="14"/>
      <c r="AM1011" s="14"/>
    </row>
    <row r="1012" spans="1:39" x14ac:dyDescent="0.3">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c r="AD1012" s="14"/>
      <c r="AE1012" s="14"/>
      <c r="AF1012" s="14"/>
      <c r="AG1012" s="14"/>
      <c r="AH1012" s="14"/>
      <c r="AI1012" s="14"/>
      <c r="AJ1012" s="14"/>
      <c r="AK1012" s="14"/>
      <c r="AL1012" s="14"/>
      <c r="AM1012" s="14"/>
    </row>
    <row r="1013" spans="1:39" x14ac:dyDescent="0.3">
      <c r="A1013" s="14"/>
      <c r="B1013" s="14"/>
      <c r="C1013" s="14"/>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c r="AD1013" s="14"/>
      <c r="AE1013" s="14"/>
      <c r="AF1013" s="14"/>
      <c r="AG1013" s="14"/>
      <c r="AH1013" s="14"/>
      <c r="AI1013" s="14"/>
      <c r="AJ1013" s="14"/>
      <c r="AK1013" s="14"/>
      <c r="AL1013" s="14"/>
      <c r="AM1013" s="14"/>
    </row>
    <row r="1014" spans="1:39" x14ac:dyDescent="0.3">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c r="AD1014" s="14"/>
      <c r="AE1014" s="14"/>
      <c r="AF1014" s="14"/>
      <c r="AG1014" s="14"/>
      <c r="AH1014" s="14"/>
      <c r="AI1014" s="14"/>
      <c r="AJ1014" s="14"/>
      <c r="AK1014" s="14"/>
      <c r="AL1014" s="14"/>
      <c r="AM1014" s="14"/>
    </row>
    <row r="1015" spans="1:39" x14ac:dyDescent="0.3">
      <c r="A1015" s="14"/>
      <c r="B1015" s="14"/>
      <c r="C1015" s="14"/>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c r="AD1015" s="14"/>
      <c r="AE1015" s="14"/>
      <c r="AF1015" s="14"/>
      <c r="AG1015" s="14"/>
      <c r="AH1015" s="14"/>
      <c r="AI1015" s="14"/>
      <c r="AJ1015" s="14"/>
      <c r="AK1015" s="14"/>
      <c r="AL1015" s="14"/>
      <c r="AM1015" s="14"/>
    </row>
    <row r="1016" spans="1:39" x14ac:dyDescent="0.3">
      <c r="A1016" s="14"/>
      <c r="B1016" s="14"/>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c r="AD1016" s="14"/>
      <c r="AE1016" s="14"/>
      <c r="AF1016" s="14"/>
      <c r="AG1016" s="14"/>
      <c r="AH1016" s="14"/>
      <c r="AI1016" s="14"/>
      <c r="AJ1016" s="14"/>
      <c r="AK1016" s="14"/>
      <c r="AL1016" s="14"/>
      <c r="AM1016" s="14"/>
    </row>
    <row r="1017" spans="1:39" x14ac:dyDescent="0.3">
      <c r="A1017" s="14"/>
      <c r="B1017" s="14"/>
      <c r="C1017" s="14"/>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c r="AD1017" s="14"/>
      <c r="AE1017" s="14"/>
      <c r="AF1017" s="14"/>
      <c r="AG1017" s="14"/>
      <c r="AH1017" s="14"/>
      <c r="AI1017" s="14"/>
      <c r="AJ1017" s="14"/>
      <c r="AK1017" s="14"/>
      <c r="AL1017" s="14"/>
      <c r="AM1017" s="14"/>
    </row>
    <row r="1018" spans="1:39" x14ac:dyDescent="0.3">
      <c r="A1018" s="14"/>
      <c r="B1018" s="14"/>
      <c r="C1018" s="14"/>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c r="AD1018" s="14"/>
      <c r="AE1018" s="14"/>
      <c r="AF1018" s="14"/>
      <c r="AG1018" s="14"/>
      <c r="AH1018" s="14"/>
      <c r="AI1018" s="14"/>
      <c r="AJ1018" s="14"/>
      <c r="AK1018" s="14"/>
      <c r="AL1018" s="14"/>
      <c r="AM1018" s="14"/>
    </row>
    <row r="1019" spans="1:39" x14ac:dyDescent="0.3">
      <c r="A1019" s="14"/>
      <c r="B1019" s="14"/>
      <c r="C1019" s="14"/>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c r="AD1019" s="14"/>
      <c r="AE1019" s="14"/>
      <c r="AF1019" s="14"/>
      <c r="AG1019" s="14"/>
      <c r="AH1019" s="14"/>
      <c r="AI1019" s="14"/>
      <c r="AJ1019" s="14"/>
      <c r="AK1019" s="14"/>
      <c r="AL1019" s="14"/>
      <c r="AM1019" s="14"/>
    </row>
    <row r="1020" spans="1:39" x14ac:dyDescent="0.3">
      <c r="A1020" s="14"/>
      <c r="B1020" s="14"/>
      <c r="C1020" s="14"/>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c r="AB1020" s="14"/>
      <c r="AC1020" s="14"/>
      <c r="AD1020" s="14"/>
      <c r="AE1020" s="14"/>
      <c r="AF1020" s="14"/>
      <c r="AG1020" s="14"/>
      <c r="AH1020" s="14"/>
      <c r="AI1020" s="14"/>
      <c r="AJ1020" s="14"/>
      <c r="AK1020" s="14"/>
      <c r="AL1020" s="14"/>
      <c r="AM1020" s="14"/>
    </row>
    <row r="1021" spans="1:39" x14ac:dyDescent="0.3">
      <c r="A1021" s="14"/>
      <c r="B1021" s="14"/>
      <c r="C1021" s="14"/>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c r="AD1021" s="14"/>
      <c r="AE1021" s="14"/>
      <c r="AF1021" s="14"/>
      <c r="AG1021" s="14"/>
      <c r="AH1021" s="14"/>
      <c r="AI1021" s="14"/>
      <c r="AJ1021" s="14"/>
      <c r="AK1021" s="14"/>
      <c r="AL1021" s="14"/>
      <c r="AM1021" s="14"/>
    </row>
    <row r="1022" spans="1:39" x14ac:dyDescent="0.3">
      <c r="A1022" s="14"/>
      <c r="B1022" s="14"/>
      <c r="C1022" s="14"/>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c r="AD1022" s="14"/>
      <c r="AE1022" s="14"/>
      <c r="AF1022" s="14"/>
      <c r="AG1022" s="14"/>
      <c r="AH1022" s="14"/>
      <c r="AI1022" s="14"/>
      <c r="AJ1022" s="14"/>
      <c r="AK1022" s="14"/>
      <c r="AL1022" s="14"/>
      <c r="AM1022" s="14"/>
    </row>
    <row r="1023" spans="1:39" x14ac:dyDescent="0.3">
      <c r="A1023" s="14"/>
      <c r="B1023" s="14"/>
      <c r="C1023" s="14"/>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c r="AD1023" s="14"/>
      <c r="AE1023" s="14"/>
      <c r="AF1023" s="14"/>
      <c r="AG1023" s="14"/>
      <c r="AH1023" s="14"/>
      <c r="AI1023" s="14"/>
      <c r="AJ1023" s="14"/>
      <c r="AK1023" s="14"/>
      <c r="AL1023" s="14"/>
      <c r="AM1023" s="14"/>
    </row>
    <row r="1024" spans="1:39" x14ac:dyDescent="0.3">
      <c r="A1024" s="14"/>
      <c r="B1024" s="14"/>
      <c r="C1024" s="14"/>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c r="AD1024" s="14"/>
      <c r="AE1024" s="14"/>
      <c r="AF1024" s="14"/>
      <c r="AG1024" s="14"/>
      <c r="AH1024" s="14"/>
      <c r="AI1024" s="14"/>
      <c r="AJ1024" s="14"/>
      <c r="AK1024" s="14"/>
      <c r="AL1024" s="14"/>
      <c r="AM1024" s="14"/>
    </row>
    <row r="1025" spans="1:39" x14ac:dyDescent="0.3">
      <c r="A1025" s="14"/>
      <c r="B1025" s="14"/>
      <c r="C1025" s="14"/>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c r="AD1025" s="14"/>
      <c r="AE1025" s="14"/>
      <c r="AF1025" s="14"/>
      <c r="AG1025" s="14"/>
      <c r="AH1025" s="14"/>
      <c r="AI1025" s="14"/>
      <c r="AJ1025" s="14"/>
      <c r="AK1025" s="14"/>
      <c r="AL1025" s="14"/>
      <c r="AM1025" s="14"/>
    </row>
    <row r="1026" spans="1:39" x14ac:dyDescent="0.3">
      <c r="A1026" s="14"/>
      <c r="B1026" s="14"/>
      <c r="C1026" s="14"/>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c r="AD1026" s="14"/>
      <c r="AE1026" s="14"/>
      <c r="AF1026" s="14"/>
      <c r="AG1026" s="14"/>
      <c r="AH1026" s="14"/>
      <c r="AI1026" s="14"/>
      <c r="AJ1026" s="14"/>
      <c r="AK1026" s="14"/>
      <c r="AL1026" s="14"/>
      <c r="AM1026" s="14"/>
    </row>
    <row r="1027" spans="1:39" x14ac:dyDescent="0.3">
      <c r="A1027" s="14"/>
      <c r="B1027" s="14"/>
      <c r="C1027" s="14"/>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c r="AB1027" s="14"/>
      <c r="AC1027" s="14"/>
      <c r="AD1027" s="14"/>
      <c r="AE1027" s="14"/>
      <c r="AF1027" s="14"/>
      <c r="AG1027" s="14"/>
      <c r="AH1027" s="14"/>
      <c r="AI1027" s="14"/>
      <c r="AJ1027" s="14"/>
      <c r="AK1027" s="14"/>
      <c r="AL1027" s="14"/>
      <c r="AM1027" s="14"/>
    </row>
    <row r="1028" spans="1:39" x14ac:dyDescent="0.3">
      <c r="A1028" s="14"/>
      <c r="B1028" s="14"/>
      <c r="C1028" s="14"/>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c r="AB1028" s="14"/>
      <c r="AC1028" s="14"/>
      <c r="AD1028" s="14"/>
      <c r="AE1028" s="14"/>
      <c r="AF1028" s="14"/>
      <c r="AG1028" s="14"/>
      <c r="AH1028" s="14"/>
      <c r="AI1028" s="14"/>
      <c r="AJ1028" s="14"/>
      <c r="AK1028" s="14"/>
      <c r="AL1028" s="14"/>
      <c r="AM1028" s="14"/>
    </row>
    <row r="1029" spans="1:39" x14ac:dyDescent="0.3">
      <c r="A1029" s="14"/>
      <c r="B1029" s="14"/>
      <c r="C1029" s="14"/>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c r="AD1029" s="14"/>
      <c r="AE1029" s="14"/>
      <c r="AF1029" s="14"/>
      <c r="AG1029" s="14"/>
      <c r="AH1029" s="14"/>
      <c r="AI1029" s="14"/>
      <c r="AJ1029" s="14"/>
      <c r="AK1029" s="14"/>
      <c r="AL1029" s="14"/>
      <c r="AM1029" s="14"/>
    </row>
    <row r="1030" spans="1:39" x14ac:dyDescent="0.3">
      <c r="A1030" s="14"/>
      <c r="B1030" s="14"/>
      <c r="C1030" s="14"/>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c r="AD1030" s="14"/>
      <c r="AE1030" s="14"/>
      <c r="AF1030" s="14"/>
      <c r="AG1030" s="14"/>
      <c r="AH1030" s="14"/>
      <c r="AI1030" s="14"/>
      <c r="AJ1030" s="14"/>
      <c r="AK1030" s="14"/>
      <c r="AL1030" s="14"/>
      <c r="AM1030" s="14"/>
    </row>
    <row r="1031" spans="1:39" x14ac:dyDescent="0.3">
      <c r="A1031" s="14"/>
      <c r="B1031" s="14"/>
      <c r="C1031" s="14"/>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c r="AD1031" s="14"/>
      <c r="AE1031" s="14"/>
      <c r="AF1031" s="14"/>
      <c r="AG1031" s="14"/>
      <c r="AH1031" s="14"/>
      <c r="AI1031" s="14"/>
      <c r="AJ1031" s="14"/>
      <c r="AK1031" s="14"/>
      <c r="AL1031" s="14"/>
      <c r="AM1031" s="14"/>
    </row>
    <row r="1032" spans="1:39" x14ac:dyDescent="0.3">
      <c r="A1032" s="14"/>
      <c r="B1032" s="14"/>
      <c r="C1032" s="14"/>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c r="AD1032" s="14"/>
      <c r="AE1032" s="14"/>
      <c r="AF1032" s="14"/>
      <c r="AG1032" s="14"/>
      <c r="AH1032" s="14"/>
      <c r="AI1032" s="14"/>
      <c r="AJ1032" s="14"/>
      <c r="AK1032" s="14"/>
      <c r="AL1032" s="14"/>
      <c r="AM1032" s="14"/>
    </row>
    <row r="1033" spans="1:39" x14ac:dyDescent="0.3">
      <c r="A1033" s="14"/>
      <c r="B1033" s="14"/>
      <c r="C1033" s="14"/>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c r="AD1033" s="14"/>
      <c r="AE1033" s="14"/>
      <c r="AF1033" s="14"/>
      <c r="AG1033" s="14"/>
      <c r="AH1033" s="14"/>
      <c r="AI1033" s="14"/>
      <c r="AJ1033" s="14"/>
      <c r="AK1033" s="14"/>
      <c r="AL1033" s="14"/>
      <c r="AM1033" s="14"/>
    </row>
    <row r="1034" spans="1:39" x14ac:dyDescent="0.3">
      <c r="A1034" s="14"/>
      <c r="B1034" s="14"/>
      <c r="C1034" s="14"/>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c r="AD1034" s="14"/>
      <c r="AE1034" s="14"/>
      <c r="AF1034" s="14"/>
      <c r="AG1034" s="14"/>
      <c r="AH1034" s="14"/>
      <c r="AI1034" s="14"/>
      <c r="AJ1034" s="14"/>
      <c r="AK1034" s="14"/>
      <c r="AL1034" s="14"/>
      <c r="AM1034" s="14"/>
    </row>
    <row r="1035" spans="1:39" x14ac:dyDescent="0.3">
      <c r="A1035" s="14"/>
      <c r="B1035" s="14"/>
      <c r="C1035" s="14"/>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c r="AB1035" s="14"/>
      <c r="AC1035" s="14"/>
      <c r="AD1035" s="14"/>
      <c r="AE1035" s="14"/>
      <c r="AF1035" s="14"/>
      <c r="AG1035" s="14"/>
      <c r="AH1035" s="14"/>
      <c r="AI1035" s="14"/>
      <c r="AJ1035" s="14"/>
      <c r="AK1035" s="14"/>
      <c r="AL1035" s="14"/>
      <c r="AM1035" s="14"/>
    </row>
    <row r="1036" spans="1:39" x14ac:dyDescent="0.3">
      <c r="A1036" s="14"/>
      <c r="B1036" s="14"/>
      <c r="C1036" s="14"/>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c r="AB1036" s="14"/>
      <c r="AC1036" s="14"/>
      <c r="AD1036" s="14"/>
      <c r="AE1036" s="14"/>
      <c r="AF1036" s="14"/>
      <c r="AG1036" s="14"/>
      <c r="AH1036" s="14"/>
      <c r="AI1036" s="14"/>
      <c r="AJ1036" s="14"/>
      <c r="AK1036" s="14"/>
      <c r="AL1036" s="14"/>
      <c r="AM1036" s="14"/>
    </row>
    <row r="1037" spans="1:39" x14ac:dyDescent="0.3">
      <c r="A1037" s="14"/>
      <c r="B1037" s="14"/>
      <c r="C1037" s="14"/>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c r="AB1037" s="14"/>
      <c r="AC1037" s="14"/>
      <c r="AD1037" s="14"/>
      <c r="AE1037" s="14"/>
      <c r="AF1037" s="14"/>
      <c r="AG1037" s="14"/>
      <c r="AH1037" s="14"/>
      <c r="AI1037" s="14"/>
      <c r="AJ1037" s="14"/>
      <c r="AK1037" s="14"/>
      <c r="AL1037" s="14"/>
      <c r="AM1037" s="14"/>
    </row>
    <row r="1038" spans="1:39" x14ac:dyDescent="0.3">
      <c r="A1038" s="14"/>
      <c r="B1038" s="14"/>
      <c r="C1038" s="14"/>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c r="AD1038" s="14"/>
      <c r="AE1038" s="14"/>
      <c r="AF1038" s="14"/>
      <c r="AG1038" s="14"/>
      <c r="AH1038" s="14"/>
      <c r="AI1038" s="14"/>
      <c r="AJ1038" s="14"/>
      <c r="AK1038" s="14"/>
      <c r="AL1038" s="14"/>
      <c r="AM1038" s="14"/>
    </row>
    <row r="1039" spans="1:39" x14ac:dyDescent="0.3">
      <c r="A1039" s="14"/>
      <c r="B1039" s="14"/>
      <c r="C1039" s="14"/>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c r="AD1039" s="14"/>
      <c r="AE1039" s="14"/>
      <c r="AF1039" s="14"/>
      <c r="AG1039" s="14"/>
      <c r="AH1039" s="14"/>
      <c r="AI1039" s="14"/>
      <c r="AJ1039" s="14"/>
      <c r="AK1039" s="14"/>
      <c r="AL1039" s="14"/>
      <c r="AM1039" s="14"/>
    </row>
    <row r="1040" spans="1:39" x14ac:dyDescent="0.3">
      <c r="A1040" s="14"/>
      <c r="B1040" s="14"/>
      <c r="C1040" s="14"/>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c r="AD1040" s="14"/>
      <c r="AE1040" s="14"/>
      <c r="AF1040" s="14"/>
      <c r="AG1040" s="14"/>
      <c r="AH1040" s="14"/>
      <c r="AI1040" s="14"/>
      <c r="AJ1040" s="14"/>
      <c r="AK1040" s="14"/>
      <c r="AL1040" s="14"/>
      <c r="AM1040" s="14"/>
    </row>
    <row r="1041" spans="1:39" x14ac:dyDescent="0.3">
      <c r="A1041" s="14"/>
      <c r="B1041" s="14"/>
      <c r="C1041" s="14"/>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c r="AD1041" s="14"/>
      <c r="AE1041" s="14"/>
      <c r="AF1041" s="14"/>
      <c r="AG1041" s="14"/>
      <c r="AH1041" s="14"/>
      <c r="AI1041" s="14"/>
      <c r="AJ1041" s="14"/>
      <c r="AK1041" s="14"/>
      <c r="AL1041" s="14"/>
      <c r="AM1041" s="14"/>
    </row>
    <row r="1042" spans="1:39" x14ac:dyDescent="0.3">
      <c r="A1042" s="14"/>
      <c r="B1042" s="14"/>
      <c r="C1042" s="14"/>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c r="AD1042" s="14"/>
      <c r="AE1042" s="14"/>
      <c r="AF1042" s="14"/>
      <c r="AG1042" s="14"/>
      <c r="AH1042" s="14"/>
      <c r="AI1042" s="14"/>
      <c r="AJ1042" s="14"/>
      <c r="AK1042" s="14"/>
      <c r="AL1042" s="14"/>
      <c r="AM1042" s="14"/>
    </row>
    <row r="1043" spans="1:39" x14ac:dyDescent="0.3">
      <c r="A1043" s="14"/>
      <c r="B1043" s="14"/>
      <c r="C1043" s="14"/>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c r="AD1043" s="14"/>
      <c r="AE1043" s="14"/>
      <c r="AF1043" s="14"/>
      <c r="AG1043" s="14"/>
      <c r="AH1043" s="14"/>
      <c r="AI1043" s="14"/>
      <c r="AJ1043" s="14"/>
      <c r="AK1043" s="14"/>
      <c r="AL1043" s="14"/>
      <c r="AM1043" s="14"/>
    </row>
    <row r="1044" spans="1:39" x14ac:dyDescent="0.3">
      <c r="A1044" s="14"/>
      <c r="B1044" s="14"/>
      <c r="C1044" s="14"/>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c r="AB1044" s="14"/>
      <c r="AC1044" s="14"/>
      <c r="AD1044" s="14"/>
      <c r="AE1044" s="14"/>
      <c r="AF1044" s="14"/>
      <c r="AG1044" s="14"/>
      <c r="AH1044" s="14"/>
      <c r="AI1044" s="14"/>
      <c r="AJ1044" s="14"/>
      <c r="AK1044" s="14"/>
      <c r="AL1044" s="14"/>
      <c r="AM1044" s="14"/>
    </row>
    <row r="1045" spans="1:39" x14ac:dyDescent="0.3">
      <c r="A1045" s="14"/>
      <c r="B1045" s="14"/>
      <c r="C1045" s="14"/>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c r="AB1045" s="14"/>
      <c r="AC1045" s="14"/>
      <c r="AD1045" s="14"/>
      <c r="AE1045" s="14"/>
      <c r="AF1045" s="14"/>
      <c r="AG1045" s="14"/>
      <c r="AH1045" s="14"/>
      <c r="AI1045" s="14"/>
      <c r="AJ1045" s="14"/>
      <c r="AK1045" s="14"/>
      <c r="AL1045" s="14"/>
      <c r="AM1045" s="14"/>
    </row>
    <row r="1046" spans="1:39" x14ac:dyDescent="0.3">
      <c r="A1046" s="14"/>
      <c r="B1046" s="14"/>
      <c r="C1046" s="14"/>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c r="AD1046" s="14"/>
      <c r="AE1046" s="14"/>
      <c r="AF1046" s="14"/>
      <c r="AG1046" s="14"/>
      <c r="AH1046" s="14"/>
      <c r="AI1046" s="14"/>
      <c r="AJ1046" s="14"/>
      <c r="AK1046" s="14"/>
      <c r="AL1046" s="14"/>
      <c r="AM1046" s="14"/>
    </row>
    <row r="1047" spans="1:39" x14ac:dyDescent="0.3">
      <c r="A1047" s="14"/>
      <c r="B1047" s="14"/>
      <c r="C1047" s="14"/>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c r="AD1047" s="14"/>
      <c r="AE1047" s="14"/>
      <c r="AF1047" s="14"/>
      <c r="AG1047" s="14"/>
      <c r="AH1047" s="14"/>
      <c r="AI1047" s="14"/>
      <c r="AJ1047" s="14"/>
      <c r="AK1047" s="14"/>
      <c r="AL1047" s="14"/>
      <c r="AM1047" s="14"/>
    </row>
    <row r="1048" spans="1:39" x14ac:dyDescent="0.3">
      <c r="A1048" s="14"/>
      <c r="B1048" s="14"/>
      <c r="C1048" s="14"/>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c r="AB1048" s="14"/>
      <c r="AC1048" s="14"/>
      <c r="AD1048" s="14"/>
      <c r="AE1048" s="14"/>
      <c r="AF1048" s="14"/>
      <c r="AG1048" s="14"/>
      <c r="AH1048" s="14"/>
      <c r="AI1048" s="14"/>
      <c r="AJ1048" s="14"/>
      <c r="AK1048" s="14"/>
      <c r="AL1048" s="14"/>
      <c r="AM1048" s="14"/>
    </row>
    <row r="1049" spans="1:39" x14ac:dyDescent="0.3">
      <c r="A1049" s="14"/>
      <c r="B1049" s="14"/>
      <c r="C1049" s="14"/>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c r="AA1049" s="14"/>
      <c r="AB1049" s="14"/>
      <c r="AC1049" s="14"/>
      <c r="AD1049" s="14"/>
      <c r="AE1049" s="14"/>
      <c r="AF1049" s="14"/>
      <c r="AG1049" s="14"/>
      <c r="AH1049" s="14"/>
      <c r="AI1049" s="14"/>
      <c r="AJ1049" s="14"/>
      <c r="AK1049" s="14"/>
      <c r="AL1049" s="14"/>
      <c r="AM1049" s="14"/>
    </row>
    <row r="1050" spans="1:39" x14ac:dyDescent="0.3">
      <c r="A1050" s="14"/>
      <c r="B1050" s="14"/>
      <c r="C1050" s="14"/>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c r="AD1050" s="14"/>
      <c r="AE1050" s="14"/>
      <c r="AF1050" s="14"/>
      <c r="AG1050" s="14"/>
      <c r="AH1050" s="14"/>
      <c r="AI1050" s="14"/>
      <c r="AJ1050" s="14"/>
      <c r="AK1050" s="14"/>
      <c r="AL1050" s="14"/>
      <c r="AM1050" s="14"/>
    </row>
    <row r="1051" spans="1:39" x14ac:dyDescent="0.3">
      <c r="A1051" s="14"/>
      <c r="B1051" s="14"/>
      <c r="C1051" s="14"/>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c r="AA1051" s="14"/>
      <c r="AB1051" s="14"/>
      <c r="AC1051" s="14"/>
      <c r="AD1051" s="14"/>
      <c r="AE1051" s="14"/>
      <c r="AF1051" s="14"/>
      <c r="AG1051" s="14"/>
      <c r="AH1051" s="14"/>
      <c r="AI1051" s="14"/>
      <c r="AJ1051" s="14"/>
      <c r="AK1051" s="14"/>
      <c r="AL1051" s="14"/>
      <c r="AM1051" s="14"/>
    </row>
    <row r="1052" spans="1:39" x14ac:dyDescent="0.3">
      <c r="A1052" s="14"/>
      <c r="B1052" s="14"/>
      <c r="C1052" s="14"/>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c r="AA1052" s="14"/>
      <c r="AB1052" s="14"/>
      <c r="AC1052" s="14"/>
      <c r="AD1052" s="14"/>
      <c r="AE1052" s="14"/>
      <c r="AF1052" s="14"/>
      <c r="AG1052" s="14"/>
      <c r="AH1052" s="14"/>
      <c r="AI1052" s="14"/>
      <c r="AJ1052" s="14"/>
      <c r="AK1052" s="14"/>
      <c r="AL1052" s="14"/>
      <c r="AM1052" s="14"/>
    </row>
    <row r="1053" spans="1:39" x14ac:dyDescent="0.3">
      <c r="A1053" s="14"/>
      <c r="B1053" s="14"/>
      <c r="C1053" s="14"/>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c r="AB1053" s="14"/>
      <c r="AC1053" s="14"/>
      <c r="AD1053" s="14"/>
      <c r="AE1053" s="14"/>
      <c r="AF1053" s="14"/>
      <c r="AG1053" s="14"/>
      <c r="AH1053" s="14"/>
      <c r="AI1053" s="14"/>
      <c r="AJ1053" s="14"/>
      <c r="AK1053" s="14"/>
      <c r="AL1053" s="14"/>
      <c r="AM1053" s="14"/>
    </row>
    <row r="1054" spans="1:39" x14ac:dyDescent="0.3">
      <c r="A1054" s="14"/>
      <c r="B1054" s="14"/>
      <c r="C1054" s="14"/>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c r="AD1054" s="14"/>
      <c r="AE1054" s="14"/>
      <c r="AF1054" s="14"/>
      <c r="AG1054" s="14"/>
      <c r="AH1054" s="14"/>
      <c r="AI1054" s="14"/>
      <c r="AJ1054" s="14"/>
      <c r="AK1054" s="14"/>
      <c r="AL1054" s="14"/>
      <c r="AM1054" s="14"/>
    </row>
    <row r="1055" spans="1:39" x14ac:dyDescent="0.3">
      <c r="A1055" s="14"/>
      <c r="B1055" s="14"/>
      <c r="C1055" s="14"/>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c r="AD1055" s="14"/>
      <c r="AE1055" s="14"/>
      <c r="AF1055" s="14"/>
      <c r="AG1055" s="14"/>
      <c r="AH1055" s="14"/>
      <c r="AI1055" s="14"/>
      <c r="AJ1055" s="14"/>
      <c r="AK1055" s="14"/>
      <c r="AL1055" s="14"/>
      <c r="AM1055" s="14"/>
    </row>
    <row r="1056" spans="1:39" x14ac:dyDescent="0.3">
      <c r="A1056" s="14"/>
      <c r="B1056" s="14"/>
      <c r="C1056" s="14"/>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c r="AD1056" s="14"/>
      <c r="AE1056" s="14"/>
      <c r="AF1056" s="14"/>
      <c r="AG1056" s="14"/>
      <c r="AH1056" s="14"/>
      <c r="AI1056" s="14"/>
      <c r="AJ1056" s="14"/>
      <c r="AK1056" s="14"/>
      <c r="AL1056" s="14"/>
      <c r="AM1056" s="14"/>
    </row>
    <row r="1057" spans="1:39" x14ac:dyDescent="0.3">
      <c r="A1057" s="14"/>
      <c r="B1057" s="14"/>
      <c r="C1057" s="14"/>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c r="AB1057" s="14"/>
      <c r="AC1057" s="14"/>
      <c r="AD1057" s="14"/>
      <c r="AE1057" s="14"/>
      <c r="AF1057" s="14"/>
      <c r="AG1057" s="14"/>
      <c r="AH1057" s="14"/>
      <c r="AI1057" s="14"/>
      <c r="AJ1057" s="14"/>
      <c r="AK1057" s="14"/>
      <c r="AL1057" s="14"/>
      <c r="AM1057" s="14"/>
    </row>
    <row r="1058" spans="1:39" x14ac:dyDescent="0.3">
      <c r="A1058" s="14"/>
      <c r="B1058" s="14"/>
      <c r="C1058" s="14"/>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c r="AD1058" s="14"/>
      <c r="AE1058" s="14"/>
      <c r="AF1058" s="14"/>
      <c r="AG1058" s="14"/>
      <c r="AH1058" s="14"/>
      <c r="AI1058" s="14"/>
      <c r="AJ1058" s="14"/>
      <c r="AK1058" s="14"/>
      <c r="AL1058" s="14"/>
      <c r="AM1058" s="14"/>
    </row>
    <row r="1059" spans="1:39" x14ac:dyDescent="0.3">
      <c r="A1059" s="14"/>
      <c r="B1059" s="14"/>
      <c r="C1059" s="14"/>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c r="AD1059" s="14"/>
      <c r="AE1059" s="14"/>
      <c r="AF1059" s="14"/>
      <c r="AG1059" s="14"/>
      <c r="AH1059" s="14"/>
      <c r="AI1059" s="14"/>
      <c r="AJ1059" s="14"/>
      <c r="AK1059" s="14"/>
      <c r="AL1059" s="14"/>
      <c r="AM1059" s="14"/>
    </row>
    <row r="1060" spans="1:39" x14ac:dyDescent="0.3">
      <c r="A1060" s="14"/>
      <c r="B1060" s="14"/>
      <c r="C1060" s="14"/>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c r="AD1060" s="14"/>
      <c r="AE1060" s="14"/>
      <c r="AF1060" s="14"/>
      <c r="AG1060" s="14"/>
      <c r="AH1060" s="14"/>
      <c r="AI1060" s="14"/>
      <c r="AJ1060" s="14"/>
      <c r="AK1060" s="14"/>
      <c r="AL1060" s="14"/>
      <c r="AM1060" s="14"/>
    </row>
    <row r="1061" spans="1:39" x14ac:dyDescent="0.3">
      <c r="A1061" s="14"/>
      <c r="B1061" s="14"/>
      <c r="C1061" s="14"/>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c r="AD1061" s="14"/>
      <c r="AE1061" s="14"/>
      <c r="AF1061" s="14"/>
      <c r="AG1061" s="14"/>
      <c r="AH1061" s="14"/>
      <c r="AI1061" s="14"/>
      <c r="AJ1061" s="14"/>
      <c r="AK1061" s="14"/>
      <c r="AL1061" s="14"/>
      <c r="AM1061" s="14"/>
    </row>
    <row r="1062" spans="1:39" x14ac:dyDescent="0.3">
      <c r="A1062" s="14"/>
      <c r="B1062" s="14"/>
      <c r="C1062" s="14"/>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c r="AB1062" s="14"/>
      <c r="AC1062" s="14"/>
      <c r="AD1062" s="14"/>
      <c r="AE1062" s="14"/>
      <c r="AF1062" s="14"/>
      <c r="AG1062" s="14"/>
      <c r="AH1062" s="14"/>
      <c r="AI1062" s="14"/>
      <c r="AJ1062" s="14"/>
      <c r="AK1062" s="14"/>
      <c r="AL1062" s="14"/>
      <c r="AM1062" s="14"/>
    </row>
    <row r="1063" spans="1:39" x14ac:dyDescent="0.3">
      <c r="A1063" s="14"/>
      <c r="B1063" s="14"/>
      <c r="C1063" s="14"/>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c r="AA1063" s="14"/>
      <c r="AB1063" s="14"/>
      <c r="AC1063" s="14"/>
      <c r="AD1063" s="14"/>
      <c r="AE1063" s="14"/>
      <c r="AF1063" s="14"/>
      <c r="AG1063" s="14"/>
      <c r="AH1063" s="14"/>
      <c r="AI1063" s="14"/>
      <c r="AJ1063" s="14"/>
      <c r="AK1063" s="14"/>
      <c r="AL1063" s="14"/>
      <c r="AM1063" s="14"/>
    </row>
    <row r="1064" spans="1:39" x14ac:dyDescent="0.3">
      <c r="A1064" s="14"/>
      <c r="B1064" s="14"/>
      <c r="C1064" s="14"/>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c r="AA1064" s="14"/>
      <c r="AB1064" s="14"/>
      <c r="AC1064" s="14"/>
      <c r="AD1064" s="14"/>
      <c r="AE1064" s="14"/>
      <c r="AF1064" s="14"/>
      <c r="AG1064" s="14"/>
      <c r="AH1064" s="14"/>
      <c r="AI1064" s="14"/>
      <c r="AJ1064" s="14"/>
      <c r="AK1064" s="14"/>
      <c r="AL1064" s="14"/>
      <c r="AM1064" s="14"/>
    </row>
    <row r="1065" spans="1:39" x14ac:dyDescent="0.3">
      <c r="A1065" s="14"/>
      <c r="B1065" s="14"/>
      <c r="C1065" s="14"/>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c r="AB1065" s="14"/>
      <c r="AC1065" s="14"/>
      <c r="AD1065" s="14"/>
      <c r="AE1065" s="14"/>
      <c r="AF1065" s="14"/>
      <c r="AG1065" s="14"/>
      <c r="AH1065" s="14"/>
      <c r="AI1065" s="14"/>
      <c r="AJ1065" s="14"/>
      <c r="AK1065" s="14"/>
      <c r="AL1065" s="14"/>
      <c r="AM1065" s="14"/>
    </row>
    <row r="1066" spans="1:39" x14ac:dyDescent="0.3">
      <c r="A1066" s="14"/>
      <c r="B1066" s="14"/>
      <c r="C1066" s="14"/>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c r="AD1066" s="14"/>
      <c r="AE1066" s="14"/>
      <c r="AF1066" s="14"/>
      <c r="AG1066" s="14"/>
      <c r="AH1066" s="14"/>
      <c r="AI1066" s="14"/>
      <c r="AJ1066" s="14"/>
      <c r="AK1066" s="14"/>
      <c r="AL1066" s="14"/>
      <c r="AM1066" s="14"/>
    </row>
    <row r="1067" spans="1:39" x14ac:dyDescent="0.3">
      <c r="A1067" s="14"/>
      <c r="B1067" s="14"/>
      <c r="C1067" s="14"/>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c r="AA1067" s="14"/>
      <c r="AB1067" s="14"/>
      <c r="AC1067" s="14"/>
      <c r="AD1067" s="14"/>
      <c r="AE1067" s="14"/>
      <c r="AF1067" s="14"/>
      <c r="AG1067" s="14"/>
      <c r="AH1067" s="14"/>
      <c r="AI1067" s="14"/>
      <c r="AJ1067" s="14"/>
      <c r="AK1067" s="14"/>
      <c r="AL1067" s="14"/>
      <c r="AM1067" s="14"/>
    </row>
    <row r="1068" spans="1:39" x14ac:dyDescent="0.3">
      <c r="A1068" s="14"/>
      <c r="B1068" s="14"/>
      <c r="C1068" s="14"/>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c r="AA1068" s="14"/>
      <c r="AB1068" s="14"/>
      <c r="AC1068" s="14"/>
      <c r="AD1068" s="14"/>
      <c r="AE1068" s="14"/>
      <c r="AF1068" s="14"/>
      <c r="AG1068" s="14"/>
      <c r="AH1068" s="14"/>
      <c r="AI1068" s="14"/>
      <c r="AJ1068" s="14"/>
      <c r="AK1068" s="14"/>
      <c r="AL1068" s="14"/>
      <c r="AM1068" s="14"/>
    </row>
    <row r="1069" spans="1:39" x14ac:dyDescent="0.3">
      <c r="A1069" s="14"/>
      <c r="B1069" s="14"/>
      <c r="C1069" s="14"/>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c r="AD1069" s="14"/>
      <c r="AE1069" s="14"/>
      <c r="AF1069" s="14"/>
      <c r="AG1069" s="14"/>
      <c r="AH1069" s="14"/>
      <c r="AI1069" s="14"/>
      <c r="AJ1069" s="14"/>
      <c r="AK1069" s="14"/>
      <c r="AL1069" s="14"/>
      <c r="AM1069" s="14"/>
    </row>
    <row r="1070" spans="1:39" x14ac:dyDescent="0.3">
      <c r="A1070" s="14"/>
      <c r="B1070" s="14"/>
      <c r="C1070" s="14"/>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c r="AD1070" s="14"/>
      <c r="AE1070" s="14"/>
      <c r="AF1070" s="14"/>
      <c r="AG1070" s="14"/>
      <c r="AH1070" s="14"/>
      <c r="AI1070" s="14"/>
      <c r="AJ1070" s="14"/>
      <c r="AK1070" s="14"/>
      <c r="AL1070" s="14"/>
      <c r="AM1070" s="14"/>
    </row>
    <row r="1071" spans="1:39" x14ac:dyDescent="0.3">
      <c r="A1071" s="14"/>
      <c r="B1071" s="14"/>
      <c r="C1071" s="14"/>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c r="AA1071" s="14"/>
      <c r="AB1071" s="14"/>
      <c r="AC1071" s="14"/>
      <c r="AD1071" s="14"/>
      <c r="AE1071" s="14"/>
      <c r="AF1071" s="14"/>
      <c r="AG1071" s="14"/>
      <c r="AH1071" s="14"/>
      <c r="AI1071" s="14"/>
      <c r="AJ1071" s="14"/>
      <c r="AK1071" s="14"/>
      <c r="AL1071" s="14"/>
      <c r="AM1071" s="14"/>
    </row>
    <row r="1072" spans="1:39" x14ac:dyDescent="0.3">
      <c r="A1072" s="14"/>
      <c r="B1072" s="14"/>
      <c r="C1072" s="14"/>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c r="AA1072" s="14"/>
      <c r="AB1072" s="14"/>
      <c r="AC1072" s="14"/>
      <c r="AD1072" s="14"/>
      <c r="AE1072" s="14"/>
      <c r="AF1072" s="14"/>
      <c r="AG1072" s="14"/>
      <c r="AH1072" s="14"/>
      <c r="AI1072" s="14"/>
      <c r="AJ1072" s="14"/>
      <c r="AK1072" s="14"/>
      <c r="AL1072" s="14"/>
      <c r="AM1072" s="14"/>
    </row>
    <row r="1073" spans="1:39" x14ac:dyDescent="0.3">
      <c r="A1073" s="14"/>
      <c r="B1073" s="14"/>
      <c r="C1073" s="14"/>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c r="AA1073" s="14"/>
      <c r="AB1073" s="14"/>
      <c r="AC1073" s="14"/>
      <c r="AD1073" s="14"/>
      <c r="AE1073" s="14"/>
      <c r="AF1073" s="14"/>
      <c r="AG1073" s="14"/>
      <c r="AH1073" s="14"/>
      <c r="AI1073" s="14"/>
      <c r="AJ1073" s="14"/>
      <c r="AK1073" s="14"/>
      <c r="AL1073" s="14"/>
      <c r="AM1073" s="14"/>
    </row>
    <row r="1074" spans="1:39" x14ac:dyDescent="0.3">
      <c r="A1074" s="14"/>
      <c r="B1074" s="14"/>
      <c r="C1074" s="14"/>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c r="AD1074" s="14"/>
      <c r="AE1074" s="14"/>
      <c r="AF1074" s="14"/>
      <c r="AG1074" s="14"/>
      <c r="AH1074" s="14"/>
      <c r="AI1074" s="14"/>
      <c r="AJ1074" s="14"/>
      <c r="AK1074" s="14"/>
      <c r="AL1074" s="14"/>
      <c r="AM1074" s="14"/>
    </row>
    <row r="1075" spans="1:39" x14ac:dyDescent="0.3">
      <c r="A1075" s="14"/>
      <c r="B1075" s="14"/>
      <c r="C1075" s="14"/>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c r="AA1075" s="14"/>
      <c r="AB1075" s="14"/>
      <c r="AC1075" s="14"/>
      <c r="AD1075" s="14"/>
      <c r="AE1075" s="14"/>
      <c r="AF1075" s="14"/>
      <c r="AG1075" s="14"/>
      <c r="AH1075" s="14"/>
      <c r="AI1075" s="14"/>
      <c r="AJ1075" s="14"/>
      <c r="AK1075" s="14"/>
      <c r="AL1075" s="14"/>
      <c r="AM1075" s="14"/>
    </row>
    <row r="1076" spans="1:39" x14ac:dyDescent="0.3">
      <c r="A1076" s="14"/>
      <c r="B1076" s="14"/>
      <c r="C1076" s="14"/>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c r="AB1076" s="14"/>
      <c r="AC1076" s="14"/>
      <c r="AD1076" s="14"/>
      <c r="AE1076" s="14"/>
      <c r="AF1076" s="14"/>
      <c r="AG1076" s="14"/>
      <c r="AH1076" s="14"/>
      <c r="AI1076" s="14"/>
      <c r="AJ1076" s="14"/>
      <c r="AK1076" s="14"/>
      <c r="AL1076" s="14"/>
      <c r="AM1076" s="14"/>
    </row>
    <row r="1077" spans="1:39" x14ac:dyDescent="0.3">
      <c r="A1077" s="14"/>
      <c r="B1077" s="14"/>
      <c r="C1077" s="14"/>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c r="AD1077" s="14"/>
      <c r="AE1077" s="14"/>
      <c r="AF1077" s="14"/>
      <c r="AG1077" s="14"/>
      <c r="AH1077" s="14"/>
      <c r="AI1077" s="14"/>
      <c r="AJ1077" s="14"/>
      <c r="AK1077" s="14"/>
      <c r="AL1077" s="14"/>
      <c r="AM1077" s="14"/>
    </row>
    <row r="1078" spans="1:39" x14ac:dyDescent="0.3">
      <c r="A1078" s="14"/>
      <c r="B1078" s="14"/>
      <c r="C1078" s="14"/>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c r="AC1078" s="14"/>
      <c r="AD1078" s="14"/>
      <c r="AE1078" s="14"/>
      <c r="AF1078" s="14"/>
      <c r="AG1078" s="14"/>
      <c r="AH1078" s="14"/>
      <c r="AI1078" s="14"/>
      <c r="AJ1078" s="14"/>
      <c r="AK1078" s="14"/>
      <c r="AL1078" s="14"/>
      <c r="AM1078" s="14"/>
    </row>
    <row r="1079" spans="1:39" x14ac:dyDescent="0.3">
      <c r="A1079" s="14"/>
      <c r="B1079" s="14"/>
      <c r="C1079" s="14"/>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c r="AB1079" s="14"/>
      <c r="AC1079" s="14"/>
      <c r="AD1079" s="14"/>
      <c r="AE1079" s="14"/>
      <c r="AF1079" s="14"/>
      <c r="AG1079" s="14"/>
      <c r="AH1079" s="14"/>
      <c r="AI1079" s="14"/>
      <c r="AJ1079" s="14"/>
      <c r="AK1079" s="14"/>
      <c r="AL1079" s="14"/>
      <c r="AM1079" s="14"/>
    </row>
    <row r="1080" spans="1:39" x14ac:dyDescent="0.3">
      <c r="A1080" s="14"/>
      <c r="B1080" s="14"/>
      <c r="C1080" s="14"/>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c r="AD1080" s="14"/>
      <c r="AE1080" s="14"/>
      <c r="AF1080" s="14"/>
      <c r="AG1080" s="14"/>
      <c r="AH1080" s="14"/>
      <c r="AI1080" s="14"/>
      <c r="AJ1080" s="14"/>
      <c r="AK1080" s="14"/>
      <c r="AL1080" s="14"/>
      <c r="AM1080" s="14"/>
    </row>
    <row r="1081" spans="1:39" x14ac:dyDescent="0.3">
      <c r="A1081" s="14"/>
      <c r="B1081" s="14"/>
      <c r="C1081" s="14"/>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c r="AB1081" s="14"/>
      <c r="AC1081" s="14"/>
      <c r="AD1081" s="14"/>
      <c r="AE1081" s="14"/>
      <c r="AF1081" s="14"/>
      <c r="AG1081" s="14"/>
      <c r="AH1081" s="14"/>
      <c r="AI1081" s="14"/>
      <c r="AJ1081" s="14"/>
      <c r="AK1081" s="14"/>
      <c r="AL1081" s="14"/>
      <c r="AM1081" s="14"/>
    </row>
    <row r="1082" spans="1:39" x14ac:dyDescent="0.3">
      <c r="A1082" s="14"/>
      <c r="B1082" s="14"/>
      <c r="C1082" s="14"/>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c r="AA1082" s="14"/>
      <c r="AB1082" s="14"/>
      <c r="AC1082" s="14"/>
      <c r="AD1082" s="14"/>
      <c r="AE1082" s="14"/>
      <c r="AF1082" s="14"/>
      <c r="AG1082" s="14"/>
      <c r="AH1082" s="14"/>
      <c r="AI1082" s="14"/>
      <c r="AJ1082" s="14"/>
      <c r="AK1082" s="14"/>
      <c r="AL1082" s="14"/>
      <c r="AM1082" s="14"/>
    </row>
    <row r="1083" spans="1:39" x14ac:dyDescent="0.3">
      <c r="A1083" s="14"/>
      <c r="B1083" s="14"/>
      <c r="C1083" s="14"/>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c r="AB1083" s="14"/>
      <c r="AC1083" s="14"/>
      <c r="AD1083" s="14"/>
      <c r="AE1083" s="14"/>
      <c r="AF1083" s="14"/>
      <c r="AG1083" s="14"/>
      <c r="AH1083" s="14"/>
      <c r="AI1083" s="14"/>
      <c r="AJ1083" s="14"/>
      <c r="AK1083" s="14"/>
      <c r="AL1083" s="14"/>
      <c r="AM1083" s="14"/>
    </row>
    <row r="1084" spans="1:39" x14ac:dyDescent="0.3">
      <c r="A1084" s="14"/>
      <c r="B1084" s="14"/>
      <c r="C1084" s="14"/>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c r="AB1084" s="14"/>
      <c r="AC1084" s="14"/>
      <c r="AD1084" s="14"/>
      <c r="AE1084" s="14"/>
      <c r="AF1084" s="14"/>
      <c r="AG1084" s="14"/>
      <c r="AH1084" s="14"/>
      <c r="AI1084" s="14"/>
      <c r="AJ1084" s="14"/>
      <c r="AK1084" s="14"/>
      <c r="AL1084" s="14"/>
      <c r="AM1084" s="14"/>
    </row>
    <row r="1085" spans="1:39" x14ac:dyDescent="0.3">
      <c r="A1085" s="14"/>
      <c r="B1085" s="14"/>
      <c r="C1085" s="14"/>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c r="AD1085" s="14"/>
      <c r="AE1085" s="14"/>
      <c r="AF1085" s="14"/>
      <c r="AG1085" s="14"/>
      <c r="AH1085" s="14"/>
      <c r="AI1085" s="14"/>
      <c r="AJ1085" s="14"/>
      <c r="AK1085" s="14"/>
      <c r="AL1085" s="14"/>
      <c r="AM1085" s="14"/>
    </row>
    <row r="1086" spans="1:39" x14ac:dyDescent="0.3">
      <c r="A1086" s="14"/>
      <c r="B1086" s="14"/>
      <c r="C1086" s="14"/>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c r="AD1086" s="14"/>
      <c r="AE1086" s="14"/>
      <c r="AF1086" s="14"/>
      <c r="AG1086" s="14"/>
      <c r="AH1086" s="14"/>
      <c r="AI1086" s="14"/>
      <c r="AJ1086" s="14"/>
      <c r="AK1086" s="14"/>
      <c r="AL1086" s="14"/>
      <c r="AM1086" s="14"/>
    </row>
    <row r="1087" spans="1:39" x14ac:dyDescent="0.3">
      <c r="A1087" s="14"/>
      <c r="B1087" s="14"/>
      <c r="C1087" s="14"/>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c r="AD1087" s="14"/>
      <c r="AE1087" s="14"/>
      <c r="AF1087" s="14"/>
      <c r="AG1087" s="14"/>
      <c r="AH1087" s="14"/>
      <c r="AI1087" s="14"/>
      <c r="AJ1087" s="14"/>
      <c r="AK1087" s="14"/>
      <c r="AL1087" s="14"/>
      <c r="AM1087" s="14"/>
    </row>
    <row r="1088" spans="1:39" x14ac:dyDescent="0.3">
      <c r="A1088" s="14"/>
      <c r="B1088" s="14"/>
      <c r="C1088" s="14"/>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c r="AA1088" s="14"/>
      <c r="AB1088" s="14"/>
      <c r="AC1088" s="14"/>
      <c r="AD1088" s="14"/>
      <c r="AE1088" s="14"/>
      <c r="AF1088" s="14"/>
      <c r="AG1088" s="14"/>
      <c r="AH1088" s="14"/>
      <c r="AI1088" s="14"/>
      <c r="AJ1088" s="14"/>
      <c r="AK1088" s="14"/>
      <c r="AL1088" s="14"/>
      <c r="AM1088" s="14"/>
    </row>
    <row r="1089" spans="1:39" x14ac:dyDescent="0.3">
      <c r="A1089" s="14"/>
      <c r="B1089" s="14"/>
      <c r="C1089" s="14"/>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c r="AA1089" s="14"/>
      <c r="AB1089" s="14"/>
      <c r="AC1089" s="14"/>
      <c r="AD1089" s="14"/>
      <c r="AE1089" s="14"/>
      <c r="AF1089" s="14"/>
      <c r="AG1089" s="14"/>
      <c r="AH1089" s="14"/>
      <c r="AI1089" s="14"/>
      <c r="AJ1089" s="14"/>
      <c r="AK1089" s="14"/>
      <c r="AL1089" s="14"/>
      <c r="AM1089" s="14"/>
    </row>
    <row r="1090" spans="1:39" x14ac:dyDescent="0.3">
      <c r="A1090" s="14"/>
      <c r="B1090" s="14"/>
      <c r="C1090" s="14"/>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c r="AD1090" s="14"/>
      <c r="AE1090" s="14"/>
      <c r="AF1090" s="14"/>
      <c r="AG1090" s="14"/>
      <c r="AH1090" s="14"/>
      <c r="AI1090" s="14"/>
      <c r="AJ1090" s="14"/>
      <c r="AK1090" s="14"/>
      <c r="AL1090" s="14"/>
      <c r="AM1090" s="14"/>
    </row>
    <row r="1091" spans="1:39" x14ac:dyDescent="0.3">
      <c r="A1091" s="14"/>
      <c r="B1091" s="14"/>
      <c r="C1091" s="14"/>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c r="AD1091" s="14"/>
      <c r="AE1091" s="14"/>
      <c r="AF1091" s="14"/>
      <c r="AG1091" s="14"/>
      <c r="AH1091" s="14"/>
      <c r="AI1091" s="14"/>
      <c r="AJ1091" s="14"/>
      <c r="AK1091" s="14"/>
      <c r="AL1091" s="14"/>
      <c r="AM1091" s="14"/>
    </row>
    <row r="1092" spans="1:39" x14ac:dyDescent="0.3">
      <c r="A1092" s="14"/>
      <c r="B1092" s="14"/>
      <c r="C1092" s="14"/>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c r="AA1092" s="14"/>
      <c r="AB1092" s="14"/>
      <c r="AC1092" s="14"/>
      <c r="AD1092" s="14"/>
      <c r="AE1092" s="14"/>
      <c r="AF1092" s="14"/>
      <c r="AG1092" s="14"/>
      <c r="AH1092" s="14"/>
      <c r="AI1092" s="14"/>
      <c r="AJ1092" s="14"/>
      <c r="AK1092" s="14"/>
      <c r="AL1092" s="14"/>
      <c r="AM1092" s="14"/>
    </row>
    <row r="1093" spans="1:39" x14ac:dyDescent="0.3">
      <c r="A1093" s="14"/>
      <c r="B1093" s="14"/>
      <c r="C1093" s="14"/>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c r="AA1093" s="14"/>
      <c r="AB1093" s="14"/>
      <c r="AC1093" s="14"/>
      <c r="AD1093" s="14"/>
      <c r="AE1093" s="14"/>
      <c r="AF1093" s="14"/>
      <c r="AG1093" s="14"/>
      <c r="AH1093" s="14"/>
      <c r="AI1093" s="14"/>
      <c r="AJ1093" s="14"/>
      <c r="AK1093" s="14"/>
      <c r="AL1093" s="14"/>
      <c r="AM1093" s="14"/>
    </row>
    <row r="1094" spans="1:39" x14ac:dyDescent="0.3">
      <c r="A1094" s="14"/>
      <c r="B1094" s="14"/>
      <c r="C1094" s="14"/>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c r="AA1094" s="14"/>
      <c r="AB1094" s="14"/>
      <c r="AC1094" s="14"/>
      <c r="AD1094" s="14"/>
      <c r="AE1094" s="14"/>
      <c r="AF1094" s="14"/>
      <c r="AG1094" s="14"/>
      <c r="AH1094" s="14"/>
      <c r="AI1094" s="14"/>
      <c r="AJ1094" s="14"/>
      <c r="AK1094" s="14"/>
      <c r="AL1094" s="14"/>
      <c r="AM1094" s="14"/>
    </row>
    <row r="1095" spans="1:39" x14ac:dyDescent="0.3">
      <c r="A1095" s="14"/>
      <c r="B1095" s="14"/>
      <c r="C1095" s="14"/>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c r="AB1095" s="14"/>
      <c r="AC1095" s="14"/>
      <c r="AD1095" s="14"/>
      <c r="AE1095" s="14"/>
      <c r="AF1095" s="14"/>
      <c r="AG1095" s="14"/>
      <c r="AH1095" s="14"/>
      <c r="AI1095" s="14"/>
      <c r="AJ1095" s="14"/>
      <c r="AK1095" s="14"/>
      <c r="AL1095" s="14"/>
      <c r="AM1095" s="14"/>
    </row>
    <row r="1096" spans="1:39" x14ac:dyDescent="0.3">
      <c r="A1096" s="14"/>
      <c r="B1096" s="14"/>
      <c r="C1096" s="14"/>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c r="AB1096" s="14"/>
      <c r="AC1096" s="14"/>
      <c r="AD1096" s="14"/>
      <c r="AE1096" s="14"/>
      <c r="AF1096" s="14"/>
      <c r="AG1096" s="14"/>
      <c r="AH1096" s="14"/>
      <c r="AI1096" s="14"/>
      <c r="AJ1096" s="14"/>
      <c r="AK1096" s="14"/>
      <c r="AL1096" s="14"/>
      <c r="AM1096" s="14"/>
    </row>
    <row r="1097" spans="1:39" x14ac:dyDescent="0.3">
      <c r="A1097" s="14"/>
      <c r="B1097" s="14"/>
      <c r="C1097" s="14"/>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c r="AB1097" s="14"/>
      <c r="AC1097" s="14"/>
      <c r="AD1097" s="14"/>
      <c r="AE1097" s="14"/>
      <c r="AF1097" s="14"/>
      <c r="AG1097" s="14"/>
      <c r="AH1097" s="14"/>
      <c r="AI1097" s="14"/>
      <c r="AJ1097" s="14"/>
      <c r="AK1097" s="14"/>
      <c r="AL1097" s="14"/>
      <c r="AM1097" s="14"/>
    </row>
    <row r="1098" spans="1:39" x14ac:dyDescent="0.3">
      <c r="A1098" s="14"/>
      <c r="B1098" s="14"/>
      <c r="C1098" s="14"/>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c r="AB1098" s="14"/>
      <c r="AC1098" s="14"/>
      <c r="AD1098" s="14"/>
      <c r="AE1098" s="14"/>
      <c r="AF1098" s="14"/>
      <c r="AG1098" s="14"/>
      <c r="AH1098" s="14"/>
      <c r="AI1098" s="14"/>
      <c r="AJ1098" s="14"/>
      <c r="AK1098" s="14"/>
      <c r="AL1098" s="14"/>
      <c r="AM1098" s="14"/>
    </row>
    <row r="1099" spans="1:39" x14ac:dyDescent="0.3">
      <c r="A1099" s="14"/>
      <c r="B1099" s="14"/>
      <c r="C1099" s="14"/>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c r="AB1099" s="14"/>
      <c r="AC1099" s="14"/>
      <c r="AD1099" s="14"/>
      <c r="AE1099" s="14"/>
      <c r="AF1099" s="14"/>
      <c r="AG1099" s="14"/>
      <c r="AH1099" s="14"/>
      <c r="AI1099" s="14"/>
      <c r="AJ1099" s="14"/>
      <c r="AK1099" s="14"/>
      <c r="AL1099" s="14"/>
      <c r="AM1099" s="14"/>
    </row>
    <row r="1100" spans="1:39" x14ac:dyDescent="0.3">
      <c r="A1100" s="14"/>
      <c r="B1100" s="14"/>
      <c r="C1100" s="14"/>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c r="AB1100" s="14"/>
      <c r="AC1100" s="14"/>
      <c r="AD1100" s="14"/>
      <c r="AE1100" s="14"/>
      <c r="AF1100" s="14"/>
      <c r="AG1100" s="14"/>
      <c r="AH1100" s="14"/>
      <c r="AI1100" s="14"/>
      <c r="AJ1100" s="14"/>
      <c r="AK1100" s="14"/>
      <c r="AL1100" s="14"/>
      <c r="AM1100" s="14"/>
    </row>
    <row r="1101" spans="1:39" x14ac:dyDescent="0.3">
      <c r="A1101" s="14"/>
      <c r="B1101" s="14"/>
      <c r="C1101" s="14"/>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c r="AD1101" s="14"/>
      <c r="AE1101" s="14"/>
      <c r="AF1101" s="14"/>
      <c r="AG1101" s="14"/>
      <c r="AH1101" s="14"/>
      <c r="AI1101" s="14"/>
      <c r="AJ1101" s="14"/>
      <c r="AK1101" s="14"/>
      <c r="AL1101" s="14"/>
      <c r="AM1101" s="14"/>
    </row>
    <row r="1102" spans="1:39" x14ac:dyDescent="0.3">
      <c r="A1102" s="14"/>
      <c r="B1102" s="14"/>
      <c r="C1102" s="14"/>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c r="AB1102" s="14"/>
      <c r="AC1102" s="14"/>
      <c r="AD1102" s="14"/>
      <c r="AE1102" s="14"/>
      <c r="AF1102" s="14"/>
      <c r="AG1102" s="14"/>
      <c r="AH1102" s="14"/>
      <c r="AI1102" s="14"/>
      <c r="AJ1102" s="14"/>
      <c r="AK1102" s="14"/>
      <c r="AL1102" s="14"/>
      <c r="AM1102" s="14"/>
    </row>
    <row r="1103" spans="1:39" x14ac:dyDescent="0.3">
      <c r="A1103" s="14"/>
      <c r="B1103" s="14"/>
      <c r="C1103" s="14"/>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c r="AD1103" s="14"/>
      <c r="AE1103" s="14"/>
      <c r="AF1103" s="14"/>
      <c r="AG1103" s="14"/>
      <c r="AH1103" s="14"/>
      <c r="AI1103" s="14"/>
      <c r="AJ1103" s="14"/>
      <c r="AK1103" s="14"/>
      <c r="AL1103" s="14"/>
      <c r="AM1103" s="14"/>
    </row>
    <row r="1104" spans="1:39" x14ac:dyDescent="0.3">
      <c r="A1104" s="14"/>
      <c r="B1104" s="14"/>
      <c r="C1104" s="14"/>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c r="AA1104" s="14"/>
      <c r="AB1104" s="14"/>
      <c r="AC1104" s="14"/>
      <c r="AD1104" s="14"/>
      <c r="AE1104" s="14"/>
      <c r="AF1104" s="14"/>
      <c r="AG1104" s="14"/>
      <c r="AH1104" s="14"/>
      <c r="AI1104" s="14"/>
      <c r="AJ1104" s="14"/>
      <c r="AK1104" s="14"/>
      <c r="AL1104" s="14"/>
      <c r="AM1104" s="14"/>
    </row>
    <row r="1105" spans="1:39" x14ac:dyDescent="0.3">
      <c r="A1105" s="14"/>
      <c r="B1105" s="14"/>
      <c r="C1105" s="14"/>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c r="AB1105" s="14"/>
      <c r="AC1105" s="14"/>
      <c r="AD1105" s="14"/>
      <c r="AE1105" s="14"/>
      <c r="AF1105" s="14"/>
      <c r="AG1105" s="14"/>
      <c r="AH1105" s="14"/>
      <c r="AI1105" s="14"/>
      <c r="AJ1105" s="14"/>
      <c r="AK1105" s="14"/>
      <c r="AL1105" s="14"/>
      <c r="AM1105" s="14"/>
    </row>
    <row r="1106" spans="1:39" x14ac:dyDescent="0.3">
      <c r="A1106" s="14"/>
      <c r="B1106" s="14"/>
      <c r="C1106" s="14"/>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c r="AB1106" s="14"/>
      <c r="AC1106" s="14"/>
      <c r="AD1106" s="14"/>
      <c r="AE1106" s="14"/>
      <c r="AF1106" s="14"/>
      <c r="AG1106" s="14"/>
      <c r="AH1106" s="14"/>
      <c r="AI1106" s="14"/>
      <c r="AJ1106" s="14"/>
      <c r="AK1106" s="14"/>
      <c r="AL1106" s="14"/>
      <c r="AM1106" s="14"/>
    </row>
    <row r="1107" spans="1:39" x14ac:dyDescent="0.3">
      <c r="A1107" s="14"/>
      <c r="B1107" s="14"/>
      <c r="C1107" s="14"/>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c r="AA1107" s="14"/>
      <c r="AB1107" s="14"/>
      <c r="AC1107" s="14"/>
      <c r="AD1107" s="14"/>
      <c r="AE1107" s="14"/>
      <c r="AF1107" s="14"/>
      <c r="AG1107" s="14"/>
      <c r="AH1107" s="14"/>
      <c r="AI1107" s="14"/>
      <c r="AJ1107" s="14"/>
      <c r="AK1107" s="14"/>
      <c r="AL1107" s="14"/>
      <c r="AM1107" s="14"/>
    </row>
    <row r="1108" spans="1:39" x14ac:dyDescent="0.3">
      <c r="A1108" s="14"/>
      <c r="B1108" s="14"/>
      <c r="C1108" s="14"/>
      <c r="D1108" s="14"/>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c r="AB1108" s="14"/>
      <c r="AC1108" s="14"/>
      <c r="AD1108" s="14"/>
      <c r="AE1108" s="14"/>
      <c r="AF1108" s="14"/>
      <c r="AG1108" s="14"/>
      <c r="AH1108" s="14"/>
      <c r="AI1108" s="14"/>
      <c r="AJ1108" s="14"/>
      <c r="AK1108" s="14"/>
      <c r="AL1108" s="14"/>
      <c r="AM1108" s="14"/>
    </row>
    <row r="1109" spans="1:39" x14ac:dyDescent="0.3">
      <c r="A1109" s="14"/>
      <c r="B1109" s="14"/>
      <c r="C1109" s="14"/>
      <c r="D1109" s="14"/>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c r="AB1109" s="14"/>
      <c r="AC1109" s="14"/>
      <c r="AD1109" s="14"/>
      <c r="AE1109" s="14"/>
      <c r="AF1109" s="14"/>
      <c r="AG1109" s="14"/>
      <c r="AH1109" s="14"/>
      <c r="AI1109" s="14"/>
      <c r="AJ1109" s="14"/>
      <c r="AK1109" s="14"/>
      <c r="AL1109" s="14"/>
      <c r="AM1109" s="14"/>
    </row>
    <row r="1110" spans="1:39" x14ac:dyDescent="0.3">
      <c r="A1110" s="14"/>
      <c r="B1110" s="14"/>
      <c r="C1110" s="14"/>
      <c r="D1110" s="14"/>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c r="AA1110" s="14"/>
      <c r="AB1110" s="14"/>
      <c r="AC1110" s="14"/>
      <c r="AD1110" s="14"/>
      <c r="AE1110" s="14"/>
      <c r="AF1110" s="14"/>
      <c r="AG1110" s="14"/>
      <c r="AH1110" s="14"/>
      <c r="AI1110" s="14"/>
      <c r="AJ1110" s="14"/>
      <c r="AK1110" s="14"/>
      <c r="AL1110" s="14"/>
      <c r="AM1110" s="14"/>
    </row>
    <row r="1111" spans="1:39" x14ac:dyDescent="0.3">
      <c r="A1111" s="14"/>
      <c r="B1111" s="14"/>
      <c r="C1111" s="14"/>
      <c r="D1111" s="14"/>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c r="AA1111" s="14"/>
      <c r="AB1111" s="14"/>
      <c r="AC1111" s="14"/>
      <c r="AD1111" s="14"/>
      <c r="AE1111" s="14"/>
      <c r="AF1111" s="14"/>
      <c r="AG1111" s="14"/>
      <c r="AH1111" s="14"/>
      <c r="AI1111" s="14"/>
      <c r="AJ1111" s="14"/>
      <c r="AK1111" s="14"/>
      <c r="AL1111" s="14"/>
      <c r="AM1111" s="14"/>
    </row>
    <row r="1112" spans="1:39" x14ac:dyDescent="0.3">
      <c r="A1112" s="14"/>
      <c r="B1112" s="14"/>
      <c r="C1112" s="14"/>
      <c r="D1112" s="14"/>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c r="AA1112" s="14"/>
      <c r="AB1112" s="14"/>
      <c r="AC1112" s="14"/>
      <c r="AD1112" s="14"/>
      <c r="AE1112" s="14"/>
      <c r="AF1112" s="14"/>
      <c r="AG1112" s="14"/>
      <c r="AH1112" s="14"/>
      <c r="AI1112" s="14"/>
      <c r="AJ1112" s="14"/>
      <c r="AK1112" s="14"/>
      <c r="AL1112" s="14"/>
      <c r="AM1112" s="14"/>
    </row>
    <row r="1113" spans="1:39" x14ac:dyDescent="0.3">
      <c r="A1113" s="14"/>
      <c r="B1113" s="14"/>
      <c r="C1113" s="14"/>
      <c r="D1113" s="14"/>
      <c r="E1113" s="14"/>
      <c r="F1113" s="14"/>
      <c r="G1113" s="14"/>
      <c r="H1113" s="14"/>
      <c r="I1113" s="14"/>
      <c r="J1113" s="14"/>
      <c r="K1113" s="14"/>
      <c r="L1113" s="14"/>
      <c r="M1113" s="14"/>
      <c r="N1113" s="14"/>
      <c r="O1113" s="14"/>
      <c r="P1113" s="14"/>
      <c r="Q1113" s="14"/>
      <c r="R1113" s="14"/>
      <c r="S1113" s="14"/>
      <c r="T1113" s="14"/>
      <c r="U1113" s="14"/>
      <c r="V1113" s="14"/>
      <c r="W1113" s="14"/>
      <c r="X1113" s="14"/>
      <c r="Y1113" s="14"/>
      <c r="Z1113" s="14"/>
      <c r="AA1113" s="14"/>
      <c r="AB1113" s="14"/>
      <c r="AC1113" s="14"/>
      <c r="AD1113" s="14"/>
      <c r="AE1113" s="14"/>
      <c r="AF1113" s="14"/>
      <c r="AG1113" s="14"/>
      <c r="AH1113" s="14"/>
      <c r="AI1113" s="14"/>
      <c r="AJ1113" s="14"/>
      <c r="AK1113" s="14"/>
      <c r="AL1113" s="14"/>
      <c r="AM1113" s="14"/>
    </row>
    <row r="1114" spans="1:39" x14ac:dyDescent="0.3">
      <c r="A1114" s="14"/>
      <c r="B1114" s="14"/>
      <c r="C1114" s="14"/>
      <c r="D1114" s="14"/>
      <c r="E1114" s="14"/>
      <c r="F1114" s="14"/>
      <c r="G1114" s="14"/>
      <c r="H1114" s="14"/>
      <c r="I1114" s="14"/>
      <c r="J1114" s="14"/>
      <c r="K1114" s="14"/>
      <c r="L1114" s="14"/>
      <c r="M1114" s="14"/>
      <c r="N1114" s="14"/>
      <c r="O1114" s="14"/>
      <c r="P1114" s="14"/>
      <c r="Q1114" s="14"/>
      <c r="R1114" s="14"/>
      <c r="S1114" s="14"/>
      <c r="T1114" s="14"/>
      <c r="U1114" s="14"/>
      <c r="V1114" s="14"/>
      <c r="W1114" s="14"/>
      <c r="X1114" s="14"/>
      <c r="Y1114" s="14"/>
      <c r="Z1114" s="14"/>
      <c r="AA1114" s="14"/>
      <c r="AB1114" s="14"/>
      <c r="AC1114" s="14"/>
      <c r="AD1114" s="14"/>
      <c r="AE1114" s="14"/>
      <c r="AF1114" s="14"/>
      <c r="AG1114" s="14"/>
      <c r="AH1114" s="14"/>
      <c r="AI1114" s="14"/>
      <c r="AJ1114" s="14"/>
      <c r="AK1114" s="14"/>
      <c r="AL1114" s="14"/>
      <c r="AM1114" s="14"/>
    </row>
    <row r="1115" spans="1:39" x14ac:dyDescent="0.3">
      <c r="A1115" s="14"/>
      <c r="B1115" s="14"/>
      <c r="C1115" s="14"/>
      <c r="D1115" s="14"/>
      <c r="E1115" s="14"/>
      <c r="F1115" s="14"/>
      <c r="G1115" s="14"/>
      <c r="H1115" s="14"/>
      <c r="I1115" s="14"/>
      <c r="J1115" s="14"/>
      <c r="K1115" s="14"/>
      <c r="L1115" s="14"/>
      <c r="M1115" s="14"/>
      <c r="N1115" s="14"/>
      <c r="O1115" s="14"/>
      <c r="P1115" s="14"/>
      <c r="Q1115" s="14"/>
      <c r="R1115" s="14"/>
      <c r="S1115" s="14"/>
      <c r="T1115" s="14"/>
      <c r="U1115" s="14"/>
      <c r="V1115" s="14"/>
      <c r="W1115" s="14"/>
      <c r="X1115" s="14"/>
      <c r="Y1115" s="14"/>
      <c r="Z1115" s="14"/>
      <c r="AA1115" s="14"/>
      <c r="AB1115" s="14"/>
      <c r="AC1115" s="14"/>
      <c r="AD1115" s="14"/>
      <c r="AE1115" s="14"/>
      <c r="AF1115" s="14"/>
      <c r="AG1115" s="14"/>
      <c r="AH1115" s="14"/>
      <c r="AI1115" s="14"/>
      <c r="AJ1115" s="14"/>
      <c r="AK1115" s="14"/>
      <c r="AL1115" s="14"/>
      <c r="AM1115" s="14"/>
    </row>
    <row r="1116" spans="1:39" x14ac:dyDescent="0.3">
      <c r="A1116" s="14"/>
      <c r="B1116" s="14"/>
      <c r="C1116" s="14"/>
      <c r="D1116" s="14"/>
      <c r="E1116" s="14"/>
      <c r="F1116" s="14"/>
      <c r="G1116" s="14"/>
      <c r="H1116" s="14"/>
      <c r="I1116" s="14"/>
      <c r="J1116" s="14"/>
      <c r="K1116" s="14"/>
      <c r="L1116" s="14"/>
      <c r="M1116" s="14"/>
      <c r="N1116" s="14"/>
      <c r="O1116" s="14"/>
      <c r="P1116" s="14"/>
      <c r="Q1116" s="14"/>
      <c r="R1116" s="14"/>
      <c r="S1116" s="14"/>
      <c r="T1116" s="14"/>
      <c r="U1116" s="14"/>
      <c r="V1116" s="14"/>
      <c r="W1116" s="14"/>
      <c r="X1116" s="14"/>
      <c r="Y1116" s="14"/>
      <c r="Z1116" s="14"/>
      <c r="AA1116" s="14"/>
      <c r="AB1116" s="14"/>
      <c r="AC1116" s="14"/>
      <c r="AD1116" s="14"/>
      <c r="AE1116" s="14"/>
      <c r="AF1116" s="14"/>
      <c r="AG1116" s="14"/>
      <c r="AH1116" s="14"/>
      <c r="AI1116" s="14"/>
      <c r="AJ1116" s="14"/>
      <c r="AK1116" s="14"/>
      <c r="AL1116" s="14"/>
      <c r="AM1116" s="14"/>
    </row>
    <row r="1117" spans="1:39" x14ac:dyDescent="0.3">
      <c r="A1117" s="14"/>
      <c r="B1117" s="14"/>
      <c r="C1117" s="14"/>
      <c r="D1117" s="14"/>
      <c r="E1117" s="14"/>
      <c r="F1117" s="14"/>
      <c r="G1117" s="14"/>
      <c r="H1117" s="14"/>
      <c r="I1117" s="14"/>
      <c r="J1117" s="14"/>
      <c r="K1117" s="14"/>
      <c r="L1117" s="14"/>
      <c r="M1117" s="14"/>
      <c r="N1117" s="14"/>
      <c r="O1117" s="14"/>
      <c r="P1117" s="14"/>
      <c r="Q1117" s="14"/>
      <c r="R1117" s="14"/>
      <c r="S1117" s="14"/>
      <c r="T1117" s="14"/>
      <c r="U1117" s="14"/>
      <c r="V1117" s="14"/>
      <c r="W1117" s="14"/>
      <c r="X1117" s="14"/>
      <c r="Y1117" s="14"/>
      <c r="Z1117" s="14"/>
      <c r="AA1117" s="14"/>
      <c r="AB1117" s="14"/>
      <c r="AC1117" s="14"/>
      <c r="AD1117" s="14"/>
      <c r="AE1117" s="14"/>
      <c r="AF1117" s="14"/>
      <c r="AG1117" s="14"/>
      <c r="AH1117" s="14"/>
      <c r="AI1117" s="14"/>
      <c r="AJ1117" s="14"/>
      <c r="AK1117" s="14"/>
      <c r="AL1117" s="14"/>
      <c r="AM1117" s="14"/>
    </row>
    <row r="1118" spans="1:39" x14ac:dyDescent="0.3">
      <c r="A1118" s="14"/>
      <c r="B1118" s="14"/>
      <c r="C1118" s="14"/>
      <c r="D1118" s="14"/>
      <c r="E1118" s="14"/>
      <c r="F1118" s="14"/>
      <c r="G1118" s="14"/>
      <c r="H1118" s="14"/>
      <c r="I1118" s="14"/>
      <c r="J1118" s="14"/>
      <c r="K1118" s="14"/>
      <c r="L1118" s="14"/>
      <c r="M1118" s="14"/>
      <c r="N1118" s="14"/>
      <c r="O1118" s="14"/>
      <c r="P1118" s="14"/>
      <c r="Q1118" s="14"/>
      <c r="R1118" s="14"/>
      <c r="S1118" s="14"/>
      <c r="T1118" s="14"/>
      <c r="U1118" s="14"/>
      <c r="V1118" s="14"/>
      <c r="W1118" s="14"/>
      <c r="X1118" s="14"/>
      <c r="Y1118" s="14"/>
      <c r="Z1118" s="14"/>
      <c r="AA1118" s="14"/>
      <c r="AB1118" s="14"/>
      <c r="AC1118" s="14"/>
      <c r="AD1118" s="14"/>
      <c r="AE1118" s="14"/>
      <c r="AF1118" s="14"/>
      <c r="AG1118" s="14"/>
      <c r="AH1118" s="14"/>
      <c r="AI1118" s="14"/>
      <c r="AJ1118" s="14"/>
      <c r="AK1118" s="14"/>
      <c r="AL1118" s="14"/>
      <c r="AM1118" s="14"/>
    </row>
    <row r="1119" spans="1:39" x14ac:dyDescent="0.3">
      <c r="A1119" s="14"/>
      <c r="B1119" s="14"/>
      <c r="C1119" s="14"/>
      <c r="D1119" s="14"/>
      <c r="E1119" s="14"/>
      <c r="F1119" s="14"/>
      <c r="G1119" s="14"/>
      <c r="H1119" s="14"/>
      <c r="I1119" s="14"/>
      <c r="J1119" s="14"/>
      <c r="K1119" s="14"/>
      <c r="L1119" s="14"/>
      <c r="M1119" s="14"/>
      <c r="N1119" s="14"/>
      <c r="O1119" s="14"/>
      <c r="P1119" s="14"/>
      <c r="Q1119" s="14"/>
      <c r="R1119" s="14"/>
      <c r="S1119" s="14"/>
      <c r="T1119" s="14"/>
      <c r="U1119" s="14"/>
      <c r="V1119" s="14"/>
      <c r="W1119" s="14"/>
      <c r="X1119" s="14"/>
      <c r="Y1119" s="14"/>
      <c r="Z1119" s="14"/>
      <c r="AA1119" s="14"/>
      <c r="AB1119" s="14"/>
      <c r="AC1119" s="14"/>
      <c r="AD1119" s="14"/>
      <c r="AE1119" s="14"/>
      <c r="AF1119" s="14"/>
      <c r="AG1119" s="14"/>
      <c r="AH1119" s="14"/>
      <c r="AI1119" s="14"/>
      <c r="AJ1119" s="14"/>
      <c r="AK1119" s="14"/>
      <c r="AL1119" s="14"/>
      <c r="AM1119" s="14"/>
    </row>
    <row r="1120" spans="1:39" x14ac:dyDescent="0.3">
      <c r="A1120" s="14"/>
      <c r="B1120" s="14"/>
      <c r="C1120" s="14"/>
      <c r="D1120" s="14"/>
      <c r="E1120" s="14"/>
      <c r="F1120" s="14"/>
      <c r="G1120" s="14"/>
      <c r="H1120" s="14"/>
      <c r="I1120" s="14"/>
      <c r="J1120" s="14"/>
      <c r="K1120" s="14"/>
      <c r="L1120" s="14"/>
      <c r="M1120" s="14"/>
      <c r="N1120" s="14"/>
      <c r="O1120" s="14"/>
      <c r="P1120" s="14"/>
      <c r="Q1120" s="14"/>
      <c r="R1120" s="14"/>
      <c r="S1120" s="14"/>
      <c r="T1120" s="14"/>
      <c r="U1120" s="14"/>
      <c r="V1120" s="14"/>
      <c r="W1120" s="14"/>
      <c r="X1120" s="14"/>
      <c r="Y1120" s="14"/>
      <c r="Z1120" s="14"/>
      <c r="AA1120" s="14"/>
      <c r="AB1120" s="14"/>
      <c r="AC1120" s="14"/>
      <c r="AD1120" s="14"/>
      <c r="AE1120" s="14"/>
      <c r="AF1120" s="14"/>
      <c r="AG1120" s="14"/>
      <c r="AH1120" s="14"/>
      <c r="AI1120" s="14"/>
      <c r="AJ1120" s="14"/>
      <c r="AK1120" s="14"/>
      <c r="AL1120" s="14"/>
      <c r="AM1120" s="14"/>
    </row>
    <row r="1121" spans="1:39" x14ac:dyDescent="0.3">
      <c r="A1121" s="14"/>
      <c r="B1121" s="14"/>
      <c r="C1121" s="14"/>
      <c r="D1121" s="14"/>
      <c r="E1121" s="14"/>
      <c r="F1121" s="14"/>
      <c r="G1121" s="14"/>
      <c r="H1121" s="14"/>
      <c r="I1121" s="14"/>
      <c r="J1121" s="14"/>
      <c r="K1121" s="14"/>
      <c r="L1121" s="14"/>
      <c r="M1121" s="14"/>
      <c r="N1121" s="14"/>
      <c r="O1121" s="14"/>
      <c r="P1121" s="14"/>
      <c r="Q1121" s="14"/>
      <c r="R1121" s="14"/>
      <c r="S1121" s="14"/>
      <c r="T1121" s="14"/>
      <c r="U1121" s="14"/>
      <c r="V1121" s="14"/>
      <c r="W1121" s="14"/>
      <c r="X1121" s="14"/>
      <c r="Y1121" s="14"/>
      <c r="Z1121" s="14"/>
      <c r="AA1121" s="14"/>
      <c r="AB1121" s="14"/>
      <c r="AC1121" s="14"/>
      <c r="AD1121" s="14"/>
      <c r="AE1121" s="14"/>
      <c r="AF1121" s="14"/>
      <c r="AG1121" s="14"/>
      <c r="AH1121" s="14"/>
      <c r="AI1121" s="14"/>
      <c r="AJ1121" s="14"/>
      <c r="AK1121" s="14"/>
      <c r="AL1121" s="14"/>
      <c r="AM1121" s="14"/>
    </row>
    <row r="1122" spans="1:39" x14ac:dyDescent="0.3">
      <c r="A1122" s="14"/>
      <c r="B1122" s="14"/>
      <c r="C1122" s="14"/>
      <c r="D1122" s="14"/>
      <c r="E1122" s="14"/>
      <c r="F1122" s="14"/>
      <c r="G1122" s="14"/>
      <c r="H1122" s="14"/>
      <c r="I1122" s="14"/>
      <c r="J1122" s="14"/>
      <c r="K1122" s="14"/>
      <c r="L1122" s="14"/>
      <c r="M1122" s="14"/>
      <c r="N1122" s="14"/>
      <c r="O1122" s="14"/>
      <c r="P1122" s="14"/>
      <c r="Q1122" s="14"/>
      <c r="R1122" s="14"/>
      <c r="S1122" s="14"/>
      <c r="T1122" s="14"/>
      <c r="U1122" s="14"/>
      <c r="V1122" s="14"/>
      <c r="W1122" s="14"/>
      <c r="X1122" s="14"/>
      <c r="Y1122" s="14"/>
      <c r="Z1122" s="14"/>
      <c r="AA1122" s="14"/>
      <c r="AB1122" s="14"/>
      <c r="AC1122" s="14"/>
      <c r="AD1122" s="14"/>
      <c r="AE1122" s="14"/>
      <c r="AF1122" s="14"/>
      <c r="AG1122" s="14"/>
      <c r="AH1122" s="14"/>
      <c r="AI1122" s="14"/>
      <c r="AJ1122" s="14"/>
      <c r="AK1122" s="14"/>
      <c r="AL1122" s="14"/>
      <c r="AM1122" s="14"/>
    </row>
    <row r="1123" spans="1:39" x14ac:dyDescent="0.3">
      <c r="A1123" s="14"/>
      <c r="B1123" s="14"/>
      <c r="C1123" s="14"/>
      <c r="D1123" s="14"/>
      <c r="E1123" s="14"/>
      <c r="F1123" s="14"/>
      <c r="G1123" s="14"/>
      <c r="H1123" s="14"/>
      <c r="I1123" s="14"/>
      <c r="J1123" s="14"/>
      <c r="K1123" s="14"/>
      <c r="L1123" s="14"/>
      <c r="M1123" s="14"/>
      <c r="N1123" s="14"/>
      <c r="O1123" s="14"/>
      <c r="P1123" s="14"/>
      <c r="Q1123" s="14"/>
      <c r="R1123" s="14"/>
      <c r="S1123" s="14"/>
      <c r="T1123" s="14"/>
      <c r="U1123" s="14"/>
      <c r="V1123" s="14"/>
      <c r="W1123" s="14"/>
      <c r="X1123" s="14"/>
      <c r="Y1123" s="14"/>
      <c r="Z1123" s="14"/>
      <c r="AA1123" s="14"/>
      <c r="AB1123" s="14"/>
      <c r="AC1123" s="14"/>
      <c r="AD1123" s="14"/>
      <c r="AE1123" s="14"/>
      <c r="AF1123" s="14"/>
      <c r="AG1123" s="14"/>
      <c r="AH1123" s="14"/>
      <c r="AI1123" s="14"/>
      <c r="AJ1123" s="14"/>
      <c r="AK1123" s="14"/>
      <c r="AL1123" s="14"/>
      <c r="AM1123" s="14"/>
    </row>
    <row r="1124" spans="1:39" x14ac:dyDescent="0.3">
      <c r="A1124" s="14"/>
      <c r="B1124" s="14"/>
      <c r="C1124" s="14"/>
      <c r="D1124" s="14"/>
      <c r="E1124" s="14"/>
      <c r="F1124" s="14"/>
      <c r="G1124" s="14"/>
      <c r="H1124" s="14"/>
      <c r="I1124" s="14"/>
      <c r="J1124" s="14"/>
      <c r="K1124" s="14"/>
      <c r="L1124" s="14"/>
      <c r="M1124" s="14"/>
      <c r="N1124" s="14"/>
      <c r="O1124" s="14"/>
      <c r="P1124" s="14"/>
      <c r="Q1124" s="14"/>
      <c r="R1124" s="14"/>
      <c r="S1124" s="14"/>
      <c r="T1124" s="14"/>
      <c r="U1124" s="14"/>
      <c r="V1124" s="14"/>
      <c r="W1124" s="14"/>
      <c r="X1124" s="14"/>
      <c r="Y1124" s="14"/>
      <c r="Z1124" s="14"/>
      <c r="AA1124" s="14"/>
      <c r="AB1124" s="14"/>
      <c r="AC1124" s="14"/>
      <c r="AD1124" s="14"/>
      <c r="AE1124" s="14"/>
      <c r="AF1124" s="14"/>
      <c r="AG1124" s="14"/>
      <c r="AH1124" s="14"/>
      <c r="AI1124" s="14"/>
      <c r="AJ1124" s="14"/>
      <c r="AK1124" s="14"/>
      <c r="AL1124" s="14"/>
      <c r="AM1124" s="14"/>
    </row>
    <row r="1125" spans="1:39" x14ac:dyDescent="0.3">
      <c r="A1125" s="14"/>
      <c r="B1125" s="14"/>
      <c r="C1125" s="14"/>
      <c r="D1125" s="14"/>
      <c r="E1125" s="14"/>
      <c r="F1125" s="14"/>
      <c r="G1125" s="14"/>
      <c r="H1125" s="14"/>
      <c r="I1125" s="14"/>
      <c r="J1125" s="14"/>
      <c r="K1125" s="14"/>
      <c r="L1125" s="14"/>
      <c r="M1125" s="14"/>
      <c r="N1125" s="14"/>
      <c r="O1125" s="14"/>
      <c r="P1125" s="14"/>
      <c r="Q1125" s="14"/>
      <c r="R1125" s="14"/>
      <c r="S1125" s="14"/>
      <c r="T1125" s="14"/>
      <c r="U1125" s="14"/>
      <c r="V1125" s="14"/>
      <c r="W1125" s="14"/>
      <c r="X1125" s="14"/>
      <c r="Y1125" s="14"/>
      <c r="Z1125" s="14"/>
      <c r="AA1125" s="14"/>
      <c r="AB1125" s="14"/>
      <c r="AC1125" s="14"/>
      <c r="AD1125" s="14"/>
      <c r="AE1125" s="14"/>
      <c r="AF1125" s="14"/>
      <c r="AG1125" s="14"/>
      <c r="AH1125" s="14"/>
      <c r="AI1125" s="14"/>
      <c r="AJ1125" s="14"/>
      <c r="AK1125" s="14"/>
      <c r="AL1125" s="14"/>
      <c r="AM1125" s="14"/>
    </row>
    <row r="1126" spans="1:39" x14ac:dyDescent="0.3">
      <c r="A1126" s="14"/>
      <c r="B1126" s="14"/>
      <c r="C1126" s="14"/>
      <c r="D1126" s="14"/>
      <c r="E1126" s="14"/>
      <c r="F1126" s="14"/>
      <c r="G1126" s="14"/>
      <c r="H1126" s="14"/>
      <c r="I1126" s="14"/>
      <c r="J1126" s="14"/>
      <c r="K1126" s="14"/>
      <c r="L1126" s="14"/>
      <c r="M1126" s="14"/>
      <c r="N1126" s="14"/>
      <c r="O1126" s="14"/>
      <c r="P1126" s="14"/>
      <c r="Q1126" s="14"/>
      <c r="R1126" s="14"/>
      <c r="S1126" s="14"/>
      <c r="T1126" s="14"/>
      <c r="U1126" s="14"/>
      <c r="V1126" s="14"/>
      <c r="W1126" s="14"/>
      <c r="X1126" s="14"/>
      <c r="Y1126" s="14"/>
      <c r="Z1126" s="14"/>
      <c r="AA1126" s="14"/>
      <c r="AB1126" s="14"/>
      <c r="AC1126" s="14"/>
      <c r="AD1126" s="14"/>
      <c r="AE1126" s="14"/>
      <c r="AF1126" s="14"/>
      <c r="AG1126" s="14"/>
      <c r="AH1126" s="14"/>
      <c r="AI1126" s="14"/>
      <c r="AJ1126" s="14"/>
      <c r="AK1126" s="14"/>
      <c r="AL1126" s="14"/>
      <c r="AM1126" s="14"/>
    </row>
    <row r="1127" spans="1:39" x14ac:dyDescent="0.3">
      <c r="A1127" s="14"/>
      <c r="B1127" s="14"/>
      <c r="C1127" s="14"/>
      <c r="D1127" s="14"/>
      <c r="E1127" s="14"/>
      <c r="F1127" s="14"/>
      <c r="G1127" s="14"/>
      <c r="H1127" s="14"/>
      <c r="I1127" s="14"/>
      <c r="J1127" s="14"/>
      <c r="K1127" s="14"/>
      <c r="L1127" s="14"/>
      <c r="M1127" s="14"/>
      <c r="N1127" s="14"/>
      <c r="O1127" s="14"/>
      <c r="P1127" s="14"/>
      <c r="Q1127" s="14"/>
      <c r="R1127" s="14"/>
      <c r="S1127" s="14"/>
      <c r="T1127" s="14"/>
      <c r="U1127" s="14"/>
      <c r="V1127" s="14"/>
      <c r="W1127" s="14"/>
      <c r="X1127" s="14"/>
      <c r="Y1127" s="14"/>
      <c r="Z1127" s="14"/>
      <c r="AA1127" s="14"/>
      <c r="AB1127" s="14"/>
      <c r="AC1127" s="14"/>
      <c r="AD1127" s="14"/>
      <c r="AE1127" s="14"/>
      <c r="AF1127" s="14"/>
      <c r="AG1127" s="14"/>
      <c r="AH1127" s="14"/>
      <c r="AI1127" s="14"/>
      <c r="AJ1127" s="14"/>
      <c r="AK1127" s="14"/>
      <c r="AL1127" s="14"/>
      <c r="AM1127" s="14"/>
    </row>
    <row r="1128" spans="1:39" x14ac:dyDescent="0.3">
      <c r="A1128" s="14"/>
      <c r="B1128" s="14"/>
      <c r="C1128" s="14"/>
      <c r="D1128" s="14"/>
      <c r="E1128" s="14"/>
      <c r="F1128" s="14"/>
      <c r="G1128" s="14"/>
      <c r="H1128" s="14"/>
      <c r="I1128" s="14"/>
      <c r="J1128" s="14"/>
      <c r="K1128" s="14"/>
      <c r="L1128" s="14"/>
      <c r="M1128" s="14"/>
      <c r="N1128" s="14"/>
      <c r="O1128" s="14"/>
      <c r="P1128" s="14"/>
      <c r="Q1128" s="14"/>
      <c r="R1128" s="14"/>
      <c r="S1128" s="14"/>
      <c r="T1128" s="14"/>
      <c r="U1128" s="14"/>
      <c r="V1128" s="14"/>
      <c r="W1128" s="14"/>
      <c r="X1128" s="14"/>
      <c r="Y1128" s="14"/>
      <c r="Z1128" s="14"/>
      <c r="AA1128" s="14"/>
      <c r="AB1128" s="14"/>
      <c r="AC1128" s="14"/>
      <c r="AD1128" s="14"/>
      <c r="AE1128" s="14"/>
      <c r="AF1128" s="14"/>
      <c r="AG1128" s="14"/>
      <c r="AH1128" s="14"/>
      <c r="AI1128" s="14"/>
      <c r="AJ1128" s="14"/>
      <c r="AK1128" s="14"/>
      <c r="AL1128" s="14"/>
      <c r="AM1128" s="14"/>
    </row>
    <row r="1129" spans="1:39" x14ac:dyDescent="0.3">
      <c r="A1129" s="14"/>
      <c r="B1129" s="14"/>
      <c r="C1129" s="14"/>
      <c r="D1129" s="14"/>
      <c r="E1129" s="14"/>
      <c r="F1129" s="14"/>
      <c r="G1129" s="14"/>
      <c r="H1129" s="14"/>
      <c r="I1129" s="14"/>
      <c r="J1129" s="14"/>
      <c r="K1129" s="14"/>
      <c r="L1129" s="14"/>
      <c r="M1129" s="14"/>
      <c r="N1129" s="14"/>
      <c r="O1129" s="14"/>
      <c r="P1129" s="14"/>
      <c r="Q1129" s="14"/>
      <c r="R1129" s="14"/>
      <c r="S1129" s="14"/>
      <c r="T1129" s="14"/>
      <c r="U1129" s="14"/>
      <c r="V1129" s="14"/>
      <c r="W1129" s="14"/>
      <c r="X1129" s="14"/>
      <c r="Y1129" s="14"/>
      <c r="Z1129" s="14"/>
      <c r="AA1129" s="14"/>
      <c r="AB1129" s="14"/>
      <c r="AC1129" s="14"/>
      <c r="AD1129" s="14"/>
      <c r="AE1129" s="14"/>
      <c r="AF1129" s="14"/>
      <c r="AG1129" s="14"/>
      <c r="AH1129" s="14"/>
      <c r="AI1129" s="14"/>
      <c r="AJ1129" s="14"/>
      <c r="AK1129" s="14"/>
      <c r="AL1129" s="14"/>
      <c r="AM1129" s="14"/>
    </row>
    <row r="1130" spans="1:39" x14ac:dyDescent="0.3">
      <c r="A1130" s="14"/>
      <c r="B1130" s="14"/>
      <c r="C1130" s="14"/>
      <c r="D1130" s="14"/>
      <c r="E1130" s="14"/>
      <c r="F1130" s="14"/>
      <c r="G1130" s="14"/>
      <c r="H1130" s="14"/>
      <c r="I1130" s="14"/>
      <c r="J1130" s="14"/>
      <c r="K1130" s="14"/>
      <c r="L1130" s="14"/>
      <c r="M1130" s="14"/>
      <c r="N1130" s="14"/>
      <c r="O1130" s="14"/>
      <c r="P1130" s="14"/>
      <c r="Q1130" s="14"/>
      <c r="R1130" s="14"/>
      <c r="S1130" s="14"/>
      <c r="T1130" s="14"/>
      <c r="U1130" s="14"/>
      <c r="V1130" s="14"/>
      <c r="W1130" s="14"/>
      <c r="X1130" s="14"/>
      <c r="Y1130" s="14"/>
      <c r="Z1130" s="14"/>
      <c r="AA1130" s="14"/>
      <c r="AB1130" s="14"/>
      <c r="AC1130" s="14"/>
      <c r="AD1130" s="14"/>
      <c r="AE1130" s="14"/>
      <c r="AF1130" s="14"/>
      <c r="AG1130" s="14"/>
      <c r="AH1130" s="14"/>
      <c r="AI1130" s="14"/>
      <c r="AJ1130" s="14"/>
      <c r="AK1130" s="14"/>
      <c r="AL1130" s="14"/>
      <c r="AM1130" s="14"/>
    </row>
    <row r="1131" spans="1:39" x14ac:dyDescent="0.3">
      <c r="A1131" s="14"/>
      <c r="B1131" s="14"/>
      <c r="C1131" s="14"/>
      <c r="D1131" s="14"/>
      <c r="E1131" s="14"/>
      <c r="F1131" s="14"/>
      <c r="G1131" s="14"/>
      <c r="H1131" s="14"/>
      <c r="I1131" s="14"/>
      <c r="J1131" s="14"/>
      <c r="K1131" s="14"/>
      <c r="L1131" s="14"/>
      <c r="M1131" s="14"/>
      <c r="N1131" s="14"/>
      <c r="O1131" s="14"/>
      <c r="P1131" s="14"/>
      <c r="Q1131" s="14"/>
      <c r="R1131" s="14"/>
      <c r="S1131" s="14"/>
      <c r="T1131" s="14"/>
      <c r="U1131" s="14"/>
      <c r="V1131" s="14"/>
      <c r="W1131" s="14"/>
      <c r="X1131" s="14"/>
      <c r="Y1131" s="14"/>
      <c r="Z1131" s="14"/>
      <c r="AA1131" s="14"/>
      <c r="AB1131" s="14"/>
      <c r="AC1131" s="14"/>
      <c r="AD1131" s="14"/>
      <c r="AE1131" s="14"/>
      <c r="AF1131" s="14"/>
      <c r="AG1131" s="14"/>
      <c r="AH1131" s="14"/>
      <c r="AI1131" s="14"/>
      <c r="AJ1131" s="14"/>
      <c r="AK1131" s="14"/>
      <c r="AL1131" s="14"/>
      <c r="AM1131" s="14"/>
    </row>
    <row r="1132" spans="1:39" x14ac:dyDescent="0.3">
      <c r="A1132" s="14"/>
      <c r="B1132" s="14"/>
      <c r="C1132" s="14"/>
      <c r="D1132" s="14"/>
      <c r="E1132" s="14"/>
      <c r="F1132" s="14"/>
      <c r="G1132" s="14"/>
      <c r="H1132" s="14"/>
      <c r="I1132" s="14"/>
      <c r="J1132" s="14"/>
      <c r="K1132" s="14"/>
      <c r="L1132" s="14"/>
      <c r="M1132" s="14"/>
      <c r="N1132" s="14"/>
      <c r="O1132" s="14"/>
      <c r="P1132" s="14"/>
      <c r="Q1132" s="14"/>
      <c r="R1132" s="14"/>
      <c r="S1132" s="14"/>
      <c r="T1132" s="14"/>
      <c r="U1132" s="14"/>
      <c r="V1132" s="14"/>
      <c r="W1132" s="14"/>
      <c r="X1132" s="14"/>
      <c r="Y1132" s="14"/>
      <c r="Z1132" s="14"/>
      <c r="AA1132" s="14"/>
      <c r="AB1132" s="14"/>
      <c r="AC1132" s="14"/>
      <c r="AD1132" s="14"/>
      <c r="AE1132" s="14"/>
      <c r="AF1132" s="14"/>
      <c r="AG1132" s="14"/>
      <c r="AH1132" s="14"/>
      <c r="AI1132" s="14"/>
      <c r="AJ1132" s="14"/>
      <c r="AK1132" s="14"/>
      <c r="AL1132" s="14"/>
      <c r="AM1132" s="14"/>
    </row>
    <row r="1133" spans="1:39" x14ac:dyDescent="0.3">
      <c r="A1133" s="14"/>
      <c r="B1133" s="14"/>
      <c r="C1133" s="14"/>
      <c r="D1133" s="14"/>
      <c r="E1133" s="14"/>
      <c r="F1133" s="14"/>
      <c r="G1133" s="14"/>
      <c r="H1133" s="14"/>
      <c r="I1133" s="14"/>
      <c r="J1133" s="14"/>
      <c r="K1133" s="14"/>
      <c r="L1133" s="14"/>
      <c r="M1133" s="14"/>
      <c r="N1133" s="14"/>
      <c r="O1133" s="14"/>
      <c r="P1133" s="14"/>
      <c r="Q1133" s="14"/>
      <c r="R1133" s="14"/>
      <c r="S1133" s="14"/>
      <c r="T1133" s="14"/>
      <c r="U1133" s="14"/>
      <c r="V1133" s="14"/>
      <c r="W1133" s="14"/>
      <c r="X1133" s="14"/>
      <c r="Y1133" s="14"/>
      <c r="Z1133" s="14"/>
      <c r="AA1133" s="14"/>
      <c r="AB1133" s="14"/>
      <c r="AC1133" s="14"/>
      <c r="AD1133" s="14"/>
      <c r="AE1133" s="14"/>
      <c r="AF1133" s="14"/>
      <c r="AG1133" s="14"/>
      <c r="AH1133" s="14"/>
      <c r="AI1133" s="14"/>
      <c r="AJ1133" s="14"/>
      <c r="AK1133" s="14"/>
      <c r="AL1133" s="14"/>
      <c r="AM1133" s="14"/>
    </row>
    <row r="1134" spans="1:39" x14ac:dyDescent="0.3">
      <c r="A1134" s="14"/>
      <c r="B1134" s="14"/>
      <c r="C1134" s="14"/>
      <c r="D1134" s="14"/>
      <c r="E1134" s="14"/>
      <c r="F1134" s="14"/>
      <c r="G1134" s="14"/>
      <c r="H1134" s="14"/>
      <c r="I1134" s="14"/>
      <c r="J1134" s="14"/>
      <c r="K1134" s="14"/>
      <c r="L1134" s="14"/>
      <c r="M1134" s="14"/>
      <c r="N1134" s="14"/>
      <c r="O1134" s="14"/>
      <c r="P1134" s="14"/>
      <c r="Q1134" s="14"/>
      <c r="R1134" s="14"/>
      <c r="S1134" s="14"/>
      <c r="T1134" s="14"/>
      <c r="U1134" s="14"/>
      <c r="V1134" s="14"/>
      <c r="W1134" s="14"/>
      <c r="X1134" s="14"/>
      <c r="Y1134" s="14"/>
      <c r="Z1134" s="14"/>
      <c r="AA1134" s="14"/>
      <c r="AB1134" s="14"/>
      <c r="AC1134" s="14"/>
      <c r="AD1134" s="14"/>
      <c r="AE1134" s="14"/>
      <c r="AF1134" s="14"/>
      <c r="AG1134" s="14"/>
      <c r="AH1134" s="14"/>
      <c r="AI1134" s="14"/>
      <c r="AJ1134" s="14"/>
      <c r="AK1134" s="14"/>
      <c r="AL1134" s="14"/>
      <c r="AM1134" s="14"/>
    </row>
    <row r="1135" spans="1:39" x14ac:dyDescent="0.3">
      <c r="A1135" s="14"/>
      <c r="B1135" s="14"/>
      <c r="C1135" s="14"/>
      <c r="D1135" s="14"/>
      <c r="E1135" s="14"/>
      <c r="F1135" s="14"/>
      <c r="G1135" s="14"/>
      <c r="H1135" s="14"/>
      <c r="I1135" s="14"/>
      <c r="J1135" s="14"/>
      <c r="K1135" s="14"/>
      <c r="L1135" s="14"/>
      <c r="M1135" s="14"/>
      <c r="N1135" s="14"/>
      <c r="O1135" s="14"/>
      <c r="P1135" s="14"/>
      <c r="Q1135" s="14"/>
      <c r="R1135" s="14"/>
      <c r="S1135" s="14"/>
      <c r="T1135" s="14"/>
      <c r="U1135" s="14"/>
      <c r="V1135" s="14"/>
      <c r="W1135" s="14"/>
      <c r="X1135" s="14"/>
      <c r="Y1135" s="14"/>
      <c r="Z1135" s="14"/>
      <c r="AA1135" s="14"/>
      <c r="AB1135" s="14"/>
      <c r="AC1135" s="14"/>
      <c r="AD1135" s="14"/>
      <c r="AE1135" s="14"/>
      <c r="AF1135" s="14"/>
      <c r="AG1135" s="14"/>
      <c r="AH1135" s="14"/>
      <c r="AI1135" s="14"/>
      <c r="AJ1135" s="14"/>
      <c r="AK1135" s="14"/>
      <c r="AL1135" s="14"/>
      <c r="AM1135" s="14"/>
    </row>
    <row r="1136" spans="1:39" x14ac:dyDescent="0.3">
      <c r="A1136" s="14"/>
      <c r="B1136" s="14"/>
      <c r="C1136" s="14"/>
      <c r="D1136" s="14"/>
      <c r="E1136" s="14"/>
      <c r="F1136" s="14"/>
      <c r="G1136" s="14"/>
      <c r="H1136" s="14"/>
      <c r="I1136" s="14"/>
      <c r="J1136" s="14"/>
      <c r="K1136" s="14"/>
      <c r="L1136" s="14"/>
      <c r="M1136" s="14"/>
      <c r="N1136" s="14"/>
      <c r="O1136" s="14"/>
      <c r="P1136" s="14"/>
      <c r="Q1136" s="14"/>
      <c r="R1136" s="14"/>
      <c r="S1136" s="14"/>
      <c r="T1136" s="14"/>
      <c r="U1136" s="14"/>
      <c r="V1136" s="14"/>
      <c r="W1136" s="14"/>
      <c r="X1136" s="14"/>
      <c r="Y1136" s="14"/>
      <c r="Z1136" s="14"/>
      <c r="AA1136" s="14"/>
      <c r="AB1136" s="14"/>
      <c r="AC1136" s="14"/>
      <c r="AD1136" s="14"/>
      <c r="AE1136" s="14"/>
      <c r="AF1136" s="14"/>
      <c r="AG1136" s="14"/>
      <c r="AH1136" s="14"/>
      <c r="AI1136" s="14"/>
      <c r="AJ1136" s="14"/>
      <c r="AK1136" s="14"/>
      <c r="AL1136" s="14"/>
      <c r="AM1136" s="14"/>
    </row>
    <row r="1137" spans="1:39" x14ac:dyDescent="0.3">
      <c r="A1137" s="14"/>
      <c r="B1137" s="14"/>
      <c r="C1137" s="14"/>
      <c r="D1137" s="14"/>
      <c r="E1137" s="14"/>
      <c r="F1137" s="14"/>
      <c r="G1137" s="14"/>
      <c r="H1137" s="14"/>
      <c r="I1137" s="14"/>
      <c r="J1137" s="14"/>
      <c r="K1137" s="14"/>
      <c r="L1137" s="14"/>
      <c r="M1137" s="14"/>
      <c r="N1137" s="14"/>
      <c r="O1137" s="14"/>
      <c r="P1137" s="14"/>
      <c r="Q1137" s="14"/>
      <c r="R1137" s="14"/>
      <c r="S1137" s="14"/>
      <c r="T1137" s="14"/>
      <c r="U1137" s="14"/>
      <c r="V1137" s="14"/>
      <c r="W1137" s="14"/>
      <c r="X1137" s="14"/>
      <c r="Y1137" s="14"/>
      <c r="Z1137" s="14"/>
      <c r="AA1137" s="14"/>
      <c r="AB1137" s="14"/>
      <c r="AC1137" s="14"/>
      <c r="AD1137" s="14"/>
      <c r="AE1137" s="14"/>
      <c r="AF1137" s="14"/>
      <c r="AG1137" s="14"/>
      <c r="AH1137" s="14"/>
      <c r="AI1137" s="14"/>
      <c r="AJ1137" s="14"/>
      <c r="AK1137" s="14"/>
      <c r="AL1137" s="14"/>
      <c r="AM1137" s="14"/>
    </row>
    <row r="1138" spans="1:39" x14ac:dyDescent="0.3">
      <c r="A1138" s="14"/>
      <c r="B1138" s="14"/>
      <c r="C1138" s="14"/>
      <c r="D1138" s="14"/>
      <c r="E1138" s="14"/>
      <c r="F1138" s="14"/>
      <c r="G1138" s="14"/>
      <c r="H1138" s="14"/>
      <c r="I1138" s="14"/>
      <c r="J1138" s="14"/>
      <c r="K1138" s="14"/>
      <c r="L1138" s="14"/>
      <c r="M1138" s="14"/>
      <c r="N1138" s="14"/>
      <c r="O1138" s="14"/>
      <c r="P1138" s="14"/>
      <c r="Q1138" s="14"/>
      <c r="R1138" s="14"/>
      <c r="S1138" s="14"/>
      <c r="T1138" s="14"/>
      <c r="U1138" s="14"/>
      <c r="V1138" s="14"/>
      <c r="W1138" s="14"/>
      <c r="X1138" s="14"/>
      <c r="Y1138" s="14"/>
      <c r="Z1138" s="14"/>
      <c r="AA1138" s="14"/>
      <c r="AB1138" s="14"/>
      <c r="AC1138" s="14"/>
      <c r="AD1138" s="14"/>
      <c r="AE1138" s="14"/>
      <c r="AF1138" s="14"/>
      <c r="AG1138" s="14"/>
      <c r="AH1138" s="14"/>
      <c r="AI1138" s="14"/>
      <c r="AJ1138" s="14"/>
      <c r="AK1138" s="14"/>
      <c r="AL1138" s="14"/>
      <c r="AM1138" s="14"/>
    </row>
    <row r="1139" spans="1:39" x14ac:dyDescent="0.3">
      <c r="A1139" s="14"/>
      <c r="B1139" s="14"/>
      <c r="C1139" s="14"/>
      <c r="D1139" s="14"/>
      <c r="E1139" s="14"/>
      <c r="F1139" s="14"/>
      <c r="G1139" s="14"/>
      <c r="H1139" s="14"/>
      <c r="I1139" s="14"/>
      <c r="J1139" s="14"/>
      <c r="K1139" s="14"/>
      <c r="L1139" s="14"/>
      <c r="M1139" s="14"/>
      <c r="N1139" s="14"/>
      <c r="O1139" s="14"/>
      <c r="P1139" s="14"/>
      <c r="Q1139" s="14"/>
      <c r="R1139" s="14"/>
      <c r="S1139" s="14"/>
      <c r="T1139" s="14"/>
      <c r="U1139" s="14"/>
      <c r="V1139" s="14"/>
      <c r="W1139" s="14"/>
      <c r="X1139" s="14"/>
      <c r="Y1139" s="14"/>
      <c r="Z1139" s="14"/>
      <c r="AA1139" s="14"/>
      <c r="AB1139" s="14"/>
      <c r="AC1139" s="14"/>
      <c r="AD1139" s="14"/>
      <c r="AE1139" s="14"/>
      <c r="AF1139" s="14"/>
      <c r="AG1139" s="14"/>
      <c r="AH1139" s="14"/>
      <c r="AI1139" s="14"/>
      <c r="AJ1139" s="14"/>
      <c r="AK1139" s="14"/>
      <c r="AL1139" s="14"/>
      <c r="AM1139" s="14"/>
    </row>
    <row r="1140" spans="1:39" x14ac:dyDescent="0.3">
      <c r="A1140" s="14"/>
      <c r="B1140" s="14"/>
      <c r="C1140" s="14"/>
      <c r="D1140" s="14"/>
      <c r="E1140" s="14"/>
      <c r="F1140" s="14"/>
      <c r="G1140" s="14"/>
      <c r="H1140" s="14"/>
      <c r="I1140" s="14"/>
      <c r="J1140" s="14"/>
      <c r="K1140" s="14"/>
      <c r="L1140" s="14"/>
      <c r="M1140" s="14"/>
      <c r="N1140" s="14"/>
      <c r="O1140" s="14"/>
      <c r="P1140" s="14"/>
      <c r="Q1140" s="14"/>
      <c r="R1140" s="14"/>
      <c r="S1140" s="14"/>
      <c r="T1140" s="14"/>
      <c r="U1140" s="14"/>
      <c r="V1140" s="14"/>
      <c r="W1140" s="14"/>
      <c r="X1140" s="14"/>
      <c r="Y1140" s="14"/>
      <c r="Z1140" s="14"/>
      <c r="AA1140" s="14"/>
      <c r="AB1140" s="14"/>
      <c r="AC1140" s="14"/>
      <c r="AD1140" s="14"/>
      <c r="AE1140" s="14"/>
      <c r="AF1140" s="14"/>
      <c r="AG1140" s="14"/>
      <c r="AH1140" s="14"/>
      <c r="AI1140" s="14"/>
      <c r="AJ1140" s="14"/>
      <c r="AK1140" s="14"/>
      <c r="AL1140" s="14"/>
      <c r="AM1140" s="14"/>
    </row>
    <row r="1141" spans="1:39" x14ac:dyDescent="0.3">
      <c r="A1141" s="14"/>
      <c r="B1141" s="14"/>
      <c r="C1141" s="14"/>
      <c r="D1141" s="14"/>
      <c r="E1141" s="14"/>
      <c r="F1141" s="14"/>
      <c r="G1141" s="14"/>
      <c r="H1141" s="14"/>
      <c r="I1141" s="14"/>
      <c r="J1141" s="14"/>
      <c r="K1141" s="14"/>
      <c r="L1141" s="14"/>
      <c r="M1141" s="14"/>
      <c r="N1141" s="14"/>
      <c r="O1141" s="14"/>
      <c r="P1141" s="14"/>
      <c r="Q1141" s="14"/>
      <c r="R1141" s="14"/>
      <c r="S1141" s="14"/>
      <c r="T1141" s="14"/>
      <c r="U1141" s="14"/>
      <c r="V1141" s="14"/>
      <c r="W1141" s="14"/>
      <c r="X1141" s="14"/>
      <c r="Y1141" s="14"/>
      <c r="Z1141" s="14"/>
      <c r="AA1141" s="14"/>
      <c r="AB1141" s="14"/>
      <c r="AC1141" s="14"/>
      <c r="AD1141" s="14"/>
      <c r="AE1141" s="14"/>
      <c r="AF1141" s="14"/>
      <c r="AG1141" s="14"/>
      <c r="AH1141" s="14"/>
      <c r="AI1141" s="14"/>
      <c r="AJ1141" s="14"/>
      <c r="AK1141" s="14"/>
      <c r="AL1141" s="14"/>
      <c r="AM1141" s="14"/>
    </row>
    <row r="1142" spans="1:39" x14ac:dyDescent="0.3">
      <c r="A1142" s="14"/>
      <c r="B1142" s="14"/>
      <c r="C1142" s="14"/>
      <c r="D1142" s="14"/>
      <c r="E1142" s="14"/>
      <c r="F1142" s="14"/>
      <c r="G1142" s="14"/>
      <c r="H1142" s="14"/>
      <c r="I1142" s="14"/>
      <c r="J1142" s="14"/>
      <c r="K1142" s="14"/>
      <c r="L1142" s="14"/>
      <c r="M1142" s="14"/>
      <c r="N1142" s="14"/>
      <c r="O1142" s="14"/>
      <c r="P1142" s="14"/>
      <c r="Q1142" s="14"/>
      <c r="R1142" s="14"/>
      <c r="S1142" s="14"/>
      <c r="T1142" s="14"/>
      <c r="U1142" s="14"/>
      <c r="V1142" s="14"/>
      <c r="W1142" s="14"/>
      <c r="X1142" s="14"/>
      <c r="Y1142" s="14"/>
      <c r="Z1142" s="14"/>
      <c r="AA1142" s="14"/>
      <c r="AB1142" s="14"/>
      <c r="AC1142" s="14"/>
      <c r="AD1142" s="14"/>
      <c r="AE1142" s="14"/>
      <c r="AF1142" s="14"/>
      <c r="AG1142" s="14"/>
      <c r="AH1142" s="14"/>
      <c r="AI1142" s="14"/>
      <c r="AJ1142" s="14"/>
      <c r="AK1142" s="14"/>
      <c r="AL1142" s="14"/>
      <c r="AM1142" s="14"/>
    </row>
    <row r="1143" spans="1:39" x14ac:dyDescent="0.3">
      <c r="A1143" s="14"/>
      <c r="B1143" s="14"/>
      <c r="C1143" s="14"/>
      <c r="D1143" s="14"/>
      <c r="E1143" s="14"/>
      <c r="F1143" s="14"/>
      <c r="G1143" s="14"/>
      <c r="H1143" s="14"/>
      <c r="I1143" s="14"/>
      <c r="J1143" s="14"/>
      <c r="K1143" s="14"/>
      <c r="L1143" s="14"/>
      <c r="M1143" s="14"/>
      <c r="N1143" s="14"/>
      <c r="O1143" s="14"/>
      <c r="P1143" s="14"/>
      <c r="Q1143" s="14"/>
      <c r="R1143" s="14"/>
      <c r="S1143" s="14"/>
      <c r="T1143" s="14"/>
      <c r="U1143" s="14"/>
      <c r="V1143" s="14"/>
      <c r="W1143" s="14"/>
      <c r="X1143" s="14"/>
      <c r="Y1143" s="14"/>
      <c r="Z1143" s="14"/>
      <c r="AA1143" s="14"/>
      <c r="AB1143" s="14"/>
      <c r="AC1143" s="14"/>
      <c r="AD1143" s="14"/>
      <c r="AE1143" s="14"/>
      <c r="AF1143" s="14"/>
      <c r="AG1143" s="14"/>
      <c r="AH1143" s="14"/>
      <c r="AI1143" s="14"/>
      <c r="AJ1143" s="14"/>
      <c r="AK1143" s="14"/>
      <c r="AL1143" s="14"/>
      <c r="AM1143" s="14"/>
    </row>
    <row r="1144" spans="1:39" x14ac:dyDescent="0.3">
      <c r="A1144" s="14"/>
      <c r="B1144" s="14"/>
      <c r="C1144" s="14"/>
      <c r="D1144" s="14"/>
      <c r="E1144" s="14"/>
      <c r="F1144" s="14"/>
      <c r="G1144" s="14"/>
      <c r="H1144" s="14"/>
      <c r="I1144" s="14"/>
      <c r="J1144" s="14"/>
      <c r="K1144" s="14"/>
      <c r="L1144" s="14"/>
      <c r="M1144" s="14"/>
      <c r="N1144" s="14"/>
      <c r="O1144" s="14"/>
      <c r="P1144" s="14"/>
      <c r="Q1144" s="14"/>
      <c r="R1144" s="14"/>
      <c r="S1144" s="14"/>
      <c r="T1144" s="14"/>
      <c r="U1144" s="14"/>
      <c r="V1144" s="14"/>
      <c r="W1144" s="14"/>
      <c r="X1144" s="14"/>
      <c r="Y1144" s="14"/>
      <c r="Z1144" s="14"/>
      <c r="AA1144" s="14"/>
      <c r="AB1144" s="14"/>
      <c r="AC1144" s="14"/>
      <c r="AD1144" s="14"/>
      <c r="AE1144" s="14"/>
      <c r="AF1144" s="14"/>
      <c r="AG1144" s="14"/>
      <c r="AH1144" s="14"/>
      <c r="AI1144" s="14"/>
      <c r="AJ1144" s="14"/>
      <c r="AK1144" s="14"/>
      <c r="AL1144" s="14"/>
      <c r="AM1144" s="14"/>
    </row>
    <row r="1145" spans="1:39" x14ac:dyDescent="0.3">
      <c r="A1145" s="14"/>
      <c r="B1145" s="14"/>
      <c r="C1145" s="14"/>
      <c r="D1145" s="14"/>
      <c r="E1145" s="14"/>
      <c r="F1145" s="14"/>
      <c r="G1145" s="14"/>
      <c r="H1145" s="14"/>
      <c r="I1145" s="14"/>
      <c r="J1145" s="14"/>
      <c r="K1145" s="14"/>
      <c r="L1145" s="14"/>
      <c r="M1145" s="14"/>
      <c r="N1145" s="14"/>
      <c r="O1145" s="14"/>
      <c r="P1145" s="14"/>
      <c r="Q1145" s="14"/>
      <c r="R1145" s="14"/>
      <c r="S1145" s="14"/>
      <c r="T1145" s="14"/>
      <c r="U1145" s="14"/>
      <c r="V1145" s="14"/>
      <c r="W1145" s="14"/>
      <c r="X1145" s="14"/>
      <c r="Y1145" s="14"/>
      <c r="Z1145" s="14"/>
      <c r="AA1145" s="14"/>
      <c r="AB1145" s="14"/>
      <c r="AC1145" s="14"/>
      <c r="AD1145" s="14"/>
      <c r="AE1145" s="14"/>
      <c r="AF1145" s="14"/>
      <c r="AG1145" s="14"/>
      <c r="AH1145" s="14"/>
      <c r="AI1145" s="14"/>
      <c r="AJ1145" s="14"/>
      <c r="AK1145" s="14"/>
      <c r="AL1145" s="14"/>
      <c r="AM1145" s="14"/>
    </row>
    <row r="1146" spans="1:39" x14ac:dyDescent="0.3">
      <c r="A1146" s="14"/>
      <c r="B1146" s="14"/>
      <c r="C1146" s="14"/>
      <c r="D1146" s="14"/>
      <c r="E1146" s="14"/>
      <c r="F1146" s="14"/>
      <c r="G1146" s="14"/>
      <c r="H1146" s="14"/>
      <c r="I1146" s="14"/>
      <c r="J1146" s="14"/>
      <c r="K1146" s="14"/>
      <c r="L1146" s="14"/>
      <c r="M1146" s="14"/>
      <c r="N1146" s="14"/>
      <c r="O1146" s="14"/>
      <c r="P1146" s="14"/>
      <c r="Q1146" s="14"/>
      <c r="R1146" s="14"/>
      <c r="S1146" s="14"/>
      <c r="T1146" s="14"/>
      <c r="U1146" s="14"/>
      <c r="V1146" s="14"/>
      <c r="W1146" s="14"/>
      <c r="X1146" s="14"/>
      <c r="Y1146" s="14"/>
      <c r="Z1146" s="14"/>
      <c r="AA1146" s="14"/>
      <c r="AB1146" s="14"/>
      <c r="AC1146" s="14"/>
      <c r="AD1146" s="14"/>
      <c r="AE1146" s="14"/>
      <c r="AF1146" s="14"/>
      <c r="AG1146" s="14"/>
      <c r="AH1146" s="14"/>
      <c r="AI1146" s="14"/>
      <c r="AJ1146" s="14"/>
      <c r="AK1146" s="14"/>
      <c r="AL1146" s="14"/>
      <c r="AM1146" s="14"/>
    </row>
    <row r="1147" spans="1:39" x14ac:dyDescent="0.3">
      <c r="A1147" s="14"/>
      <c r="B1147" s="14"/>
      <c r="C1147" s="14"/>
      <c r="D1147" s="14"/>
      <c r="E1147" s="14"/>
      <c r="F1147" s="14"/>
      <c r="G1147" s="14"/>
      <c r="H1147" s="14"/>
      <c r="I1147" s="14"/>
      <c r="J1147" s="14"/>
      <c r="K1147" s="14"/>
      <c r="L1147" s="14"/>
      <c r="M1147" s="14"/>
      <c r="N1147" s="14"/>
      <c r="O1147" s="14"/>
      <c r="P1147" s="14"/>
      <c r="Q1147" s="14"/>
      <c r="R1147" s="14"/>
      <c r="S1147" s="14"/>
      <c r="T1147" s="14"/>
      <c r="U1147" s="14"/>
      <c r="V1147" s="14"/>
      <c r="W1147" s="14"/>
      <c r="X1147" s="14"/>
      <c r="Y1147" s="14"/>
      <c r="Z1147" s="14"/>
      <c r="AA1147" s="14"/>
      <c r="AB1147" s="14"/>
      <c r="AC1147" s="14"/>
      <c r="AD1147" s="14"/>
      <c r="AE1147" s="14"/>
      <c r="AF1147" s="14"/>
      <c r="AG1147" s="14"/>
      <c r="AH1147" s="14"/>
      <c r="AI1147" s="14"/>
      <c r="AJ1147" s="14"/>
      <c r="AK1147" s="14"/>
      <c r="AL1147" s="14"/>
      <c r="AM1147" s="14"/>
    </row>
    <row r="1148" spans="1:39" x14ac:dyDescent="0.3">
      <c r="A1148" s="14"/>
      <c r="B1148" s="14"/>
      <c r="C1148" s="14"/>
      <c r="D1148" s="14"/>
      <c r="E1148" s="14"/>
      <c r="F1148" s="14"/>
      <c r="G1148" s="14"/>
      <c r="H1148" s="14"/>
      <c r="I1148" s="14"/>
      <c r="J1148" s="14"/>
      <c r="K1148" s="14"/>
      <c r="L1148" s="14"/>
      <c r="M1148" s="14"/>
      <c r="N1148" s="14"/>
      <c r="O1148" s="14"/>
      <c r="P1148" s="14"/>
      <c r="Q1148" s="14"/>
      <c r="R1148" s="14"/>
      <c r="S1148" s="14"/>
      <c r="T1148" s="14"/>
      <c r="U1148" s="14"/>
      <c r="V1148" s="14"/>
      <c r="W1148" s="14"/>
      <c r="X1148" s="14"/>
      <c r="Y1148" s="14"/>
      <c r="Z1148" s="14"/>
      <c r="AA1148" s="14"/>
      <c r="AB1148" s="14"/>
      <c r="AC1148" s="14"/>
      <c r="AD1148" s="14"/>
      <c r="AE1148" s="14"/>
      <c r="AF1148" s="14"/>
      <c r="AG1148" s="14"/>
      <c r="AH1148" s="14"/>
      <c r="AI1148" s="14"/>
      <c r="AJ1148" s="14"/>
      <c r="AK1148" s="14"/>
      <c r="AL1148" s="14"/>
      <c r="AM1148" s="14"/>
    </row>
    <row r="1149" spans="1:39" x14ac:dyDescent="0.3">
      <c r="A1149" s="14"/>
      <c r="B1149" s="14"/>
      <c r="C1149" s="14"/>
      <c r="D1149" s="14"/>
      <c r="E1149" s="14"/>
      <c r="F1149" s="14"/>
      <c r="G1149" s="14"/>
      <c r="H1149" s="14"/>
      <c r="I1149" s="14"/>
      <c r="J1149" s="14"/>
      <c r="K1149" s="14"/>
      <c r="L1149" s="14"/>
      <c r="M1149" s="14"/>
      <c r="N1149" s="14"/>
      <c r="O1149" s="14"/>
      <c r="P1149" s="14"/>
      <c r="Q1149" s="14"/>
      <c r="R1149" s="14"/>
      <c r="S1149" s="14"/>
      <c r="T1149" s="14"/>
      <c r="U1149" s="14"/>
      <c r="V1149" s="14"/>
      <c r="W1149" s="14"/>
      <c r="X1149" s="14"/>
      <c r="Y1149" s="14"/>
      <c r="Z1149" s="14"/>
      <c r="AA1149" s="14"/>
      <c r="AB1149" s="14"/>
      <c r="AC1149" s="14"/>
      <c r="AD1149" s="14"/>
      <c r="AE1149" s="14"/>
      <c r="AF1149" s="14"/>
      <c r="AG1149" s="14"/>
      <c r="AH1149" s="14"/>
      <c r="AI1149" s="14"/>
      <c r="AJ1149" s="14"/>
      <c r="AK1149" s="14"/>
      <c r="AL1149" s="14"/>
      <c r="AM1149" s="14"/>
    </row>
    <row r="1150" spans="1:39" x14ac:dyDescent="0.3">
      <c r="A1150" s="14"/>
      <c r="B1150" s="14"/>
      <c r="C1150" s="14"/>
      <c r="D1150" s="14"/>
      <c r="E1150" s="14"/>
      <c r="F1150" s="14"/>
      <c r="G1150" s="14"/>
      <c r="H1150" s="14"/>
      <c r="I1150" s="14"/>
      <c r="J1150" s="14"/>
      <c r="K1150" s="14"/>
      <c r="L1150" s="14"/>
      <c r="M1150" s="14"/>
      <c r="N1150" s="14"/>
      <c r="O1150" s="14"/>
      <c r="P1150" s="14"/>
      <c r="Q1150" s="14"/>
      <c r="R1150" s="14"/>
      <c r="S1150" s="14"/>
      <c r="T1150" s="14"/>
      <c r="U1150" s="14"/>
      <c r="V1150" s="14"/>
      <c r="W1150" s="14"/>
      <c r="X1150" s="14"/>
      <c r="Y1150" s="14"/>
      <c r="Z1150" s="14"/>
      <c r="AA1150" s="14"/>
      <c r="AB1150" s="14"/>
      <c r="AC1150" s="14"/>
      <c r="AD1150" s="14"/>
      <c r="AE1150" s="14"/>
      <c r="AF1150" s="14"/>
      <c r="AG1150" s="14"/>
      <c r="AH1150" s="14"/>
      <c r="AI1150" s="14"/>
      <c r="AJ1150" s="14"/>
      <c r="AK1150" s="14"/>
      <c r="AL1150" s="14"/>
      <c r="AM1150" s="14"/>
    </row>
    <row r="1151" spans="1:39" x14ac:dyDescent="0.3">
      <c r="A1151" s="14"/>
      <c r="B1151" s="14"/>
      <c r="C1151" s="14"/>
      <c r="D1151" s="14"/>
      <c r="E1151" s="14"/>
      <c r="F1151" s="14"/>
      <c r="G1151" s="14"/>
      <c r="H1151" s="14"/>
      <c r="I1151" s="14"/>
      <c r="J1151" s="14"/>
      <c r="K1151" s="14"/>
      <c r="L1151" s="14"/>
      <c r="M1151" s="14"/>
      <c r="N1151" s="14"/>
      <c r="O1151" s="14"/>
      <c r="P1151" s="14"/>
      <c r="Q1151" s="14"/>
      <c r="R1151" s="14"/>
      <c r="S1151" s="14"/>
      <c r="T1151" s="14"/>
      <c r="U1151" s="14"/>
      <c r="V1151" s="14"/>
      <c r="W1151" s="14"/>
      <c r="X1151" s="14"/>
      <c r="Y1151" s="14"/>
      <c r="Z1151" s="14"/>
      <c r="AA1151" s="14"/>
      <c r="AB1151" s="14"/>
      <c r="AC1151" s="14"/>
      <c r="AD1151" s="14"/>
      <c r="AE1151" s="14"/>
      <c r="AF1151" s="14"/>
      <c r="AG1151" s="14"/>
      <c r="AH1151" s="14"/>
      <c r="AI1151" s="14"/>
      <c r="AJ1151" s="14"/>
      <c r="AK1151" s="14"/>
      <c r="AL1151" s="14"/>
      <c r="AM1151" s="14"/>
    </row>
    <row r="1152" spans="1:39" x14ac:dyDescent="0.3">
      <c r="A1152" s="14"/>
      <c r="B1152" s="14"/>
      <c r="C1152" s="14"/>
      <c r="D1152" s="14"/>
      <c r="E1152" s="14"/>
      <c r="F1152" s="14"/>
      <c r="G1152" s="14"/>
      <c r="H1152" s="14"/>
      <c r="I1152" s="14"/>
      <c r="J1152" s="14"/>
      <c r="K1152" s="14"/>
      <c r="L1152" s="14"/>
      <c r="M1152" s="14"/>
      <c r="N1152" s="14"/>
      <c r="O1152" s="14"/>
      <c r="P1152" s="14"/>
      <c r="Q1152" s="14"/>
      <c r="R1152" s="14"/>
      <c r="S1152" s="14"/>
      <c r="T1152" s="14"/>
      <c r="U1152" s="14"/>
      <c r="V1152" s="14"/>
      <c r="W1152" s="14"/>
      <c r="X1152" s="14"/>
      <c r="Y1152" s="14"/>
      <c r="Z1152" s="14"/>
      <c r="AA1152" s="14"/>
      <c r="AB1152" s="14"/>
      <c r="AC1152" s="14"/>
      <c r="AD1152" s="14"/>
      <c r="AE1152" s="14"/>
      <c r="AF1152" s="14"/>
      <c r="AG1152" s="14"/>
      <c r="AH1152" s="14"/>
      <c r="AI1152" s="14"/>
      <c r="AJ1152" s="14"/>
      <c r="AK1152" s="14"/>
      <c r="AL1152" s="14"/>
      <c r="AM1152" s="14"/>
    </row>
    <row r="1153" spans="1:39" x14ac:dyDescent="0.3">
      <c r="A1153" s="14"/>
      <c r="B1153" s="14"/>
      <c r="C1153" s="14"/>
      <c r="D1153" s="14"/>
      <c r="E1153" s="14"/>
      <c r="F1153" s="14"/>
      <c r="G1153" s="14"/>
      <c r="H1153" s="14"/>
      <c r="I1153" s="14"/>
      <c r="J1153" s="14"/>
      <c r="K1153" s="14"/>
      <c r="L1153" s="14"/>
      <c r="M1153" s="14"/>
      <c r="N1153" s="14"/>
      <c r="O1153" s="14"/>
      <c r="P1153" s="14"/>
      <c r="Q1153" s="14"/>
      <c r="R1153" s="14"/>
      <c r="S1153" s="14"/>
      <c r="T1153" s="14"/>
      <c r="U1153" s="14"/>
      <c r="V1153" s="14"/>
      <c r="W1153" s="14"/>
      <c r="X1153" s="14"/>
      <c r="Y1153" s="14"/>
      <c r="Z1153" s="14"/>
      <c r="AA1153" s="14"/>
      <c r="AB1153" s="14"/>
      <c r="AC1153" s="14"/>
      <c r="AD1153" s="14"/>
      <c r="AE1153" s="14"/>
      <c r="AF1153" s="14"/>
      <c r="AG1153" s="14"/>
      <c r="AH1153" s="14"/>
      <c r="AI1153" s="14"/>
      <c r="AJ1153" s="14"/>
      <c r="AK1153" s="14"/>
      <c r="AL1153" s="14"/>
      <c r="AM1153" s="14"/>
    </row>
    <row r="1154" spans="1:39" x14ac:dyDescent="0.3">
      <c r="A1154" s="14"/>
      <c r="B1154" s="14"/>
      <c r="C1154" s="14"/>
      <c r="D1154" s="14"/>
      <c r="E1154" s="14"/>
      <c r="F1154" s="14"/>
      <c r="G1154" s="14"/>
      <c r="H1154" s="14"/>
      <c r="I1154" s="14"/>
      <c r="J1154" s="14"/>
      <c r="K1154" s="14"/>
      <c r="L1154" s="14"/>
      <c r="M1154" s="14"/>
      <c r="N1154" s="14"/>
      <c r="O1154" s="14"/>
      <c r="P1154" s="14"/>
      <c r="Q1154" s="14"/>
      <c r="R1154" s="14"/>
      <c r="S1154" s="14"/>
      <c r="T1154" s="14"/>
      <c r="U1154" s="14"/>
      <c r="V1154" s="14"/>
      <c r="W1154" s="14"/>
      <c r="X1154" s="14"/>
      <c r="Y1154" s="14"/>
      <c r="Z1154" s="14"/>
      <c r="AA1154" s="14"/>
      <c r="AB1154" s="14"/>
      <c r="AC1154" s="14"/>
      <c r="AD1154" s="14"/>
      <c r="AE1154" s="14"/>
      <c r="AF1154" s="14"/>
      <c r="AG1154" s="14"/>
      <c r="AH1154" s="14"/>
      <c r="AI1154" s="14"/>
      <c r="AJ1154" s="14"/>
      <c r="AK1154" s="14"/>
      <c r="AL1154" s="14"/>
      <c r="AM1154" s="14"/>
    </row>
    <row r="1155" spans="1:39" x14ac:dyDescent="0.3">
      <c r="A1155" s="14"/>
      <c r="B1155" s="14"/>
      <c r="C1155" s="14"/>
      <c r="D1155" s="14"/>
      <c r="E1155" s="14"/>
      <c r="F1155" s="14"/>
      <c r="G1155" s="14"/>
      <c r="H1155" s="14"/>
      <c r="I1155" s="14"/>
      <c r="J1155" s="14"/>
      <c r="K1155" s="14"/>
      <c r="L1155" s="14"/>
      <c r="M1155" s="14"/>
      <c r="N1155" s="14"/>
      <c r="O1155" s="14"/>
      <c r="P1155" s="14"/>
      <c r="Q1155" s="14"/>
      <c r="R1155" s="14"/>
      <c r="S1155" s="14"/>
      <c r="T1155" s="14"/>
      <c r="U1155" s="14"/>
      <c r="V1155" s="14"/>
      <c r="W1155" s="14"/>
      <c r="X1155" s="14"/>
      <c r="Y1155" s="14"/>
      <c r="Z1155" s="14"/>
      <c r="AA1155" s="14"/>
      <c r="AB1155" s="14"/>
      <c r="AC1155" s="14"/>
      <c r="AD1155" s="14"/>
      <c r="AE1155" s="14"/>
      <c r="AF1155" s="14"/>
      <c r="AG1155" s="14"/>
      <c r="AH1155" s="14"/>
      <c r="AI1155" s="14"/>
      <c r="AJ1155" s="14"/>
      <c r="AK1155" s="14"/>
      <c r="AL1155" s="14"/>
      <c r="AM1155" s="14"/>
    </row>
    <row r="1156" spans="1:39" x14ac:dyDescent="0.3">
      <c r="A1156" s="14"/>
      <c r="B1156" s="14"/>
      <c r="C1156" s="14"/>
      <c r="D1156" s="14"/>
      <c r="E1156" s="14"/>
      <c r="F1156" s="14"/>
      <c r="G1156" s="14"/>
      <c r="H1156" s="14"/>
      <c r="I1156" s="14"/>
      <c r="J1156" s="14"/>
      <c r="K1156" s="14"/>
      <c r="L1156" s="14"/>
      <c r="M1156" s="14"/>
      <c r="N1156" s="14"/>
      <c r="O1156" s="14"/>
      <c r="P1156" s="14"/>
      <c r="Q1156" s="14"/>
      <c r="R1156" s="14"/>
      <c r="S1156" s="14"/>
      <c r="T1156" s="14"/>
      <c r="U1156" s="14"/>
      <c r="V1156" s="14"/>
      <c r="W1156" s="14"/>
      <c r="X1156" s="14"/>
      <c r="Y1156" s="14"/>
      <c r="Z1156" s="14"/>
      <c r="AA1156" s="14"/>
      <c r="AB1156" s="14"/>
      <c r="AC1156" s="14"/>
      <c r="AD1156" s="14"/>
      <c r="AE1156" s="14"/>
      <c r="AF1156" s="14"/>
      <c r="AG1156" s="14"/>
      <c r="AH1156" s="14"/>
      <c r="AI1156" s="14"/>
      <c r="AJ1156" s="14"/>
      <c r="AK1156" s="14"/>
      <c r="AL1156" s="14"/>
      <c r="AM1156" s="14"/>
    </row>
    <row r="1157" spans="1:39" x14ac:dyDescent="0.3">
      <c r="A1157" s="14"/>
      <c r="B1157" s="14"/>
      <c r="C1157" s="14"/>
      <c r="D1157" s="14"/>
      <c r="E1157" s="14"/>
      <c r="F1157" s="14"/>
      <c r="G1157" s="14"/>
      <c r="H1157" s="14"/>
      <c r="I1157" s="14"/>
      <c r="J1157" s="14"/>
      <c r="K1157" s="14"/>
      <c r="L1157" s="14"/>
      <c r="M1157" s="14"/>
      <c r="N1157" s="14"/>
      <c r="O1157" s="14"/>
      <c r="P1157" s="14"/>
      <c r="Q1157" s="14"/>
      <c r="R1157" s="14"/>
      <c r="S1157" s="14"/>
      <c r="T1157" s="14"/>
      <c r="U1157" s="14"/>
      <c r="V1157" s="14"/>
      <c r="W1157" s="14"/>
      <c r="X1157" s="14"/>
      <c r="Y1157" s="14"/>
      <c r="Z1157" s="14"/>
      <c r="AA1157" s="14"/>
      <c r="AB1157" s="14"/>
      <c r="AC1157" s="14"/>
      <c r="AD1157" s="14"/>
      <c r="AE1157" s="14"/>
      <c r="AF1157" s="14"/>
      <c r="AG1157" s="14"/>
      <c r="AH1157" s="14"/>
      <c r="AI1157" s="14"/>
      <c r="AJ1157" s="14"/>
      <c r="AK1157" s="14"/>
      <c r="AL1157" s="14"/>
      <c r="AM1157" s="14"/>
    </row>
    <row r="1158" spans="1:39" x14ac:dyDescent="0.3">
      <c r="A1158" s="14"/>
      <c r="B1158" s="14"/>
      <c r="C1158" s="14"/>
      <c r="D1158" s="14"/>
      <c r="E1158" s="14"/>
      <c r="F1158" s="14"/>
      <c r="G1158" s="14"/>
      <c r="H1158" s="14"/>
      <c r="I1158" s="14"/>
      <c r="J1158" s="14"/>
      <c r="K1158" s="14"/>
      <c r="L1158" s="14"/>
      <c r="M1158" s="14"/>
      <c r="N1158" s="14"/>
      <c r="O1158" s="14"/>
      <c r="P1158" s="14"/>
      <c r="Q1158" s="14"/>
      <c r="R1158" s="14"/>
      <c r="S1158" s="14"/>
      <c r="T1158" s="14"/>
      <c r="U1158" s="14"/>
      <c r="V1158" s="14"/>
      <c r="W1158" s="14"/>
      <c r="X1158" s="14"/>
      <c r="Y1158" s="14"/>
      <c r="Z1158" s="14"/>
      <c r="AA1158" s="14"/>
      <c r="AB1158" s="14"/>
      <c r="AC1158" s="14"/>
      <c r="AD1158" s="14"/>
      <c r="AE1158" s="14"/>
      <c r="AF1158" s="14"/>
      <c r="AG1158" s="14"/>
      <c r="AH1158" s="14"/>
      <c r="AI1158" s="14"/>
      <c r="AJ1158" s="14"/>
      <c r="AK1158" s="14"/>
      <c r="AL1158" s="14"/>
      <c r="AM1158" s="14"/>
    </row>
    <row r="1159" spans="1:39" x14ac:dyDescent="0.3">
      <c r="A1159" s="14"/>
      <c r="B1159" s="14"/>
      <c r="C1159" s="14"/>
      <c r="D1159" s="14"/>
      <c r="E1159" s="14"/>
      <c r="F1159" s="14"/>
      <c r="G1159" s="14"/>
      <c r="H1159" s="14"/>
      <c r="I1159" s="14"/>
      <c r="J1159" s="14"/>
      <c r="K1159" s="14"/>
      <c r="L1159" s="14"/>
      <c r="M1159" s="14"/>
      <c r="N1159" s="14"/>
      <c r="O1159" s="14"/>
      <c r="P1159" s="14"/>
      <c r="Q1159" s="14"/>
      <c r="R1159" s="14"/>
      <c r="S1159" s="14"/>
      <c r="T1159" s="14"/>
      <c r="U1159" s="14"/>
      <c r="V1159" s="14"/>
      <c r="W1159" s="14"/>
      <c r="X1159" s="14"/>
      <c r="Y1159" s="14"/>
      <c r="Z1159" s="14"/>
      <c r="AA1159" s="14"/>
      <c r="AB1159" s="14"/>
      <c r="AC1159" s="14"/>
      <c r="AD1159" s="14"/>
      <c r="AE1159" s="14"/>
      <c r="AF1159" s="14"/>
      <c r="AG1159" s="14"/>
      <c r="AH1159" s="14"/>
      <c r="AI1159" s="14"/>
      <c r="AJ1159" s="14"/>
      <c r="AK1159" s="14"/>
      <c r="AL1159" s="14"/>
      <c r="AM1159" s="14"/>
    </row>
    <row r="1160" spans="1:39" x14ac:dyDescent="0.3">
      <c r="A1160" s="14"/>
      <c r="B1160" s="14"/>
      <c r="C1160" s="14"/>
      <c r="D1160" s="14"/>
      <c r="E1160" s="14"/>
      <c r="F1160" s="14"/>
      <c r="G1160" s="14"/>
      <c r="H1160" s="14"/>
      <c r="I1160" s="14"/>
      <c r="J1160" s="14"/>
      <c r="K1160" s="14"/>
      <c r="L1160" s="14"/>
      <c r="M1160" s="14"/>
      <c r="N1160" s="14"/>
      <c r="O1160" s="14"/>
      <c r="P1160" s="14"/>
      <c r="Q1160" s="14"/>
      <c r="R1160" s="14"/>
      <c r="S1160" s="14"/>
      <c r="T1160" s="14"/>
      <c r="U1160" s="14"/>
      <c r="V1160" s="14"/>
      <c r="W1160" s="14"/>
      <c r="X1160" s="14"/>
      <c r="Y1160" s="14"/>
      <c r="Z1160" s="14"/>
      <c r="AA1160" s="14"/>
      <c r="AB1160" s="14"/>
      <c r="AC1160" s="14"/>
      <c r="AD1160" s="14"/>
      <c r="AE1160" s="14"/>
      <c r="AF1160" s="14"/>
      <c r="AG1160" s="14"/>
      <c r="AH1160" s="14"/>
      <c r="AI1160" s="14"/>
      <c r="AJ1160" s="14"/>
      <c r="AK1160" s="14"/>
      <c r="AL1160" s="14"/>
      <c r="AM1160" s="14"/>
    </row>
    <row r="1161" spans="1:39" x14ac:dyDescent="0.3">
      <c r="A1161" s="14"/>
      <c r="B1161" s="14"/>
      <c r="C1161" s="14"/>
      <c r="D1161" s="14"/>
      <c r="E1161" s="14"/>
      <c r="F1161" s="14"/>
      <c r="G1161" s="14"/>
      <c r="H1161" s="14"/>
      <c r="I1161" s="14"/>
      <c r="J1161" s="14"/>
      <c r="K1161" s="14"/>
      <c r="L1161" s="14"/>
      <c r="M1161" s="14"/>
      <c r="N1161" s="14"/>
      <c r="O1161" s="14"/>
      <c r="P1161" s="14"/>
      <c r="Q1161" s="14"/>
      <c r="R1161" s="14"/>
      <c r="S1161" s="14"/>
      <c r="T1161" s="14"/>
      <c r="U1161" s="14"/>
      <c r="V1161" s="14"/>
      <c r="W1161" s="14"/>
      <c r="X1161" s="14"/>
      <c r="Y1161" s="14"/>
      <c r="Z1161" s="14"/>
      <c r="AA1161" s="14"/>
      <c r="AB1161" s="14"/>
      <c r="AC1161" s="14"/>
      <c r="AD1161" s="14"/>
      <c r="AE1161" s="14"/>
      <c r="AF1161" s="14"/>
      <c r="AG1161" s="14"/>
      <c r="AH1161" s="14"/>
      <c r="AI1161" s="14"/>
      <c r="AJ1161" s="14"/>
      <c r="AK1161" s="14"/>
      <c r="AL1161" s="14"/>
      <c r="AM1161" s="14"/>
    </row>
    <row r="1162" spans="1:39" x14ac:dyDescent="0.3">
      <c r="A1162" s="14"/>
      <c r="B1162" s="14"/>
      <c r="C1162" s="14"/>
      <c r="D1162" s="14"/>
      <c r="E1162" s="14"/>
      <c r="F1162" s="14"/>
      <c r="G1162" s="14"/>
      <c r="H1162" s="14"/>
      <c r="I1162" s="14"/>
      <c r="J1162" s="14"/>
      <c r="K1162" s="14"/>
      <c r="L1162" s="14"/>
      <c r="M1162" s="14"/>
      <c r="N1162" s="14"/>
      <c r="O1162" s="14"/>
      <c r="P1162" s="14"/>
      <c r="Q1162" s="14"/>
      <c r="R1162" s="14"/>
      <c r="S1162" s="14"/>
      <c r="T1162" s="14"/>
      <c r="U1162" s="14"/>
      <c r="V1162" s="14"/>
      <c r="W1162" s="14"/>
      <c r="X1162" s="14"/>
      <c r="Y1162" s="14"/>
      <c r="Z1162" s="14"/>
      <c r="AA1162" s="14"/>
      <c r="AB1162" s="14"/>
      <c r="AC1162" s="14"/>
      <c r="AD1162" s="14"/>
      <c r="AE1162" s="14"/>
      <c r="AF1162" s="14"/>
      <c r="AG1162" s="14"/>
      <c r="AH1162" s="14"/>
      <c r="AI1162" s="14"/>
      <c r="AJ1162" s="14"/>
      <c r="AK1162" s="14"/>
      <c r="AL1162" s="14"/>
      <c r="AM1162" s="14"/>
    </row>
    <row r="1163" spans="1:39" x14ac:dyDescent="0.3">
      <c r="A1163" s="14"/>
      <c r="B1163" s="14"/>
      <c r="C1163" s="14"/>
      <c r="D1163" s="14"/>
      <c r="E1163" s="14"/>
      <c r="F1163" s="14"/>
      <c r="G1163" s="14"/>
      <c r="H1163" s="14"/>
      <c r="I1163" s="14"/>
      <c r="J1163" s="14"/>
      <c r="K1163" s="14"/>
      <c r="L1163" s="14"/>
      <c r="M1163" s="14"/>
      <c r="N1163" s="14"/>
      <c r="O1163" s="14"/>
      <c r="P1163" s="14"/>
      <c r="Q1163" s="14"/>
      <c r="R1163" s="14"/>
      <c r="S1163" s="14"/>
      <c r="T1163" s="14"/>
      <c r="U1163" s="14"/>
      <c r="V1163" s="14"/>
      <c r="W1163" s="14"/>
      <c r="X1163" s="14"/>
      <c r="Y1163" s="14"/>
      <c r="Z1163" s="14"/>
      <c r="AA1163" s="14"/>
      <c r="AB1163" s="14"/>
      <c r="AC1163" s="14"/>
      <c r="AD1163" s="14"/>
      <c r="AE1163" s="14"/>
      <c r="AF1163" s="14"/>
      <c r="AG1163" s="14"/>
      <c r="AH1163" s="14"/>
      <c r="AI1163" s="14"/>
      <c r="AJ1163" s="14"/>
      <c r="AK1163" s="14"/>
      <c r="AL1163" s="14"/>
      <c r="AM1163" s="14"/>
    </row>
    <row r="1164" spans="1:39" x14ac:dyDescent="0.3">
      <c r="A1164" s="14"/>
      <c r="B1164" s="14"/>
      <c r="C1164" s="14"/>
      <c r="D1164" s="14"/>
      <c r="E1164" s="14"/>
      <c r="F1164" s="14"/>
      <c r="G1164" s="14"/>
      <c r="H1164" s="14"/>
      <c r="I1164" s="14"/>
      <c r="J1164" s="14"/>
      <c r="K1164" s="14"/>
      <c r="L1164" s="14"/>
      <c r="M1164" s="14"/>
      <c r="N1164" s="14"/>
      <c r="O1164" s="14"/>
      <c r="P1164" s="14"/>
      <c r="Q1164" s="14"/>
      <c r="R1164" s="14"/>
      <c r="S1164" s="14"/>
      <c r="T1164" s="14"/>
      <c r="U1164" s="14"/>
      <c r="V1164" s="14"/>
      <c r="W1164" s="14"/>
      <c r="X1164" s="14"/>
      <c r="Y1164" s="14"/>
      <c r="Z1164" s="14"/>
      <c r="AA1164" s="14"/>
      <c r="AB1164" s="14"/>
      <c r="AC1164" s="14"/>
      <c r="AD1164" s="14"/>
      <c r="AE1164" s="14"/>
      <c r="AF1164" s="14"/>
      <c r="AG1164" s="14"/>
      <c r="AH1164" s="14"/>
      <c r="AI1164" s="14"/>
      <c r="AJ1164" s="14"/>
      <c r="AK1164" s="14"/>
      <c r="AL1164" s="14"/>
      <c r="AM1164" s="14"/>
    </row>
    <row r="1165" spans="1:39" x14ac:dyDescent="0.3">
      <c r="A1165" s="14"/>
      <c r="B1165" s="14"/>
      <c r="C1165" s="14"/>
      <c r="D1165" s="14"/>
      <c r="E1165" s="14"/>
      <c r="F1165" s="14"/>
      <c r="G1165" s="14"/>
      <c r="H1165" s="14"/>
      <c r="I1165" s="14"/>
      <c r="J1165" s="14"/>
      <c r="K1165" s="14"/>
      <c r="L1165" s="14"/>
      <c r="M1165" s="14"/>
      <c r="N1165" s="14"/>
      <c r="O1165" s="14"/>
      <c r="P1165" s="14"/>
      <c r="Q1165" s="14"/>
      <c r="R1165" s="14"/>
      <c r="S1165" s="14"/>
      <c r="T1165" s="14"/>
      <c r="U1165" s="14"/>
      <c r="V1165" s="14"/>
      <c r="W1165" s="14"/>
      <c r="X1165" s="14"/>
      <c r="Y1165" s="14"/>
      <c r="Z1165" s="14"/>
      <c r="AA1165" s="14"/>
      <c r="AB1165" s="14"/>
      <c r="AC1165" s="14"/>
      <c r="AD1165" s="14"/>
      <c r="AE1165" s="14"/>
      <c r="AF1165" s="14"/>
      <c r="AG1165" s="14"/>
      <c r="AH1165" s="14"/>
      <c r="AI1165" s="14"/>
      <c r="AJ1165" s="14"/>
      <c r="AK1165" s="14"/>
      <c r="AL1165" s="14"/>
      <c r="AM1165" s="14"/>
    </row>
    <row r="1166" spans="1:39" x14ac:dyDescent="0.3">
      <c r="A1166" s="14"/>
      <c r="B1166" s="14"/>
      <c r="C1166" s="14"/>
      <c r="D1166" s="14"/>
      <c r="E1166" s="14"/>
      <c r="F1166" s="14"/>
      <c r="G1166" s="14"/>
      <c r="H1166" s="14"/>
      <c r="I1166" s="14"/>
      <c r="J1166" s="14"/>
      <c r="K1166" s="14"/>
      <c r="L1166" s="14"/>
      <c r="M1166" s="14"/>
      <c r="N1166" s="14"/>
      <c r="O1166" s="14"/>
      <c r="P1166" s="14"/>
      <c r="Q1166" s="14"/>
      <c r="R1166" s="14"/>
      <c r="S1166" s="14"/>
      <c r="T1166" s="14"/>
      <c r="U1166" s="14"/>
      <c r="V1166" s="14"/>
      <c r="W1166" s="14"/>
      <c r="X1166" s="14"/>
      <c r="Y1166" s="14"/>
      <c r="Z1166" s="14"/>
      <c r="AA1166" s="14"/>
      <c r="AB1166" s="14"/>
      <c r="AC1166" s="14"/>
      <c r="AD1166" s="14"/>
      <c r="AE1166" s="14"/>
      <c r="AF1166" s="14"/>
      <c r="AG1166" s="14"/>
      <c r="AH1166" s="14"/>
      <c r="AI1166" s="14"/>
      <c r="AJ1166" s="14"/>
      <c r="AK1166" s="14"/>
      <c r="AL1166" s="14"/>
      <c r="AM1166" s="14"/>
    </row>
    <row r="1167" spans="1:39" x14ac:dyDescent="0.3">
      <c r="A1167" s="14"/>
      <c r="B1167" s="14"/>
      <c r="C1167" s="14"/>
      <c r="D1167" s="14"/>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c r="AA1167" s="14"/>
      <c r="AB1167" s="14"/>
      <c r="AC1167" s="14"/>
      <c r="AD1167" s="14"/>
      <c r="AE1167" s="14"/>
      <c r="AF1167" s="14"/>
      <c r="AG1167" s="14"/>
      <c r="AH1167" s="14"/>
      <c r="AI1167" s="14"/>
      <c r="AJ1167" s="14"/>
      <c r="AK1167" s="14"/>
      <c r="AL1167" s="14"/>
      <c r="AM1167" s="14"/>
    </row>
    <row r="1168" spans="1:39" x14ac:dyDescent="0.3">
      <c r="A1168" s="14"/>
      <c r="B1168" s="14"/>
      <c r="C1168" s="14"/>
      <c r="D1168" s="14"/>
      <c r="E1168" s="14"/>
      <c r="F1168" s="14"/>
      <c r="G1168" s="14"/>
      <c r="H1168" s="14"/>
      <c r="I1168" s="14"/>
      <c r="J1168" s="14"/>
      <c r="K1168" s="14"/>
      <c r="L1168" s="14"/>
      <c r="M1168" s="14"/>
      <c r="N1168" s="14"/>
      <c r="O1168" s="14"/>
      <c r="P1168" s="14"/>
      <c r="Q1168" s="14"/>
      <c r="R1168" s="14"/>
      <c r="S1168" s="14"/>
      <c r="T1168" s="14"/>
      <c r="U1168" s="14"/>
      <c r="V1168" s="14"/>
      <c r="W1168" s="14"/>
      <c r="X1168" s="14"/>
      <c r="Y1168" s="14"/>
      <c r="Z1168" s="14"/>
      <c r="AA1168" s="14"/>
      <c r="AB1168" s="14"/>
      <c r="AC1168" s="14"/>
      <c r="AD1168" s="14"/>
      <c r="AE1168" s="14"/>
      <c r="AF1168" s="14"/>
      <c r="AG1168" s="14"/>
      <c r="AH1168" s="14"/>
      <c r="AI1168" s="14"/>
      <c r="AJ1168" s="14"/>
      <c r="AK1168" s="14"/>
      <c r="AL1168" s="14"/>
      <c r="AM1168" s="14"/>
    </row>
    <row r="1169" spans="1:39" x14ac:dyDescent="0.3">
      <c r="A1169" s="14"/>
      <c r="B1169" s="14"/>
      <c r="C1169" s="14"/>
      <c r="D1169" s="14"/>
      <c r="E1169" s="14"/>
      <c r="F1169" s="14"/>
      <c r="G1169" s="14"/>
      <c r="H1169" s="14"/>
      <c r="I1169" s="14"/>
      <c r="J1169" s="14"/>
      <c r="K1169" s="14"/>
      <c r="L1169" s="14"/>
      <c r="M1169" s="14"/>
      <c r="N1169" s="14"/>
      <c r="O1169" s="14"/>
      <c r="P1169" s="14"/>
      <c r="Q1169" s="14"/>
      <c r="R1169" s="14"/>
      <c r="S1169" s="14"/>
      <c r="T1169" s="14"/>
      <c r="U1169" s="14"/>
      <c r="V1169" s="14"/>
      <c r="W1169" s="14"/>
      <c r="X1169" s="14"/>
      <c r="Y1169" s="14"/>
      <c r="Z1169" s="14"/>
      <c r="AA1169" s="14"/>
      <c r="AB1169" s="14"/>
      <c r="AC1169" s="14"/>
      <c r="AD1169" s="14"/>
      <c r="AE1169" s="14"/>
      <c r="AF1169" s="14"/>
      <c r="AG1169" s="14"/>
      <c r="AH1169" s="14"/>
      <c r="AI1169" s="14"/>
      <c r="AJ1169" s="14"/>
      <c r="AK1169" s="14"/>
      <c r="AL1169" s="14"/>
      <c r="AM1169" s="14"/>
    </row>
    <row r="1170" spans="1:39" x14ac:dyDescent="0.3">
      <c r="A1170" s="14"/>
      <c r="B1170" s="14"/>
      <c r="C1170" s="14"/>
      <c r="D1170" s="14"/>
      <c r="E1170" s="14"/>
      <c r="F1170" s="14"/>
      <c r="G1170" s="14"/>
      <c r="H1170" s="14"/>
      <c r="I1170" s="14"/>
      <c r="J1170" s="14"/>
      <c r="K1170" s="14"/>
      <c r="L1170" s="14"/>
      <c r="M1170" s="14"/>
      <c r="N1170" s="14"/>
      <c r="O1170" s="14"/>
      <c r="P1170" s="14"/>
      <c r="Q1170" s="14"/>
      <c r="R1170" s="14"/>
      <c r="S1170" s="14"/>
      <c r="T1170" s="14"/>
      <c r="U1170" s="14"/>
      <c r="V1170" s="14"/>
      <c r="W1170" s="14"/>
      <c r="X1170" s="14"/>
      <c r="Y1170" s="14"/>
      <c r="Z1170" s="14"/>
      <c r="AA1170" s="14"/>
      <c r="AB1170" s="14"/>
      <c r="AC1170" s="14"/>
      <c r="AD1170" s="14"/>
      <c r="AE1170" s="14"/>
      <c r="AF1170" s="14"/>
      <c r="AG1170" s="14"/>
      <c r="AH1170" s="14"/>
      <c r="AI1170" s="14"/>
      <c r="AJ1170" s="14"/>
      <c r="AK1170" s="14"/>
      <c r="AL1170" s="14"/>
      <c r="AM1170" s="14"/>
    </row>
    <row r="1171" spans="1:39" x14ac:dyDescent="0.3">
      <c r="A1171" s="14"/>
      <c r="B1171" s="14"/>
      <c r="C1171" s="14"/>
      <c r="D1171" s="14"/>
      <c r="E1171" s="14"/>
      <c r="F1171" s="14"/>
      <c r="G1171" s="14"/>
      <c r="H1171" s="14"/>
      <c r="I1171" s="14"/>
      <c r="J1171" s="14"/>
      <c r="K1171" s="14"/>
      <c r="L1171" s="14"/>
      <c r="M1171" s="14"/>
      <c r="N1171" s="14"/>
      <c r="O1171" s="14"/>
      <c r="P1171" s="14"/>
      <c r="Q1171" s="14"/>
      <c r="R1171" s="14"/>
      <c r="S1171" s="14"/>
      <c r="T1171" s="14"/>
      <c r="U1171" s="14"/>
      <c r="V1171" s="14"/>
      <c r="W1171" s="14"/>
      <c r="X1171" s="14"/>
      <c r="Y1171" s="14"/>
      <c r="Z1171" s="14"/>
      <c r="AA1171" s="14"/>
      <c r="AB1171" s="14"/>
      <c r="AC1171" s="14"/>
      <c r="AD1171" s="14"/>
      <c r="AE1171" s="14"/>
      <c r="AF1171" s="14"/>
      <c r="AG1171" s="14"/>
      <c r="AH1171" s="14"/>
      <c r="AI1171" s="14"/>
      <c r="AJ1171" s="14"/>
      <c r="AK1171" s="14"/>
      <c r="AL1171" s="14"/>
      <c r="AM1171" s="14"/>
    </row>
    <row r="1172" spans="1:39" x14ac:dyDescent="0.3">
      <c r="A1172" s="14"/>
      <c r="B1172" s="14"/>
      <c r="C1172" s="14"/>
      <c r="D1172" s="14"/>
      <c r="E1172" s="14"/>
      <c r="F1172" s="14"/>
      <c r="G1172" s="14"/>
      <c r="H1172" s="14"/>
      <c r="I1172" s="14"/>
      <c r="J1172" s="14"/>
      <c r="K1172" s="14"/>
      <c r="L1172" s="14"/>
      <c r="M1172" s="14"/>
      <c r="N1172" s="14"/>
      <c r="O1172" s="14"/>
      <c r="P1172" s="14"/>
      <c r="Q1172" s="14"/>
      <c r="R1172" s="14"/>
      <c r="S1172" s="14"/>
      <c r="T1172" s="14"/>
      <c r="U1172" s="14"/>
      <c r="V1172" s="14"/>
      <c r="W1172" s="14"/>
      <c r="X1172" s="14"/>
      <c r="Y1172" s="14"/>
      <c r="Z1172" s="14"/>
      <c r="AA1172" s="14"/>
      <c r="AB1172" s="14"/>
      <c r="AC1172" s="14"/>
      <c r="AD1172" s="14"/>
      <c r="AE1172" s="14"/>
      <c r="AF1172" s="14"/>
      <c r="AG1172" s="14"/>
      <c r="AH1172" s="14"/>
      <c r="AI1172" s="14"/>
      <c r="AJ1172" s="14"/>
      <c r="AK1172" s="14"/>
      <c r="AL1172" s="14"/>
      <c r="AM1172" s="14"/>
    </row>
    <row r="1173" spans="1:39" x14ac:dyDescent="0.3">
      <c r="A1173" s="14"/>
      <c r="B1173" s="14"/>
      <c r="C1173" s="14"/>
      <c r="D1173" s="14"/>
      <c r="E1173" s="14"/>
      <c r="F1173" s="14"/>
      <c r="G1173" s="14"/>
      <c r="H1173" s="14"/>
      <c r="I1173" s="14"/>
      <c r="J1173" s="14"/>
      <c r="K1173" s="14"/>
      <c r="L1173" s="14"/>
      <c r="M1173" s="14"/>
      <c r="N1173" s="14"/>
      <c r="O1173" s="14"/>
      <c r="P1173" s="14"/>
      <c r="Q1173" s="14"/>
      <c r="R1173" s="14"/>
      <c r="S1173" s="14"/>
      <c r="T1173" s="14"/>
      <c r="U1173" s="14"/>
      <c r="V1173" s="14"/>
      <c r="W1173" s="14"/>
      <c r="X1173" s="14"/>
      <c r="Y1173" s="14"/>
      <c r="Z1173" s="14"/>
      <c r="AA1173" s="14"/>
      <c r="AB1173" s="14"/>
      <c r="AC1173" s="14"/>
      <c r="AD1173" s="14"/>
      <c r="AE1173" s="14"/>
      <c r="AF1173" s="14"/>
      <c r="AG1173" s="14"/>
      <c r="AH1173" s="14"/>
      <c r="AI1173" s="14"/>
      <c r="AJ1173" s="14"/>
      <c r="AK1173" s="14"/>
      <c r="AL1173" s="14"/>
      <c r="AM1173" s="14"/>
    </row>
    <row r="1174" spans="1:39" x14ac:dyDescent="0.3">
      <c r="A1174" s="14"/>
      <c r="B1174" s="14"/>
      <c r="C1174" s="14"/>
      <c r="D1174" s="14"/>
      <c r="E1174" s="14"/>
      <c r="F1174" s="14"/>
      <c r="G1174" s="14"/>
      <c r="H1174" s="14"/>
      <c r="I1174" s="14"/>
      <c r="J1174" s="14"/>
      <c r="K1174" s="14"/>
      <c r="L1174" s="14"/>
      <c r="M1174" s="14"/>
      <c r="N1174" s="14"/>
      <c r="O1174" s="14"/>
      <c r="P1174" s="14"/>
      <c r="Q1174" s="14"/>
      <c r="R1174" s="14"/>
      <c r="S1174" s="14"/>
      <c r="T1174" s="14"/>
      <c r="U1174" s="14"/>
      <c r="V1174" s="14"/>
      <c r="W1174" s="14"/>
      <c r="X1174" s="14"/>
      <c r="Y1174" s="14"/>
      <c r="Z1174" s="14"/>
      <c r="AA1174" s="14"/>
      <c r="AB1174" s="14"/>
      <c r="AC1174" s="14"/>
      <c r="AD1174" s="14"/>
      <c r="AE1174" s="14"/>
      <c r="AF1174" s="14"/>
      <c r="AG1174" s="14"/>
      <c r="AH1174" s="14"/>
      <c r="AI1174" s="14"/>
      <c r="AJ1174" s="14"/>
      <c r="AK1174" s="14"/>
      <c r="AL1174" s="14"/>
      <c r="AM1174" s="14"/>
    </row>
    <row r="1175" spans="1:39" x14ac:dyDescent="0.3">
      <c r="A1175" s="14"/>
      <c r="B1175" s="14"/>
      <c r="C1175" s="14"/>
      <c r="D1175" s="14"/>
      <c r="E1175" s="14"/>
      <c r="F1175" s="14"/>
      <c r="G1175" s="14"/>
      <c r="H1175" s="14"/>
      <c r="I1175" s="14"/>
      <c r="J1175" s="14"/>
      <c r="K1175" s="14"/>
      <c r="L1175" s="14"/>
      <c r="M1175" s="14"/>
      <c r="N1175" s="14"/>
      <c r="O1175" s="14"/>
      <c r="P1175" s="14"/>
      <c r="Q1175" s="14"/>
      <c r="R1175" s="14"/>
      <c r="S1175" s="14"/>
      <c r="T1175" s="14"/>
      <c r="U1175" s="14"/>
      <c r="V1175" s="14"/>
      <c r="W1175" s="14"/>
      <c r="X1175" s="14"/>
      <c r="Y1175" s="14"/>
      <c r="Z1175" s="14"/>
      <c r="AA1175" s="14"/>
      <c r="AB1175" s="14"/>
      <c r="AC1175" s="14"/>
      <c r="AD1175" s="14"/>
      <c r="AE1175" s="14"/>
      <c r="AF1175" s="14"/>
      <c r="AG1175" s="14"/>
      <c r="AH1175" s="14"/>
      <c r="AI1175" s="14"/>
      <c r="AJ1175" s="14"/>
      <c r="AK1175" s="14"/>
      <c r="AL1175" s="14"/>
      <c r="AM1175" s="14"/>
    </row>
    <row r="1176" spans="1:39" x14ac:dyDescent="0.3">
      <c r="A1176" s="14"/>
      <c r="B1176" s="14"/>
      <c r="C1176" s="14"/>
      <c r="D1176" s="14"/>
      <c r="E1176" s="14"/>
      <c r="F1176" s="14"/>
      <c r="G1176" s="14"/>
      <c r="H1176" s="14"/>
      <c r="I1176" s="14"/>
      <c r="J1176" s="14"/>
      <c r="K1176" s="14"/>
      <c r="L1176" s="14"/>
      <c r="M1176" s="14"/>
      <c r="N1176" s="14"/>
      <c r="O1176" s="14"/>
      <c r="P1176" s="14"/>
      <c r="Q1176" s="14"/>
      <c r="R1176" s="14"/>
      <c r="S1176" s="14"/>
      <c r="T1176" s="14"/>
      <c r="U1176" s="14"/>
      <c r="V1176" s="14"/>
      <c r="W1176" s="14"/>
      <c r="X1176" s="14"/>
      <c r="Y1176" s="14"/>
      <c r="Z1176" s="14"/>
      <c r="AA1176" s="14"/>
      <c r="AB1176" s="14"/>
      <c r="AC1176" s="14"/>
      <c r="AD1176" s="14"/>
      <c r="AE1176" s="14"/>
      <c r="AF1176" s="14"/>
      <c r="AG1176" s="14"/>
      <c r="AH1176" s="14"/>
      <c r="AI1176" s="14"/>
      <c r="AJ1176" s="14"/>
      <c r="AK1176" s="14"/>
      <c r="AL1176" s="14"/>
      <c r="AM1176" s="14"/>
    </row>
    <row r="1177" spans="1:39" x14ac:dyDescent="0.3">
      <c r="A1177" s="14"/>
      <c r="B1177" s="14"/>
      <c r="C1177" s="14"/>
      <c r="D1177" s="14"/>
      <c r="E1177" s="14"/>
      <c r="F1177" s="14"/>
      <c r="G1177" s="14"/>
      <c r="H1177" s="14"/>
      <c r="I1177" s="14"/>
      <c r="J1177" s="14"/>
      <c r="K1177" s="14"/>
      <c r="L1177" s="14"/>
      <c r="M1177" s="14"/>
      <c r="N1177" s="14"/>
      <c r="O1177" s="14"/>
      <c r="P1177" s="14"/>
      <c r="Q1177" s="14"/>
      <c r="R1177" s="14"/>
      <c r="S1177" s="14"/>
      <c r="T1177" s="14"/>
      <c r="U1177" s="14"/>
      <c r="V1177" s="14"/>
      <c r="W1177" s="14"/>
      <c r="X1177" s="14"/>
      <c r="Y1177" s="14"/>
      <c r="Z1177" s="14"/>
      <c r="AA1177" s="14"/>
      <c r="AB1177" s="14"/>
      <c r="AC1177" s="14"/>
      <c r="AD1177" s="14"/>
      <c r="AE1177" s="14"/>
      <c r="AF1177" s="14"/>
      <c r="AG1177" s="14"/>
      <c r="AH1177" s="14"/>
      <c r="AI1177" s="14"/>
      <c r="AJ1177" s="14"/>
      <c r="AK1177" s="14"/>
      <c r="AL1177" s="14"/>
      <c r="AM1177" s="14"/>
    </row>
    <row r="1178" spans="1:39" x14ac:dyDescent="0.3">
      <c r="A1178" s="14"/>
      <c r="B1178" s="14"/>
      <c r="C1178" s="14"/>
      <c r="D1178" s="14"/>
      <c r="E1178" s="14"/>
      <c r="F1178" s="14"/>
      <c r="G1178" s="14"/>
      <c r="H1178" s="14"/>
      <c r="I1178" s="14"/>
      <c r="J1178" s="14"/>
      <c r="K1178" s="14"/>
      <c r="L1178" s="14"/>
      <c r="M1178" s="14"/>
      <c r="N1178" s="14"/>
      <c r="O1178" s="14"/>
      <c r="P1178" s="14"/>
      <c r="Q1178" s="14"/>
      <c r="R1178" s="14"/>
      <c r="S1178" s="14"/>
      <c r="T1178" s="14"/>
      <c r="U1178" s="14"/>
      <c r="V1178" s="14"/>
      <c r="W1178" s="14"/>
      <c r="X1178" s="14"/>
      <c r="Y1178" s="14"/>
      <c r="Z1178" s="14"/>
      <c r="AA1178" s="14"/>
      <c r="AB1178" s="14"/>
      <c r="AC1178" s="14"/>
      <c r="AD1178" s="14"/>
      <c r="AE1178" s="14"/>
      <c r="AF1178" s="14"/>
      <c r="AG1178" s="14"/>
      <c r="AH1178" s="14"/>
      <c r="AI1178" s="14"/>
      <c r="AJ1178" s="14"/>
      <c r="AK1178" s="14"/>
      <c r="AL1178" s="14"/>
      <c r="AM1178" s="14"/>
    </row>
    <row r="1179" spans="1:39" x14ac:dyDescent="0.3">
      <c r="A1179" s="14"/>
      <c r="B1179" s="14"/>
      <c r="C1179" s="14"/>
      <c r="D1179" s="14"/>
      <c r="E1179" s="14"/>
      <c r="F1179" s="14"/>
      <c r="G1179" s="14"/>
      <c r="H1179" s="14"/>
      <c r="I1179" s="14"/>
      <c r="J1179" s="14"/>
      <c r="K1179" s="14"/>
      <c r="L1179" s="14"/>
      <c r="M1179" s="14"/>
      <c r="N1179" s="14"/>
      <c r="O1179" s="14"/>
      <c r="P1179" s="14"/>
      <c r="Q1179" s="14"/>
      <c r="R1179" s="14"/>
      <c r="S1179" s="14"/>
      <c r="T1179" s="14"/>
      <c r="U1179" s="14"/>
      <c r="V1179" s="14"/>
      <c r="W1179" s="14"/>
      <c r="X1179" s="14"/>
      <c r="Y1179" s="14"/>
      <c r="Z1179" s="14"/>
      <c r="AA1179" s="14"/>
      <c r="AB1179" s="14"/>
      <c r="AC1179" s="14"/>
      <c r="AD1179" s="14"/>
      <c r="AE1179" s="14"/>
      <c r="AF1179" s="14"/>
      <c r="AG1179" s="14"/>
      <c r="AH1179" s="14"/>
      <c r="AI1179" s="14"/>
      <c r="AJ1179" s="14"/>
      <c r="AK1179" s="14"/>
      <c r="AL1179" s="14"/>
      <c r="AM1179" s="14"/>
    </row>
    <row r="1180" spans="1:39" x14ac:dyDescent="0.3">
      <c r="A1180" s="14"/>
      <c r="B1180" s="14"/>
      <c r="C1180" s="14"/>
      <c r="D1180" s="14"/>
      <c r="E1180" s="14"/>
      <c r="F1180" s="14"/>
      <c r="G1180" s="14"/>
      <c r="H1180" s="14"/>
      <c r="I1180" s="14"/>
      <c r="J1180" s="14"/>
      <c r="K1180" s="14"/>
      <c r="L1180" s="14"/>
      <c r="M1180" s="14"/>
      <c r="N1180" s="14"/>
      <c r="O1180" s="14"/>
      <c r="P1180" s="14"/>
      <c r="Q1180" s="14"/>
      <c r="R1180" s="14"/>
      <c r="S1180" s="14"/>
      <c r="T1180" s="14"/>
      <c r="U1180" s="14"/>
      <c r="V1180" s="14"/>
      <c r="W1180" s="14"/>
      <c r="X1180" s="14"/>
      <c r="Y1180" s="14"/>
      <c r="Z1180" s="14"/>
      <c r="AA1180" s="14"/>
      <c r="AB1180" s="14"/>
      <c r="AC1180" s="14"/>
      <c r="AD1180" s="14"/>
      <c r="AE1180" s="14"/>
      <c r="AF1180" s="14"/>
      <c r="AG1180" s="14"/>
      <c r="AH1180" s="14"/>
      <c r="AI1180" s="14"/>
      <c r="AJ1180" s="14"/>
      <c r="AK1180" s="14"/>
      <c r="AL1180" s="14"/>
      <c r="AM1180" s="14"/>
    </row>
    <row r="1181" spans="1:39" x14ac:dyDescent="0.3">
      <c r="A1181" s="14"/>
      <c r="B1181" s="14"/>
      <c r="C1181" s="14"/>
      <c r="D1181" s="14"/>
      <c r="E1181" s="14"/>
      <c r="F1181" s="14"/>
      <c r="G1181" s="14"/>
      <c r="H1181" s="14"/>
      <c r="I1181" s="14"/>
      <c r="J1181" s="14"/>
      <c r="K1181" s="14"/>
      <c r="L1181" s="14"/>
      <c r="M1181" s="14"/>
      <c r="N1181" s="14"/>
      <c r="O1181" s="14"/>
      <c r="P1181" s="14"/>
      <c r="Q1181" s="14"/>
      <c r="R1181" s="14"/>
      <c r="S1181" s="14"/>
      <c r="T1181" s="14"/>
      <c r="U1181" s="14"/>
      <c r="V1181" s="14"/>
      <c r="W1181" s="14"/>
      <c r="X1181" s="14"/>
      <c r="Y1181" s="14"/>
      <c r="Z1181" s="14"/>
      <c r="AA1181" s="14"/>
      <c r="AB1181" s="14"/>
      <c r="AC1181" s="14"/>
      <c r="AD1181" s="14"/>
      <c r="AE1181" s="14"/>
      <c r="AF1181" s="14"/>
      <c r="AG1181" s="14"/>
      <c r="AH1181" s="14"/>
      <c r="AI1181" s="14"/>
      <c r="AJ1181" s="14"/>
      <c r="AK1181" s="14"/>
      <c r="AL1181" s="14"/>
      <c r="AM1181" s="14"/>
    </row>
    <row r="1182" spans="1:39" x14ac:dyDescent="0.3">
      <c r="A1182" s="14"/>
      <c r="B1182" s="14"/>
      <c r="C1182" s="14"/>
      <c r="D1182" s="14"/>
      <c r="E1182" s="14"/>
      <c r="F1182" s="14"/>
      <c r="G1182" s="14"/>
      <c r="H1182" s="14"/>
      <c r="I1182" s="14"/>
      <c r="J1182" s="14"/>
      <c r="K1182" s="14"/>
      <c r="L1182" s="14"/>
      <c r="M1182" s="14"/>
      <c r="N1182" s="14"/>
      <c r="O1182" s="14"/>
      <c r="P1182" s="14"/>
      <c r="Q1182" s="14"/>
      <c r="R1182" s="14"/>
      <c r="S1182" s="14"/>
      <c r="T1182" s="14"/>
      <c r="U1182" s="14"/>
      <c r="V1182" s="14"/>
      <c r="W1182" s="14"/>
      <c r="X1182" s="14"/>
      <c r="Y1182" s="14"/>
      <c r="Z1182" s="14"/>
      <c r="AA1182" s="14"/>
      <c r="AB1182" s="14"/>
      <c r="AC1182" s="14"/>
      <c r="AD1182" s="14"/>
      <c r="AE1182" s="14"/>
      <c r="AF1182" s="14"/>
      <c r="AG1182" s="14"/>
      <c r="AH1182" s="14"/>
      <c r="AI1182" s="14"/>
      <c r="AJ1182" s="14"/>
      <c r="AK1182" s="14"/>
      <c r="AL1182" s="14"/>
      <c r="AM1182" s="14"/>
    </row>
    <row r="1183" spans="1:39" x14ac:dyDescent="0.3">
      <c r="A1183" s="14"/>
      <c r="B1183" s="14"/>
      <c r="C1183" s="14"/>
      <c r="D1183" s="14"/>
      <c r="E1183" s="14"/>
      <c r="F1183" s="14"/>
      <c r="G1183" s="14"/>
      <c r="H1183" s="14"/>
      <c r="I1183" s="14"/>
      <c r="J1183" s="14"/>
      <c r="K1183" s="14"/>
      <c r="L1183" s="14"/>
      <c r="M1183" s="14"/>
      <c r="N1183" s="14"/>
      <c r="O1183" s="14"/>
      <c r="P1183" s="14"/>
      <c r="Q1183" s="14"/>
      <c r="R1183" s="14"/>
      <c r="S1183" s="14"/>
      <c r="T1183" s="14"/>
      <c r="U1183" s="14"/>
      <c r="V1183" s="14"/>
      <c r="W1183" s="14"/>
      <c r="X1183" s="14"/>
      <c r="Y1183" s="14"/>
      <c r="Z1183" s="14"/>
      <c r="AA1183" s="14"/>
      <c r="AB1183" s="14"/>
      <c r="AC1183" s="14"/>
      <c r="AD1183" s="14"/>
      <c r="AE1183" s="14"/>
      <c r="AF1183" s="14"/>
      <c r="AG1183" s="14"/>
      <c r="AH1183" s="14"/>
      <c r="AI1183" s="14"/>
      <c r="AJ1183" s="14"/>
      <c r="AK1183" s="14"/>
      <c r="AL1183" s="14"/>
      <c r="AM1183" s="14"/>
    </row>
    <row r="1184" spans="1:39" x14ac:dyDescent="0.3">
      <c r="A1184" s="14"/>
      <c r="B1184" s="14"/>
      <c r="C1184" s="14"/>
      <c r="D1184" s="14"/>
      <c r="E1184" s="14"/>
      <c r="F1184" s="14"/>
      <c r="G1184" s="14"/>
      <c r="H1184" s="14"/>
      <c r="I1184" s="14"/>
      <c r="J1184" s="14"/>
      <c r="K1184" s="14"/>
      <c r="L1184" s="14"/>
      <c r="M1184" s="14"/>
      <c r="N1184" s="14"/>
      <c r="O1184" s="14"/>
      <c r="P1184" s="14"/>
      <c r="Q1184" s="14"/>
      <c r="R1184" s="14"/>
      <c r="S1184" s="14"/>
      <c r="T1184" s="14"/>
      <c r="U1184" s="14"/>
      <c r="V1184" s="14"/>
      <c r="W1184" s="14"/>
      <c r="X1184" s="14"/>
      <c r="Y1184" s="14"/>
      <c r="Z1184" s="14"/>
      <c r="AA1184" s="14"/>
      <c r="AB1184" s="14"/>
      <c r="AC1184" s="14"/>
      <c r="AD1184" s="14"/>
      <c r="AE1184" s="14"/>
      <c r="AF1184" s="14"/>
      <c r="AG1184" s="14"/>
      <c r="AH1184" s="14"/>
      <c r="AI1184" s="14"/>
      <c r="AJ1184" s="14"/>
      <c r="AK1184" s="14"/>
      <c r="AL1184" s="14"/>
      <c r="AM1184" s="14"/>
    </row>
    <row r="1185" spans="1:39" x14ac:dyDescent="0.3">
      <c r="A1185" s="14"/>
      <c r="B1185" s="14"/>
      <c r="C1185" s="14"/>
      <c r="D1185" s="14"/>
      <c r="E1185" s="14"/>
      <c r="F1185" s="14"/>
      <c r="G1185" s="14"/>
      <c r="H1185" s="14"/>
      <c r="I1185" s="14"/>
      <c r="J1185" s="14"/>
      <c r="K1185" s="14"/>
      <c r="L1185" s="14"/>
      <c r="M1185" s="14"/>
      <c r="N1185" s="14"/>
      <c r="O1185" s="14"/>
      <c r="P1185" s="14"/>
      <c r="Q1185" s="14"/>
      <c r="R1185" s="14"/>
      <c r="S1185" s="14"/>
      <c r="T1185" s="14"/>
      <c r="U1185" s="14"/>
      <c r="V1185" s="14"/>
      <c r="W1185" s="14"/>
      <c r="X1185" s="14"/>
      <c r="Y1185" s="14"/>
      <c r="Z1185" s="14"/>
      <c r="AA1185" s="14"/>
      <c r="AB1185" s="14"/>
      <c r="AC1185" s="14"/>
      <c r="AD1185" s="14"/>
      <c r="AE1185" s="14"/>
      <c r="AF1185" s="14"/>
      <c r="AG1185" s="14"/>
      <c r="AH1185" s="14"/>
      <c r="AI1185" s="14"/>
      <c r="AJ1185" s="14"/>
      <c r="AK1185" s="14"/>
      <c r="AL1185" s="14"/>
      <c r="AM1185" s="14"/>
    </row>
    <row r="1186" spans="1:39" x14ac:dyDescent="0.3">
      <c r="A1186" s="14"/>
      <c r="B1186" s="14"/>
      <c r="C1186" s="14"/>
      <c r="D1186" s="14"/>
      <c r="E1186" s="14"/>
      <c r="F1186" s="14"/>
      <c r="G1186" s="14"/>
      <c r="H1186" s="14"/>
      <c r="I1186" s="14"/>
      <c r="J1186" s="14"/>
      <c r="K1186" s="14"/>
      <c r="L1186" s="14"/>
      <c r="M1186" s="14"/>
      <c r="N1186" s="14"/>
      <c r="O1186" s="14"/>
      <c r="P1186" s="14"/>
      <c r="Q1186" s="14"/>
      <c r="R1186" s="14"/>
      <c r="S1186" s="14"/>
      <c r="T1186" s="14"/>
      <c r="U1186" s="14"/>
      <c r="V1186" s="14"/>
      <c r="W1186" s="14"/>
      <c r="X1186" s="14"/>
      <c r="Y1186" s="14"/>
      <c r="Z1186" s="14"/>
      <c r="AA1186" s="14"/>
      <c r="AB1186" s="14"/>
      <c r="AC1186" s="14"/>
      <c r="AD1186" s="14"/>
      <c r="AE1186" s="14"/>
      <c r="AF1186" s="14"/>
      <c r="AG1186" s="14"/>
      <c r="AH1186" s="14"/>
      <c r="AI1186" s="14"/>
      <c r="AJ1186" s="14"/>
      <c r="AK1186" s="14"/>
      <c r="AL1186" s="14"/>
      <c r="AM1186" s="14"/>
    </row>
    <row r="1187" spans="1:39" x14ac:dyDescent="0.3">
      <c r="A1187" s="14"/>
      <c r="B1187" s="14"/>
      <c r="C1187" s="14"/>
      <c r="D1187" s="14"/>
      <c r="E1187" s="14"/>
      <c r="F1187" s="14"/>
      <c r="G1187" s="14"/>
      <c r="H1187" s="14"/>
      <c r="I1187" s="14"/>
      <c r="J1187" s="14"/>
      <c r="K1187" s="14"/>
      <c r="L1187" s="14"/>
      <c r="M1187" s="14"/>
      <c r="N1187" s="14"/>
      <c r="O1187" s="14"/>
      <c r="P1187" s="14"/>
      <c r="Q1187" s="14"/>
      <c r="R1187" s="14"/>
      <c r="S1187" s="14"/>
      <c r="T1187" s="14"/>
      <c r="U1187" s="14"/>
      <c r="V1187" s="14"/>
      <c r="W1187" s="14"/>
      <c r="X1187" s="14"/>
      <c r="Y1187" s="14"/>
      <c r="Z1187" s="14"/>
      <c r="AA1187" s="14"/>
      <c r="AB1187" s="14"/>
      <c r="AC1187" s="14"/>
      <c r="AD1187" s="14"/>
      <c r="AE1187" s="14"/>
      <c r="AF1187" s="14"/>
      <c r="AG1187" s="14"/>
      <c r="AH1187" s="14"/>
      <c r="AI1187" s="14"/>
      <c r="AJ1187" s="14"/>
      <c r="AK1187" s="14"/>
      <c r="AL1187" s="14"/>
      <c r="AM1187" s="14"/>
    </row>
    <row r="1188" spans="1:39" x14ac:dyDescent="0.3">
      <c r="A1188" s="14"/>
      <c r="B1188" s="14"/>
      <c r="C1188" s="14"/>
      <c r="D1188" s="14"/>
      <c r="E1188" s="14"/>
      <c r="F1188" s="14"/>
      <c r="G1188" s="14"/>
      <c r="H1188" s="14"/>
      <c r="I1188" s="14"/>
      <c r="J1188" s="14"/>
      <c r="K1188" s="14"/>
      <c r="L1188" s="14"/>
      <c r="M1188" s="14"/>
      <c r="N1188" s="14"/>
      <c r="O1188" s="14"/>
      <c r="P1188" s="14"/>
      <c r="Q1188" s="14"/>
      <c r="R1188" s="14"/>
      <c r="S1188" s="14"/>
      <c r="T1188" s="14"/>
      <c r="U1188" s="14"/>
      <c r="V1188" s="14"/>
      <c r="W1188" s="14"/>
      <c r="X1188" s="14"/>
      <c r="Y1188" s="14"/>
      <c r="Z1188" s="14"/>
      <c r="AA1188" s="14"/>
      <c r="AB1188" s="14"/>
      <c r="AC1188" s="14"/>
      <c r="AD1188" s="14"/>
      <c r="AE1188" s="14"/>
      <c r="AF1188" s="14"/>
      <c r="AG1188" s="14"/>
      <c r="AH1188" s="14"/>
      <c r="AI1188" s="14"/>
      <c r="AJ1188" s="14"/>
      <c r="AK1188" s="14"/>
      <c r="AL1188" s="14"/>
      <c r="AM1188" s="14"/>
    </row>
    <row r="1189" spans="1:39" x14ac:dyDescent="0.3">
      <c r="A1189" s="14"/>
      <c r="B1189" s="14"/>
      <c r="C1189" s="14"/>
      <c r="D1189" s="14"/>
      <c r="E1189" s="14"/>
      <c r="F1189" s="14"/>
      <c r="G1189" s="14"/>
      <c r="H1189" s="14"/>
      <c r="I1189" s="14"/>
      <c r="J1189" s="14"/>
      <c r="K1189" s="14"/>
      <c r="L1189" s="14"/>
      <c r="M1189" s="14"/>
      <c r="N1189" s="14"/>
      <c r="O1189" s="14"/>
      <c r="P1189" s="14"/>
      <c r="Q1189" s="14"/>
      <c r="R1189" s="14"/>
      <c r="S1189" s="14"/>
      <c r="T1189" s="14"/>
      <c r="U1189" s="14"/>
      <c r="V1189" s="14"/>
      <c r="W1189" s="14"/>
      <c r="X1189" s="14"/>
      <c r="Y1189" s="14"/>
      <c r="Z1189" s="14"/>
      <c r="AA1189" s="14"/>
      <c r="AB1189" s="14"/>
      <c r="AC1189" s="14"/>
      <c r="AD1189" s="14"/>
      <c r="AE1189" s="14"/>
      <c r="AF1189" s="14"/>
      <c r="AG1189" s="14"/>
      <c r="AH1189" s="14"/>
      <c r="AI1189" s="14"/>
      <c r="AJ1189" s="14"/>
      <c r="AK1189" s="14"/>
      <c r="AL1189" s="14"/>
      <c r="AM1189" s="14"/>
    </row>
    <row r="1190" spans="1:39" x14ac:dyDescent="0.3">
      <c r="A1190" s="14"/>
      <c r="B1190" s="14"/>
      <c r="C1190" s="14"/>
      <c r="D1190" s="14"/>
      <c r="E1190" s="14"/>
      <c r="F1190" s="14"/>
      <c r="G1190" s="14"/>
      <c r="H1190" s="14"/>
      <c r="I1190" s="14"/>
      <c r="J1190" s="14"/>
      <c r="K1190" s="14"/>
      <c r="L1190" s="14"/>
      <c r="M1190" s="14"/>
      <c r="N1190" s="14"/>
      <c r="O1190" s="14"/>
      <c r="P1190" s="14"/>
      <c r="Q1190" s="14"/>
      <c r="R1190" s="14"/>
      <c r="S1190" s="14"/>
      <c r="T1190" s="14"/>
      <c r="U1190" s="14"/>
      <c r="V1190" s="14"/>
      <c r="W1190" s="14"/>
      <c r="X1190" s="14"/>
      <c r="Y1190" s="14"/>
      <c r="Z1190" s="14"/>
      <c r="AA1190" s="14"/>
      <c r="AB1190" s="14"/>
      <c r="AC1190" s="14"/>
      <c r="AD1190" s="14"/>
      <c r="AE1190" s="14"/>
      <c r="AF1190" s="14"/>
      <c r="AG1190" s="14"/>
      <c r="AH1190" s="14"/>
      <c r="AI1190" s="14"/>
      <c r="AJ1190" s="14"/>
      <c r="AK1190" s="14"/>
      <c r="AL1190" s="14"/>
      <c r="AM1190" s="14"/>
    </row>
    <row r="1191" spans="1:39" x14ac:dyDescent="0.3">
      <c r="A1191" s="14"/>
      <c r="B1191" s="14"/>
      <c r="C1191" s="14"/>
      <c r="D1191" s="14"/>
      <c r="E1191" s="14"/>
      <c r="F1191" s="14"/>
      <c r="G1191" s="14"/>
      <c r="H1191" s="14"/>
      <c r="I1191" s="14"/>
      <c r="J1191" s="14"/>
      <c r="K1191" s="14"/>
      <c r="L1191" s="14"/>
      <c r="M1191" s="14"/>
      <c r="N1191" s="14"/>
      <c r="O1191" s="14"/>
      <c r="P1191" s="14"/>
      <c r="Q1191" s="14"/>
      <c r="R1191" s="14"/>
      <c r="S1191" s="14"/>
      <c r="T1191" s="14"/>
      <c r="U1191" s="14"/>
      <c r="V1191" s="14"/>
      <c r="W1191" s="14"/>
      <c r="X1191" s="14"/>
      <c r="Y1191" s="14"/>
      <c r="Z1191" s="14"/>
      <c r="AA1191" s="14"/>
      <c r="AB1191" s="14"/>
      <c r="AC1191" s="14"/>
      <c r="AD1191" s="14"/>
      <c r="AE1191" s="14"/>
      <c r="AF1191" s="14"/>
      <c r="AG1191" s="14"/>
      <c r="AH1191" s="14"/>
      <c r="AI1191" s="14"/>
      <c r="AJ1191" s="14"/>
      <c r="AK1191" s="14"/>
      <c r="AL1191" s="14"/>
      <c r="AM1191" s="14"/>
    </row>
    <row r="1192" spans="1:39" x14ac:dyDescent="0.3">
      <c r="A1192" s="14"/>
      <c r="B1192" s="14"/>
      <c r="C1192" s="14"/>
      <c r="D1192" s="14"/>
      <c r="E1192" s="14"/>
      <c r="F1192" s="14"/>
      <c r="G1192" s="14"/>
      <c r="H1192" s="14"/>
      <c r="I1192" s="14"/>
      <c r="J1192" s="14"/>
      <c r="K1192" s="14"/>
      <c r="L1192" s="14"/>
      <c r="M1192" s="14"/>
      <c r="N1192" s="14"/>
      <c r="O1192" s="14"/>
      <c r="P1192" s="14"/>
      <c r="Q1192" s="14"/>
      <c r="R1192" s="14"/>
      <c r="S1192" s="14"/>
      <c r="T1192" s="14"/>
      <c r="U1192" s="14"/>
      <c r="V1192" s="14"/>
      <c r="W1192" s="14"/>
      <c r="X1192" s="14"/>
      <c r="Y1192" s="14"/>
      <c r="Z1192" s="14"/>
      <c r="AA1192" s="14"/>
      <c r="AB1192" s="14"/>
      <c r="AC1192" s="14"/>
      <c r="AD1192" s="14"/>
      <c r="AE1192" s="14"/>
      <c r="AF1192" s="14"/>
      <c r="AG1192" s="14"/>
      <c r="AH1192" s="14"/>
      <c r="AI1192" s="14"/>
      <c r="AJ1192" s="14"/>
      <c r="AK1192" s="14"/>
      <c r="AL1192" s="14"/>
      <c r="AM1192" s="14"/>
    </row>
    <row r="1193" spans="1:39" x14ac:dyDescent="0.3">
      <c r="A1193" s="14"/>
      <c r="B1193" s="14"/>
      <c r="C1193" s="14"/>
      <c r="D1193" s="14"/>
      <c r="E1193" s="14"/>
      <c r="F1193" s="14"/>
      <c r="G1193" s="14"/>
      <c r="H1193" s="14"/>
      <c r="I1193" s="14"/>
      <c r="J1193" s="14"/>
      <c r="K1193" s="14"/>
      <c r="L1193" s="14"/>
      <c r="M1193" s="14"/>
      <c r="N1193" s="14"/>
      <c r="O1193" s="14"/>
      <c r="P1193" s="14"/>
      <c r="Q1193" s="14"/>
      <c r="R1193" s="14"/>
      <c r="S1193" s="14"/>
      <c r="T1193" s="14"/>
      <c r="U1193" s="14"/>
      <c r="V1193" s="14"/>
      <c r="W1193" s="14"/>
      <c r="X1193" s="14"/>
      <c r="Y1193" s="14"/>
      <c r="Z1193" s="14"/>
      <c r="AA1193" s="14"/>
      <c r="AB1193" s="14"/>
      <c r="AC1193" s="14"/>
      <c r="AD1193" s="14"/>
      <c r="AE1193" s="14"/>
      <c r="AF1193" s="14"/>
      <c r="AG1193" s="14"/>
      <c r="AH1193" s="14"/>
      <c r="AI1193" s="14"/>
      <c r="AJ1193" s="14"/>
      <c r="AK1193" s="14"/>
      <c r="AL1193" s="14"/>
      <c r="AM1193" s="14"/>
    </row>
    <row r="1194" spans="1:39" x14ac:dyDescent="0.3">
      <c r="A1194" s="14"/>
      <c r="B1194" s="14"/>
      <c r="C1194" s="14"/>
      <c r="D1194" s="14"/>
      <c r="E1194" s="14"/>
      <c r="F1194" s="14"/>
      <c r="G1194" s="14"/>
      <c r="H1194" s="14"/>
      <c r="I1194" s="14"/>
      <c r="J1194" s="14"/>
      <c r="K1194" s="14"/>
      <c r="L1194" s="14"/>
      <c r="M1194" s="14"/>
      <c r="N1194" s="14"/>
      <c r="O1194" s="14"/>
      <c r="P1194" s="14"/>
      <c r="Q1194" s="14"/>
      <c r="R1194" s="14"/>
      <c r="S1194" s="14"/>
      <c r="T1194" s="14"/>
      <c r="U1194" s="14"/>
      <c r="V1194" s="14"/>
      <c r="W1194" s="14"/>
      <c r="X1194" s="14"/>
      <c r="Y1194" s="14"/>
      <c r="Z1194" s="14"/>
      <c r="AA1194" s="14"/>
      <c r="AB1194" s="14"/>
      <c r="AC1194" s="14"/>
      <c r="AD1194" s="14"/>
      <c r="AE1194" s="14"/>
      <c r="AF1194" s="14"/>
      <c r="AG1194" s="14"/>
      <c r="AH1194" s="14"/>
      <c r="AI1194" s="14"/>
      <c r="AJ1194" s="14"/>
      <c r="AK1194" s="14"/>
      <c r="AL1194" s="14"/>
      <c r="AM1194" s="14"/>
    </row>
    <row r="1195" spans="1:39" x14ac:dyDescent="0.3">
      <c r="A1195" s="14"/>
      <c r="B1195" s="14"/>
      <c r="C1195" s="14"/>
      <c r="D1195" s="14"/>
      <c r="E1195" s="14"/>
      <c r="F1195" s="14"/>
      <c r="G1195" s="14"/>
      <c r="H1195" s="14"/>
      <c r="I1195" s="14"/>
      <c r="J1195" s="14"/>
      <c r="K1195" s="14"/>
      <c r="L1195" s="14"/>
      <c r="M1195" s="14"/>
      <c r="N1195" s="14"/>
      <c r="O1195" s="14"/>
      <c r="P1195" s="14"/>
      <c r="Q1195" s="14"/>
      <c r="R1195" s="14"/>
      <c r="S1195" s="14"/>
      <c r="T1195" s="14"/>
      <c r="U1195" s="14"/>
      <c r="V1195" s="14"/>
      <c r="W1195" s="14"/>
      <c r="X1195" s="14"/>
      <c r="Y1195" s="14"/>
      <c r="Z1195" s="14"/>
      <c r="AA1195" s="14"/>
      <c r="AB1195" s="14"/>
      <c r="AC1195" s="14"/>
      <c r="AD1195" s="14"/>
      <c r="AE1195" s="14"/>
      <c r="AF1195" s="14"/>
      <c r="AG1195" s="14"/>
      <c r="AH1195" s="14"/>
      <c r="AI1195" s="14"/>
      <c r="AJ1195" s="14"/>
      <c r="AK1195" s="14"/>
      <c r="AL1195" s="14"/>
      <c r="AM1195" s="14"/>
    </row>
    <row r="1196" spans="1:39" x14ac:dyDescent="0.3">
      <c r="A1196" s="14"/>
      <c r="B1196" s="14"/>
      <c r="C1196" s="14"/>
      <c r="D1196" s="14"/>
      <c r="E1196" s="14"/>
      <c r="F1196" s="14"/>
      <c r="G1196" s="14"/>
      <c r="H1196" s="14"/>
      <c r="I1196" s="14"/>
      <c r="J1196" s="14"/>
      <c r="K1196" s="14"/>
      <c r="L1196" s="14"/>
      <c r="M1196" s="14"/>
      <c r="N1196" s="14"/>
      <c r="O1196" s="14"/>
      <c r="P1196" s="14"/>
      <c r="Q1196" s="14"/>
      <c r="R1196" s="14"/>
      <c r="S1196" s="14"/>
      <c r="T1196" s="14"/>
      <c r="U1196" s="14"/>
      <c r="V1196" s="14"/>
      <c r="W1196" s="14"/>
      <c r="X1196" s="14"/>
      <c r="Y1196" s="14"/>
      <c r="Z1196" s="14"/>
      <c r="AA1196" s="14"/>
      <c r="AB1196" s="14"/>
      <c r="AC1196" s="14"/>
      <c r="AD1196" s="14"/>
      <c r="AE1196" s="14"/>
      <c r="AF1196" s="14"/>
      <c r="AG1196" s="14"/>
      <c r="AH1196" s="14"/>
      <c r="AI1196" s="14"/>
      <c r="AJ1196" s="14"/>
      <c r="AK1196" s="14"/>
      <c r="AL1196" s="14"/>
      <c r="AM1196" s="14"/>
    </row>
    <row r="1197" spans="1:39" x14ac:dyDescent="0.3">
      <c r="A1197" s="14"/>
      <c r="B1197" s="14"/>
      <c r="C1197" s="14"/>
      <c r="D1197" s="14"/>
      <c r="E1197" s="14"/>
      <c r="F1197" s="14"/>
      <c r="G1197" s="14"/>
      <c r="H1197" s="14"/>
      <c r="I1197" s="14"/>
      <c r="J1197" s="14"/>
      <c r="K1197" s="14"/>
      <c r="L1197" s="14"/>
      <c r="M1197" s="14"/>
      <c r="N1197" s="14"/>
      <c r="O1197" s="14"/>
      <c r="P1197" s="14"/>
      <c r="Q1197" s="14"/>
      <c r="R1197" s="14"/>
      <c r="S1197" s="14"/>
      <c r="T1197" s="14"/>
      <c r="U1197" s="14"/>
      <c r="V1197" s="14"/>
      <c r="W1197" s="14"/>
      <c r="X1197" s="14"/>
      <c r="Y1197" s="14"/>
      <c r="Z1197" s="14"/>
      <c r="AA1197" s="14"/>
      <c r="AB1197" s="14"/>
      <c r="AC1197" s="14"/>
      <c r="AD1197" s="14"/>
      <c r="AE1197" s="14"/>
      <c r="AF1197" s="14"/>
      <c r="AG1197" s="14"/>
      <c r="AH1197" s="14"/>
      <c r="AI1197" s="14"/>
      <c r="AJ1197" s="14"/>
      <c r="AK1197" s="14"/>
      <c r="AL1197" s="14"/>
      <c r="AM1197" s="14"/>
    </row>
    <row r="1198" spans="1:39" x14ac:dyDescent="0.3">
      <c r="A1198" s="14"/>
      <c r="B1198" s="14"/>
      <c r="C1198" s="14"/>
      <c r="D1198" s="14"/>
      <c r="E1198" s="14"/>
      <c r="F1198" s="14"/>
      <c r="G1198" s="14"/>
      <c r="H1198" s="14"/>
      <c r="I1198" s="14"/>
      <c r="J1198" s="14"/>
      <c r="K1198" s="14"/>
      <c r="L1198" s="14"/>
      <c r="M1198" s="14"/>
      <c r="N1198" s="14"/>
      <c r="O1198" s="14"/>
      <c r="P1198" s="14"/>
      <c r="Q1198" s="14"/>
      <c r="R1198" s="14"/>
      <c r="S1198" s="14"/>
      <c r="T1198" s="14"/>
      <c r="U1198" s="14"/>
      <c r="V1198" s="14"/>
      <c r="W1198" s="14"/>
      <c r="X1198" s="14"/>
      <c r="Y1198" s="14"/>
      <c r="Z1198" s="14"/>
      <c r="AA1198" s="14"/>
      <c r="AB1198" s="14"/>
      <c r="AC1198" s="14"/>
      <c r="AD1198" s="14"/>
      <c r="AE1198" s="14"/>
      <c r="AF1198" s="14"/>
      <c r="AG1198" s="14"/>
      <c r="AH1198" s="14"/>
      <c r="AI1198" s="14"/>
      <c r="AJ1198" s="14"/>
      <c r="AK1198" s="14"/>
      <c r="AL1198" s="14"/>
      <c r="AM1198" s="14"/>
    </row>
    <row r="1199" spans="1:39" x14ac:dyDescent="0.3">
      <c r="A1199" s="14"/>
      <c r="B1199" s="14"/>
      <c r="C1199" s="14"/>
      <c r="D1199" s="14"/>
      <c r="E1199" s="14"/>
      <c r="F1199" s="14"/>
      <c r="G1199" s="14"/>
      <c r="H1199" s="14"/>
      <c r="I1199" s="14"/>
      <c r="J1199" s="14"/>
      <c r="K1199" s="14"/>
      <c r="L1199" s="14"/>
      <c r="M1199" s="14"/>
      <c r="N1199" s="14"/>
      <c r="O1199" s="14"/>
      <c r="P1199" s="14"/>
      <c r="Q1199" s="14"/>
      <c r="R1199" s="14"/>
      <c r="S1199" s="14"/>
      <c r="T1199" s="14"/>
      <c r="U1199" s="14"/>
      <c r="V1199" s="14"/>
      <c r="W1199" s="14"/>
      <c r="X1199" s="14"/>
      <c r="Y1199" s="14"/>
      <c r="Z1199" s="14"/>
      <c r="AA1199" s="14"/>
      <c r="AB1199" s="14"/>
      <c r="AC1199" s="14"/>
      <c r="AD1199" s="14"/>
      <c r="AE1199" s="14"/>
      <c r="AF1199" s="14"/>
      <c r="AG1199" s="14"/>
      <c r="AH1199" s="14"/>
      <c r="AI1199" s="14"/>
      <c r="AJ1199" s="14"/>
      <c r="AK1199" s="14"/>
      <c r="AL1199" s="14"/>
      <c r="AM1199" s="14"/>
    </row>
    <row r="1200" spans="1:39" x14ac:dyDescent="0.3">
      <c r="A1200" s="14"/>
      <c r="B1200" s="14"/>
      <c r="C1200" s="14"/>
      <c r="D1200" s="14"/>
      <c r="E1200" s="14"/>
      <c r="F1200" s="14"/>
      <c r="G1200" s="14"/>
      <c r="H1200" s="14"/>
      <c r="I1200" s="14"/>
      <c r="J1200" s="14"/>
      <c r="K1200" s="14"/>
      <c r="L1200" s="14"/>
      <c r="M1200" s="14"/>
      <c r="N1200" s="14"/>
      <c r="O1200" s="14"/>
      <c r="P1200" s="14"/>
      <c r="Q1200" s="14"/>
      <c r="R1200" s="14"/>
      <c r="S1200" s="14"/>
      <c r="T1200" s="14"/>
      <c r="U1200" s="14"/>
      <c r="V1200" s="14"/>
      <c r="W1200" s="14"/>
      <c r="X1200" s="14"/>
      <c r="Y1200" s="14"/>
      <c r="Z1200" s="14"/>
      <c r="AA1200" s="14"/>
      <c r="AB1200" s="14"/>
      <c r="AC1200" s="14"/>
      <c r="AD1200" s="14"/>
      <c r="AE1200" s="14"/>
      <c r="AF1200" s="14"/>
      <c r="AG1200" s="14"/>
      <c r="AH1200" s="14"/>
      <c r="AI1200" s="14"/>
      <c r="AJ1200" s="14"/>
      <c r="AK1200" s="14"/>
      <c r="AL1200" s="14"/>
      <c r="AM1200" s="14"/>
    </row>
    <row r="1201" spans="1:39" x14ac:dyDescent="0.3">
      <c r="A1201" s="14"/>
      <c r="B1201" s="14"/>
      <c r="C1201" s="14"/>
      <c r="D1201" s="14"/>
      <c r="E1201" s="14"/>
      <c r="F1201" s="14"/>
      <c r="G1201" s="14"/>
      <c r="H1201" s="14"/>
      <c r="I1201" s="14"/>
      <c r="J1201" s="14"/>
      <c r="K1201" s="14"/>
      <c r="L1201" s="14"/>
      <c r="M1201" s="14"/>
      <c r="N1201" s="14"/>
      <c r="O1201" s="14"/>
      <c r="P1201" s="14"/>
      <c r="Q1201" s="14"/>
      <c r="R1201" s="14"/>
      <c r="S1201" s="14"/>
      <c r="T1201" s="14"/>
      <c r="U1201" s="14"/>
      <c r="V1201" s="14"/>
      <c r="W1201" s="14"/>
      <c r="X1201" s="14"/>
      <c r="Y1201" s="14"/>
      <c r="Z1201" s="14"/>
      <c r="AA1201" s="14"/>
      <c r="AB1201" s="14"/>
      <c r="AC1201" s="14"/>
      <c r="AD1201" s="14"/>
      <c r="AE1201" s="14"/>
      <c r="AF1201" s="14"/>
      <c r="AG1201" s="14"/>
      <c r="AH1201" s="14"/>
      <c r="AI1201" s="14"/>
      <c r="AJ1201" s="14"/>
      <c r="AK1201" s="14"/>
      <c r="AL1201" s="14"/>
      <c r="AM1201" s="14"/>
    </row>
    <row r="1202" spans="1:39" x14ac:dyDescent="0.3">
      <c r="A1202" s="14"/>
      <c r="B1202" s="14"/>
      <c r="C1202" s="14"/>
      <c r="D1202" s="14"/>
      <c r="E1202" s="14"/>
      <c r="F1202" s="14"/>
      <c r="G1202" s="14"/>
      <c r="H1202" s="14"/>
      <c r="I1202" s="14"/>
      <c r="J1202" s="14"/>
      <c r="K1202" s="14"/>
      <c r="L1202" s="14"/>
      <c r="M1202" s="14"/>
      <c r="N1202" s="14"/>
      <c r="O1202" s="14"/>
      <c r="P1202" s="14"/>
      <c r="Q1202" s="14"/>
      <c r="R1202" s="14"/>
      <c r="S1202" s="14"/>
      <c r="T1202" s="14"/>
      <c r="U1202" s="14"/>
      <c r="V1202" s="14"/>
      <c r="W1202" s="14"/>
      <c r="X1202" s="14"/>
      <c r="Y1202" s="14"/>
      <c r="Z1202" s="14"/>
      <c r="AA1202" s="14"/>
      <c r="AB1202" s="14"/>
      <c r="AC1202" s="14"/>
      <c r="AD1202" s="14"/>
      <c r="AE1202" s="14"/>
      <c r="AF1202" s="14"/>
      <c r="AG1202" s="14"/>
      <c r="AH1202" s="14"/>
      <c r="AI1202" s="14"/>
      <c r="AJ1202" s="14"/>
      <c r="AK1202" s="14"/>
      <c r="AL1202" s="14"/>
      <c r="AM1202" s="14"/>
    </row>
    <row r="1203" spans="1:39" x14ac:dyDescent="0.3">
      <c r="A1203" s="14"/>
      <c r="B1203" s="14"/>
      <c r="C1203" s="14"/>
      <c r="D1203" s="14"/>
      <c r="E1203" s="14"/>
      <c r="F1203" s="14"/>
      <c r="G1203" s="14"/>
      <c r="H1203" s="14"/>
      <c r="I1203" s="14"/>
      <c r="J1203" s="14"/>
      <c r="K1203" s="14"/>
      <c r="L1203" s="14"/>
      <c r="M1203" s="14"/>
      <c r="N1203" s="14"/>
      <c r="O1203" s="14"/>
      <c r="P1203" s="14"/>
      <c r="Q1203" s="14"/>
      <c r="R1203" s="14"/>
      <c r="S1203" s="14"/>
      <c r="T1203" s="14"/>
      <c r="U1203" s="14"/>
      <c r="V1203" s="14"/>
      <c r="W1203" s="14"/>
      <c r="X1203" s="14"/>
      <c r="Y1203" s="14"/>
      <c r="Z1203" s="14"/>
      <c r="AA1203" s="14"/>
      <c r="AB1203" s="14"/>
      <c r="AC1203" s="14"/>
      <c r="AD1203" s="14"/>
      <c r="AE1203" s="14"/>
      <c r="AF1203" s="14"/>
      <c r="AG1203" s="14"/>
      <c r="AH1203" s="14"/>
      <c r="AI1203" s="14"/>
      <c r="AJ1203" s="14"/>
      <c r="AK1203" s="14"/>
      <c r="AL1203" s="14"/>
      <c r="AM1203" s="14"/>
    </row>
    <row r="1204" spans="1:39" x14ac:dyDescent="0.3">
      <c r="A1204" s="14"/>
      <c r="B1204" s="14"/>
      <c r="C1204" s="14"/>
      <c r="D1204" s="14"/>
      <c r="E1204" s="14"/>
      <c r="F1204" s="14"/>
      <c r="G1204" s="14"/>
      <c r="H1204" s="14"/>
      <c r="I1204" s="14"/>
      <c r="J1204" s="14"/>
      <c r="K1204" s="14"/>
      <c r="L1204" s="14"/>
      <c r="M1204" s="14"/>
      <c r="N1204" s="14"/>
      <c r="O1204" s="14"/>
      <c r="P1204" s="14"/>
      <c r="Q1204" s="14"/>
      <c r="R1204" s="14"/>
      <c r="S1204" s="14"/>
      <c r="T1204" s="14"/>
      <c r="U1204" s="14"/>
      <c r="V1204" s="14"/>
      <c r="W1204" s="14"/>
      <c r="X1204" s="14"/>
      <c r="Y1204" s="14"/>
      <c r="Z1204" s="14"/>
      <c r="AA1204" s="14"/>
      <c r="AB1204" s="14"/>
      <c r="AC1204" s="14"/>
      <c r="AD1204" s="14"/>
      <c r="AE1204" s="14"/>
      <c r="AF1204" s="14"/>
      <c r="AG1204" s="14"/>
      <c r="AH1204" s="14"/>
      <c r="AI1204" s="14"/>
      <c r="AJ1204" s="14"/>
      <c r="AK1204" s="14"/>
      <c r="AL1204" s="14"/>
      <c r="AM1204" s="14"/>
    </row>
    <row r="1205" spans="1:39" x14ac:dyDescent="0.3">
      <c r="A1205" s="14"/>
      <c r="B1205" s="14"/>
      <c r="C1205" s="14"/>
      <c r="D1205" s="14"/>
      <c r="E1205" s="14"/>
      <c r="F1205" s="14"/>
      <c r="G1205" s="14"/>
      <c r="H1205" s="14"/>
      <c r="I1205" s="14"/>
      <c r="J1205" s="14"/>
      <c r="K1205" s="14"/>
      <c r="L1205" s="14"/>
      <c r="M1205" s="14"/>
      <c r="N1205" s="14"/>
      <c r="O1205" s="14"/>
      <c r="P1205" s="14"/>
      <c r="Q1205" s="14"/>
      <c r="R1205" s="14"/>
      <c r="S1205" s="14"/>
      <c r="T1205" s="14"/>
      <c r="U1205" s="14"/>
      <c r="V1205" s="14"/>
      <c r="W1205" s="14"/>
      <c r="X1205" s="14"/>
      <c r="Y1205" s="14"/>
      <c r="Z1205" s="14"/>
      <c r="AA1205" s="14"/>
      <c r="AB1205" s="14"/>
      <c r="AC1205" s="14"/>
      <c r="AD1205" s="14"/>
      <c r="AE1205" s="14"/>
      <c r="AF1205" s="14"/>
      <c r="AG1205" s="14"/>
      <c r="AH1205" s="14"/>
      <c r="AI1205" s="14"/>
      <c r="AJ1205" s="14"/>
      <c r="AK1205" s="14"/>
      <c r="AL1205" s="14"/>
      <c r="AM1205" s="14"/>
    </row>
    <row r="1206" spans="1:39" x14ac:dyDescent="0.3">
      <c r="A1206" s="14"/>
      <c r="B1206" s="14"/>
      <c r="C1206" s="14"/>
      <c r="D1206" s="14"/>
      <c r="E1206" s="14"/>
      <c r="F1206" s="14"/>
      <c r="G1206" s="14"/>
      <c r="H1206" s="14"/>
      <c r="I1206" s="14"/>
      <c r="J1206" s="14"/>
      <c r="K1206" s="14"/>
      <c r="L1206" s="14"/>
      <c r="M1206" s="14"/>
      <c r="N1206" s="14"/>
      <c r="O1206" s="14"/>
      <c r="P1206" s="14"/>
      <c r="Q1206" s="14"/>
      <c r="R1206" s="14"/>
      <c r="S1206" s="14"/>
      <c r="T1206" s="14"/>
      <c r="U1206" s="14"/>
      <c r="V1206" s="14"/>
      <c r="W1206" s="14"/>
      <c r="X1206" s="14"/>
      <c r="Y1206" s="14"/>
      <c r="Z1206" s="14"/>
      <c r="AA1206" s="14"/>
      <c r="AB1206" s="14"/>
      <c r="AC1206" s="14"/>
      <c r="AD1206" s="14"/>
      <c r="AE1206" s="14"/>
      <c r="AF1206" s="14"/>
      <c r="AG1206" s="14"/>
      <c r="AH1206" s="14"/>
      <c r="AI1206" s="14"/>
      <c r="AJ1206" s="14"/>
      <c r="AK1206" s="14"/>
      <c r="AL1206" s="14"/>
      <c r="AM1206" s="14"/>
    </row>
    <row r="1207" spans="1:39" x14ac:dyDescent="0.3">
      <c r="A1207" s="14"/>
      <c r="B1207" s="14"/>
      <c r="C1207" s="14"/>
      <c r="D1207" s="14"/>
      <c r="E1207" s="14"/>
      <c r="F1207" s="14"/>
      <c r="G1207" s="14"/>
      <c r="H1207" s="14"/>
      <c r="I1207" s="14"/>
      <c r="J1207" s="14"/>
      <c r="K1207" s="14"/>
      <c r="L1207" s="14"/>
      <c r="M1207" s="14"/>
      <c r="N1207" s="14"/>
      <c r="O1207" s="14"/>
      <c r="P1207" s="14"/>
      <c r="Q1207" s="14"/>
      <c r="R1207" s="14"/>
      <c r="S1207" s="14"/>
      <c r="T1207" s="14"/>
      <c r="U1207" s="14"/>
      <c r="V1207" s="14"/>
      <c r="W1207" s="14"/>
      <c r="X1207" s="14"/>
      <c r="Y1207" s="14"/>
      <c r="Z1207" s="14"/>
      <c r="AA1207" s="14"/>
      <c r="AB1207" s="14"/>
      <c r="AC1207" s="14"/>
      <c r="AD1207" s="14"/>
      <c r="AE1207" s="14"/>
      <c r="AF1207" s="14"/>
      <c r="AG1207" s="14"/>
      <c r="AH1207" s="14"/>
      <c r="AI1207" s="14"/>
      <c r="AJ1207" s="14"/>
      <c r="AK1207" s="14"/>
      <c r="AL1207" s="14"/>
      <c r="AM1207" s="14"/>
    </row>
    <row r="1208" spans="1:39" x14ac:dyDescent="0.3">
      <c r="A1208" s="14"/>
      <c r="B1208" s="14"/>
      <c r="C1208" s="14"/>
      <c r="D1208" s="14"/>
      <c r="E1208" s="14"/>
      <c r="F1208" s="14"/>
      <c r="G1208" s="14"/>
      <c r="H1208" s="14"/>
      <c r="I1208" s="14"/>
      <c r="J1208" s="14"/>
      <c r="K1208" s="14"/>
      <c r="L1208" s="14"/>
      <c r="M1208" s="14"/>
      <c r="N1208" s="14"/>
      <c r="O1208" s="14"/>
      <c r="P1208" s="14"/>
      <c r="Q1208" s="14"/>
      <c r="R1208" s="14"/>
      <c r="S1208" s="14"/>
      <c r="T1208" s="14"/>
      <c r="U1208" s="14"/>
      <c r="V1208" s="14"/>
      <c r="W1208" s="14"/>
      <c r="X1208" s="14"/>
      <c r="Y1208" s="14"/>
      <c r="Z1208" s="14"/>
      <c r="AA1208" s="14"/>
      <c r="AB1208" s="14"/>
      <c r="AC1208" s="14"/>
      <c r="AD1208" s="14"/>
      <c r="AE1208" s="14"/>
      <c r="AF1208" s="14"/>
      <c r="AG1208" s="14"/>
      <c r="AH1208" s="14"/>
      <c r="AI1208" s="14"/>
      <c r="AJ1208" s="14"/>
      <c r="AK1208" s="14"/>
      <c r="AL1208" s="14"/>
      <c r="AM1208" s="14"/>
    </row>
    <row r="1209" spans="1:39" x14ac:dyDescent="0.3">
      <c r="A1209" s="14"/>
      <c r="B1209" s="14"/>
      <c r="C1209" s="14"/>
      <c r="D1209" s="14"/>
      <c r="E1209" s="14"/>
      <c r="F1209" s="14"/>
      <c r="G1209" s="14"/>
      <c r="H1209" s="14"/>
      <c r="I1209" s="14"/>
      <c r="J1209" s="14"/>
      <c r="K1209" s="14"/>
      <c r="L1209" s="14"/>
      <c r="M1209" s="14"/>
      <c r="N1209" s="14"/>
      <c r="O1209" s="14"/>
      <c r="P1209" s="14"/>
      <c r="Q1209" s="14"/>
      <c r="R1209" s="14"/>
      <c r="S1209" s="14"/>
      <c r="T1209" s="14"/>
      <c r="U1209" s="14"/>
      <c r="V1209" s="14"/>
      <c r="W1209" s="14"/>
      <c r="X1209" s="14"/>
      <c r="Y1209" s="14"/>
      <c r="Z1209" s="14"/>
      <c r="AA1209" s="14"/>
      <c r="AB1209" s="14"/>
      <c r="AC1209" s="14"/>
      <c r="AD1209" s="14"/>
      <c r="AE1209" s="14"/>
      <c r="AF1209" s="14"/>
      <c r="AG1209" s="14"/>
      <c r="AH1209" s="14"/>
      <c r="AI1209" s="14"/>
      <c r="AJ1209" s="14"/>
      <c r="AK1209" s="14"/>
      <c r="AL1209" s="14"/>
      <c r="AM1209" s="14"/>
    </row>
    <row r="1210" spans="1:39" x14ac:dyDescent="0.3">
      <c r="A1210" s="14"/>
      <c r="B1210" s="14"/>
      <c r="C1210" s="14"/>
      <c r="D1210" s="14"/>
      <c r="E1210" s="14"/>
      <c r="F1210" s="14"/>
      <c r="G1210" s="14"/>
      <c r="H1210" s="14"/>
      <c r="I1210" s="14"/>
      <c r="J1210" s="14"/>
      <c r="K1210" s="14"/>
      <c r="L1210" s="14"/>
      <c r="M1210" s="14"/>
      <c r="N1210" s="14"/>
      <c r="O1210" s="14"/>
      <c r="P1210" s="14"/>
      <c r="Q1210" s="14"/>
      <c r="R1210" s="14"/>
      <c r="S1210" s="14"/>
      <c r="T1210" s="14"/>
      <c r="U1210" s="14"/>
      <c r="V1210" s="14"/>
      <c r="W1210" s="14"/>
      <c r="X1210" s="14"/>
      <c r="Y1210" s="14"/>
      <c r="Z1210" s="14"/>
      <c r="AA1210" s="14"/>
      <c r="AB1210" s="14"/>
      <c r="AC1210" s="14"/>
      <c r="AD1210" s="14"/>
      <c r="AE1210" s="14"/>
      <c r="AF1210" s="14"/>
      <c r="AG1210" s="14"/>
      <c r="AH1210" s="14"/>
      <c r="AI1210" s="14"/>
      <c r="AJ1210" s="14"/>
      <c r="AK1210" s="14"/>
      <c r="AL1210" s="14"/>
      <c r="AM1210" s="14"/>
    </row>
    <row r="1211" spans="1:39" x14ac:dyDescent="0.3">
      <c r="A1211" s="14"/>
      <c r="B1211" s="14"/>
      <c r="C1211" s="14"/>
      <c r="D1211" s="14"/>
      <c r="E1211" s="14"/>
      <c r="F1211" s="14"/>
      <c r="G1211" s="14"/>
      <c r="H1211" s="14"/>
      <c r="I1211" s="14"/>
      <c r="J1211" s="14"/>
      <c r="K1211" s="14"/>
      <c r="L1211" s="14"/>
      <c r="M1211" s="14"/>
      <c r="N1211" s="14"/>
      <c r="O1211" s="14"/>
      <c r="P1211" s="14"/>
      <c r="Q1211" s="14"/>
      <c r="R1211" s="14"/>
      <c r="S1211" s="14"/>
      <c r="T1211" s="14"/>
      <c r="U1211" s="14"/>
      <c r="V1211" s="14"/>
      <c r="W1211" s="14"/>
      <c r="X1211" s="14"/>
      <c r="Y1211" s="14"/>
      <c r="Z1211" s="14"/>
      <c r="AA1211" s="14"/>
      <c r="AB1211" s="14"/>
      <c r="AC1211" s="14"/>
      <c r="AD1211" s="14"/>
      <c r="AE1211" s="14"/>
      <c r="AF1211" s="14"/>
      <c r="AG1211" s="14"/>
      <c r="AH1211" s="14"/>
      <c r="AI1211" s="14"/>
      <c r="AJ1211" s="14"/>
      <c r="AK1211" s="14"/>
      <c r="AL1211" s="14"/>
      <c r="AM1211" s="14"/>
    </row>
    <row r="1212" spans="1:39" x14ac:dyDescent="0.3">
      <c r="A1212" s="14"/>
      <c r="B1212" s="14"/>
      <c r="C1212" s="14"/>
      <c r="D1212" s="14"/>
      <c r="E1212" s="14"/>
      <c r="F1212" s="14"/>
      <c r="G1212" s="14"/>
      <c r="H1212" s="14"/>
      <c r="I1212" s="14"/>
      <c r="J1212" s="14"/>
      <c r="K1212" s="14"/>
      <c r="L1212" s="14"/>
      <c r="M1212" s="14"/>
      <c r="N1212" s="14"/>
      <c r="O1212" s="14"/>
      <c r="P1212" s="14"/>
      <c r="Q1212" s="14"/>
      <c r="R1212" s="14"/>
      <c r="S1212" s="14"/>
      <c r="T1212" s="14"/>
      <c r="U1212" s="14"/>
      <c r="V1212" s="14"/>
      <c r="W1212" s="14"/>
      <c r="X1212" s="14"/>
      <c r="Y1212" s="14"/>
      <c r="Z1212" s="14"/>
      <c r="AA1212" s="14"/>
      <c r="AB1212" s="14"/>
      <c r="AC1212" s="14"/>
      <c r="AD1212" s="14"/>
      <c r="AE1212" s="14"/>
      <c r="AF1212" s="14"/>
      <c r="AG1212" s="14"/>
      <c r="AH1212" s="14"/>
      <c r="AI1212" s="14"/>
      <c r="AJ1212" s="14"/>
      <c r="AK1212" s="14"/>
      <c r="AL1212" s="14"/>
      <c r="AM1212" s="14"/>
    </row>
    <row r="1213" spans="1:39" x14ac:dyDescent="0.3">
      <c r="A1213" s="14"/>
      <c r="B1213" s="14"/>
      <c r="C1213" s="14"/>
      <c r="D1213" s="14"/>
      <c r="E1213" s="14"/>
      <c r="F1213" s="14"/>
      <c r="G1213" s="14"/>
      <c r="H1213" s="14"/>
      <c r="I1213" s="14"/>
      <c r="J1213" s="14"/>
      <c r="K1213" s="14"/>
      <c r="L1213" s="14"/>
      <c r="M1213" s="14"/>
      <c r="N1213" s="14"/>
      <c r="O1213" s="14"/>
      <c r="P1213" s="14"/>
      <c r="Q1213" s="14"/>
      <c r="R1213" s="14"/>
      <c r="S1213" s="14"/>
      <c r="T1213" s="14"/>
      <c r="U1213" s="14"/>
      <c r="V1213" s="14"/>
      <c r="W1213" s="14"/>
      <c r="X1213" s="14"/>
      <c r="Y1213" s="14"/>
      <c r="Z1213" s="14"/>
      <c r="AA1213" s="14"/>
      <c r="AB1213" s="14"/>
      <c r="AC1213" s="14"/>
      <c r="AD1213" s="14"/>
      <c r="AE1213" s="14"/>
      <c r="AF1213" s="14"/>
      <c r="AG1213" s="14"/>
      <c r="AH1213" s="14"/>
      <c r="AI1213" s="14"/>
      <c r="AJ1213" s="14"/>
      <c r="AK1213" s="14"/>
      <c r="AL1213" s="14"/>
      <c r="AM1213" s="14"/>
    </row>
    <row r="1214" spans="1:39" x14ac:dyDescent="0.3">
      <c r="A1214" s="14"/>
      <c r="B1214" s="14"/>
      <c r="C1214" s="14"/>
      <c r="D1214" s="14"/>
      <c r="E1214" s="14"/>
      <c r="F1214" s="14"/>
      <c r="G1214" s="14"/>
      <c r="H1214" s="14"/>
      <c r="I1214" s="14"/>
      <c r="J1214" s="14"/>
      <c r="K1214" s="14"/>
      <c r="L1214" s="14"/>
      <c r="M1214" s="14"/>
      <c r="N1214" s="14"/>
      <c r="O1214" s="14"/>
      <c r="P1214" s="14"/>
      <c r="Q1214" s="14"/>
      <c r="R1214" s="14"/>
      <c r="S1214" s="14"/>
      <c r="T1214" s="14"/>
      <c r="U1214" s="14"/>
      <c r="V1214" s="14"/>
      <c r="W1214" s="14"/>
      <c r="X1214" s="14"/>
      <c r="Y1214" s="14"/>
      <c r="Z1214" s="14"/>
      <c r="AA1214" s="14"/>
      <c r="AB1214" s="14"/>
      <c r="AC1214" s="14"/>
      <c r="AD1214" s="14"/>
      <c r="AE1214" s="14"/>
      <c r="AF1214" s="14"/>
      <c r="AG1214" s="14"/>
      <c r="AH1214" s="14"/>
      <c r="AI1214" s="14"/>
      <c r="AJ1214" s="14"/>
      <c r="AK1214" s="14"/>
      <c r="AL1214" s="14"/>
      <c r="AM1214" s="14"/>
    </row>
    <row r="1215" spans="1:39" x14ac:dyDescent="0.3">
      <c r="A1215" s="14"/>
      <c r="B1215" s="14"/>
      <c r="C1215" s="14"/>
      <c r="D1215" s="14"/>
      <c r="E1215" s="14"/>
      <c r="F1215" s="14"/>
      <c r="G1215" s="14"/>
      <c r="H1215" s="14"/>
      <c r="I1215" s="14"/>
      <c r="J1215" s="14"/>
      <c r="K1215" s="14"/>
      <c r="L1215" s="14"/>
      <c r="M1215" s="14"/>
      <c r="N1215" s="14"/>
      <c r="O1215" s="14"/>
      <c r="P1215" s="14"/>
      <c r="Q1215" s="14"/>
      <c r="R1215" s="14"/>
      <c r="S1215" s="14"/>
      <c r="T1215" s="14"/>
      <c r="U1215" s="14"/>
      <c r="V1215" s="14"/>
      <c r="W1215" s="14"/>
      <c r="X1215" s="14"/>
      <c r="Y1215" s="14"/>
      <c r="Z1215" s="14"/>
      <c r="AA1215" s="14"/>
      <c r="AB1215" s="14"/>
      <c r="AC1215" s="14"/>
      <c r="AD1215" s="14"/>
      <c r="AE1215" s="14"/>
      <c r="AF1215" s="14"/>
      <c r="AG1215" s="14"/>
      <c r="AH1215" s="14"/>
      <c r="AI1215" s="14"/>
      <c r="AJ1215" s="14"/>
      <c r="AK1215" s="14"/>
      <c r="AL1215" s="14"/>
      <c r="AM1215" s="14"/>
    </row>
    <row r="1216" spans="1:39" x14ac:dyDescent="0.3">
      <c r="A1216" s="14"/>
      <c r="B1216" s="14"/>
      <c r="C1216" s="14"/>
      <c r="D1216" s="14"/>
      <c r="E1216" s="14"/>
      <c r="F1216" s="14"/>
      <c r="G1216" s="14"/>
      <c r="H1216" s="14"/>
      <c r="I1216" s="14"/>
      <c r="J1216" s="14"/>
      <c r="K1216" s="14"/>
      <c r="L1216" s="14"/>
      <c r="M1216" s="14"/>
      <c r="N1216" s="14"/>
      <c r="O1216" s="14"/>
      <c r="P1216" s="14"/>
      <c r="Q1216" s="14"/>
      <c r="R1216" s="14"/>
      <c r="S1216" s="14"/>
      <c r="T1216" s="14"/>
      <c r="U1216" s="14"/>
      <c r="V1216" s="14"/>
      <c r="W1216" s="14"/>
      <c r="X1216" s="14"/>
      <c r="Y1216" s="14"/>
      <c r="Z1216" s="14"/>
      <c r="AA1216" s="14"/>
      <c r="AB1216" s="14"/>
      <c r="AC1216" s="14"/>
      <c r="AD1216" s="14"/>
      <c r="AE1216" s="14"/>
      <c r="AF1216" s="14"/>
      <c r="AG1216" s="14"/>
      <c r="AH1216" s="14"/>
      <c r="AI1216" s="14"/>
      <c r="AJ1216" s="14"/>
      <c r="AK1216" s="14"/>
      <c r="AL1216" s="14"/>
      <c r="AM1216" s="14"/>
    </row>
    <row r="1217" spans="1:39" x14ac:dyDescent="0.3">
      <c r="A1217" s="14"/>
      <c r="B1217" s="14"/>
      <c r="C1217" s="14"/>
      <c r="D1217" s="14"/>
      <c r="E1217" s="14"/>
      <c r="F1217" s="14"/>
      <c r="G1217" s="14"/>
      <c r="H1217" s="14"/>
      <c r="I1217" s="14"/>
      <c r="J1217" s="14"/>
      <c r="K1217" s="14"/>
      <c r="L1217" s="14"/>
      <c r="M1217" s="14"/>
      <c r="N1217" s="14"/>
      <c r="O1217" s="14"/>
      <c r="P1217" s="14"/>
      <c r="Q1217" s="14"/>
      <c r="R1217" s="14"/>
      <c r="S1217" s="14"/>
      <c r="T1217" s="14"/>
      <c r="U1217" s="14"/>
      <c r="V1217" s="14"/>
      <c r="W1217" s="14"/>
      <c r="X1217" s="14"/>
      <c r="Y1217" s="14"/>
      <c r="Z1217" s="14"/>
      <c r="AA1217" s="14"/>
      <c r="AB1217" s="14"/>
      <c r="AC1217" s="14"/>
      <c r="AD1217" s="14"/>
      <c r="AE1217" s="14"/>
      <c r="AF1217" s="14"/>
      <c r="AG1217" s="14"/>
      <c r="AH1217" s="14"/>
      <c r="AI1217" s="14"/>
      <c r="AJ1217" s="14"/>
      <c r="AK1217" s="14"/>
      <c r="AL1217" s="14"/>
      <c r="AM1217" s="14"/>
    </row>
    <row r="1218" spans="1:39" x14ac:dyDescent="0.3">
      <c r="A1218" s="14"/>
      <c r="B1218" s="14"/>
      <c r="C1218" s="14"/>
      <c r="D1218" s="14"/>
      <c r="E1218" s="14"/>
      <c r="F1218" s="14"/>
      <c r="G1218" s="14"/>
      <c r="H1218" s="14"/>
      <c r="I1218" s="14"/>
      <c r="J1218" s="14"/>
      <c r="K1218" s="14"/>
      <c r="L1218" s="14"/>
      <c r="M1218" s="14"/>
      <c r="N1218" s="14"/>
      <c r="O1218" s="14"/>
      <c r="P1218" s="14"/>
      <c r="Q1218" s="14"/>
      <c r="R1218" s="14"/>
      <c r="S1218" s="14"/>
      <c r="T1218" s="14"/>
      <c r="U1218" s="14"/>
      <c r="V1218" s="14"/>
      <c r="W1218" s="14"/>
      <c r="X1218" s="14"/>
      <c r="Y1218" s="14"/>
      <c r="Z1218" s="14"/>
      <c r="AA1218" s="14"/>
      <c r="AB1218" s="14"/>
      <c r="AC1218" s="14"/>
      <c r="AD1218" s="14"/>
      <c r="AE1218" s="14"/>
      <c r="AF1218" s="14"/>
      <c r="AG1218" s="14"/>
      <c r="AH1218" s="14"/>
      <c r="AI1218" s="14"/>
      <c r="AJ1218" s="14"/>
      <c r="AK1218" s="14"/>
      <c r="AL1218" s="14"/>
      <c r="AM1218" s="14"/>
    </row>
    <row r="1219" spans="1:39" x14ac:dyDescent="0.3">
      <c r="A1219" s="14"/>
      <c r="B1219" s="14"/>
      <c r="C1219" s="14"/>
      <c r="D1219" s="14"/>
      <c r="E1219" s="14"/>
      <c r="F1219" s="14"/>
      <c r="G1219" s="14"/>
      <c r="H1219" s="14"/>
      <c r="I1219" s="14"/>
      <c r="J1219" s="14"/>
      <c r="K1219" s="14"/>
      <c r="L1219" s="14"/>
      <c r="M1219" s="14"/>
      <c r="N1219" s="14"/>
      <c r="O1219" s="14"/>
      <c r="P1219" s="14"/>
      <c r="Q1219" s="14"/>
      <c r="R1219" s="14"/>
      <c r="S1219" s="14"/>
      <c r="T1219" s="14"/>
      <c r="U1219" s="14"/>
      <c r="V1219" s="14"/>
      <c r="W1219" s="14"/>
      <c r="X1219" s="14"/>
      <c r="Y1219" s="14"/>
      <c r="Z1219" s="14"/>
      <c r="AA1219" s="14"/>
      <c r="AB1219" s="14"/>
      <c r="AC1219" s="14"/>
      <c r="AD1219" s="14"/>
      <c r="AE1219" s="14"/>
      <c r="AF1219" s="14"/>
      <c r="AG1219" s="14"/>
      <c r="AH1219" s="14"/>
      <c r="AI1219" s="14"/>
      <c r="AJ1219" s="14"/>
      <c r="AK1219" s="14"/>
      <c r="AL1219" s="14"/>
      <c r="AM1219" s="14"/>
    </row>
    <row r="1220" spans="1:39" x14ac:dyDescent="0.3">
      <c r="A1220" s="14"/>
      <c r="B1220" s="14"/>
      <c r="C1220" s="14"/>
      <c r="D1220" s="14"/>
      <c r="E1220" s="14"/>
      <c r="F1220" s="14"/>
      <c r="G1220" s="14"/>
      <c r="H1220" s="14"/>
      <c r="I1220" s="14"/>
      <c r="J1220" s="14"/>
      <c r="K1220" s="14"/>
      <c r="L1220" s="14"/>
      <c r="M1220" s="14"/>
      <c r="N1220" s="14"/>
      <c r="O1220" s="14"/>
      <c r="P1220" s="14"/>
      <c r="Q1220" s="14"/>
      <c r="R1220" s="14"/>
      <c r="S1220" s="14"/>
      <c r="T1220" s="14"/>
      <c r="U1220" s="14"/>
      <c r="V1220" s="14"/>
      <c r="W1220" s="14"/>
      <c r="X1220" s="14"/>
      <c r="Y1220" s="14"/>
      <c r="Z1220" s="14"/>
      <c r="AA1220" s="14"/>
      <c r="AB1220" s="14"/>
      <c r="AC1220" s="14"/>
      <c r="AD1220" s="14"/>
      <c r="AE1220" s="14"/>
      <c r="AF1220" s="14"/>
      <c r="AG1220" s="14"/>
      <c r="AH1220" s="14"/>
      <c r="AI1220" s="14"/>
      <c r="AJ1220" s="14"/>
      <c r="AK1220" s="14"/>
      <c r="AL1220" s="14"/>
      <c r="AM1220" s="14"/>
    </row>
    <row r="1221" spans="1:39" x14ac:dyDescent="0.3">
      <c r="A1221" s="14"/>
      <c r="B1221" s="14"/>
      <c r="C1221" s="14"/>
      <c r="D1221" s="14"/>
      <c r="E1221" s="14"/>
      <c r="F1221" s="14"/>
      <c r="G1221" s="14"/>
      <c r="H1221" s="14"/>
      <c r="I1221" s="14"/>
      <c r="J1221" s="14"/>
      <c r="K1221" s="14"/>
      <c r="L1221" s="14"/>
      <c r="M1221" s="14"/>
      <c r="N1221" s="14"/>
      <c r="O1221" s="14"/>
      <c r="P1221" s="14"/>
      <c r="Q1221" s="14"/>
      <c r="R1221" s="14"/>
      <c r="S1221" s="14"/>
      <c r="T1221" s="14"/>
      <c r="U1221" s="14"/>
      <c r="V1221" s="14"/>
      <c r="W1221" s="14"/>
      <c r="X1221" s="14"/>
      <c r="Y1221" s="14"/>
      <c r="Z1221" s="14"/>
      <c r="AA1221" s="14"/>
      <c r="AB1221" s="14"/>
      <c r="AC1221" s="14"/>
      <c r="AD1221" s="14"/>
      <c r="AE1221" s="14"/>
      <c r="AF1221" s="14"/>
      <c r="AG1221" s="14"/>
      <c r="AH1221" s="14"/>
      <c r="AI1221" s="14"/>
      <c r="AJ1221" s="14"/>
      <c r="AK1221" s="14"/>
      <c r="AL1221" s="14"/>
      <c r="AM1221" s="14"/>
    </row>
    <row r="1222" spans="1:39" x14ac:dyDescent="0.3">
      <c r="A1222" s="14"/>
      <c r="B1222" s="14"/>
      <c r="C1222" s="14"/>
      <c r="D1222" s="14"/>
      <c r="E1222" s="14"/>
      <c r="F1222" s="14"/>
      <c r="G1222" s="14"/>
      <c r="H1222" s="14"/>
      <c r="I1222" s="14"/>
      <c r="J1222" s="14"/>
      <c r="K1222" s="14"/>
      <c r="L1222" s="14"/>
      <c r="M1222" s="14"/>
      <c r="N1222" s="14"/>
      <c r="O1222" s="14"/>
      <c r="P1222" s="14"/>
      <c r="Q1222" s="14"/>
      <c r="R1222" s="14"/>
      <c r="S1222" s="14"/>
      <c r="T1222" s="14"/>
      <c r="U1222" s="14"/>
      <c r="V1222" s="14"/>
      <c r="W1222" s="14"/>
      <c r="X1222" s="14"/>
      <c r="Y1222" s="14"/>
      <c r="Z1222" s="14"/>
      <c r="AA1222" s="14"/>
      <c r="AB1222" s="14"/>
      <c r="AC1222" s="14"/>
      <c r="AD1222" s="14"/>
      <c r="AE1222" s="14"/>
      <c r="AF1222" s="14"/>
      <c r="AG1222" s="14"/>
      <c r="AH1222" s="14"/>
      <c r="AI1222" s="14"/>
      <c r="AJ1222" s="14"/>
      <c r="AK1222" s="14"/>
      <c r="AL1222" s="14"/>
      <c r="AM1222" s="14"/>
    </row>
    <row r="1223" spans="1:39" x14ac:dyDescent="0.3">
      <c r="A1223" s="14"/>
      <c r="B1223" s="14"/>
      <c r="C1223" s="14"/>
      <c r="D1223" s="14"/>
      <c r="E1223" s="14"/>
      <c r="F1223" s="14"/>
      <c r="G1223" s="14"/>
      <c r="H1223" s="14"/>
      <c r="I1223" s="14"/>
      <c r="J1223" s="14"/>
      <c r="K1223" s="14"/>
      <c r="L1223" s="14"/>
      <c r="M1223" s="14"/>
      <c r="N1223" s="14"/>
      <c r="O1223" s="14"/>
      <c r="P1223" s="14"/>
      <c r="Q1223" s="14"/>
      <c r="R1223" s="14"/>
      <c r="S1223" s="14"/>
      <c r="T1223" s="14"/>
      <c r="U1223" s="14"/>
      <c r="V1223" s="14"/>
      <c r="W1223" s="14"/>
      <c r="X1223" s="14"/>
      <c r="Y1223" s="14"/>
      <c r="Z1223" s="14"/>
      <c r="AA1223" s="14"/>
      <c r="AB1223" s="14"/>
      <c r="AC1223" s="14"/>
      <c r="AD1223" s="14"/>
      <c r="AE1223" s="14"/>
      <c r="AF1223" s="14"/>
      <c r="AG1223" s="14"/>
      <c r="AH1223" s="14"/>
      <c r="AI1223" s="14"/>
      <c r="AJ1223" s="14"/>
      <c r="AK1223" s="14"/>
      <c r="AL1223" s="14"/>
      <c r="AM1223" s="14"/>
    </row>
    <row r="1224" spans="1:39" x14ac:dyDescent="0.3">
      <c r="A1224" s="14"/>
      <c r="B1224" s="14"/>
      <c r="C1224" s="14"/>
      <c r="D1224" s="14"/>
      <c r="E1224" s="14"/>
      <c r="F1224" s="14"/>
      <c r="G1224" s="14"/>
      <c r="H1224" s="14"/>
      <c r="I1224" s="14"/>
      <c r="J1224" s="14"/>
      <c r="K1224" s="14"/>
      <c r="L1224" s="14"/>
      <c r="M1224" s="14"/>
      <c r="N1224" s="14"/>
      <c r="O1224" s="14"/>
      <c r="P1224" s="14"/>
      <c r="Q1224" s="14"/>
      <c r="R1224" s="14"/>
      <c r="S1224" s="14"/>
      <c r="T1224" s="14"/>
      <c r="U1224" s="14"/>
      <c r="V1224" s="14"/>
      <c r="W1224" s="14"/>
      <c r="X1224" s="14"/>
      <c r="Y1224" s="14"/>
      <c r="Z1224" s="14"/>
      <c r="AA1224" s="14"/>
      <c r="AB1224" s="14"/>
      <c r="AC1224" s="14"/>
      <c r="AD1224" s="14"/>
      <c r="AE1224" s="14"/>
      <c r="AF1224" s="14"/>
      <c r="AG1224" s="14"/>
      <c r="AH1224" s="14"/>
      <c r="AI1224" s="14"/>
      <c r="AJ1224" s="14"/>
      <c r="AK1224" s="14"/>
      <c r="AL1224" s="14"/>
      <c r="AM1224" s="14"/>
    </row>
    <row r="1225" spans="1:39" x14ac:dyDescent="0.3">
      <c r="A1225" s="14"/>
      <c r="B1225" s="14"/>
      <c r="C1225" s="14"/>
      <c r="D1225" s="14"/>
      <c r="E1225" s="14"/>
      <c r="F1225" s="14"/>
      <c r="G1225" s="14"/>
      <c r="H1225" s="14"/>
      <c r="I1225" s="14"/>
      <c r="J1225" s="14"/>
      <c r="K1225" s="14"/>
      <c r="L1225" s="14"/>
      <c r="M1225" s="14"/>
      <c r="N1225" s="14"/>
      <c r="O1225" s="14"/>
      <c r="P1225" s="14"/>
      <c r="Q1225" s="14"/>
      <c r="R1225" s="14"/>
      <c r="S1225" s="14"/>
      <c r="T1225" s="14"/>
      <c r="U1225" s="14"/>
      <c r="V1225" s="14"/>
      <c r="W1225" s="14"/>
      <c r="X1225" s="14"/>
      <c r="Y1225" s="14"/>
      <c r="Z1225" s="14"/>
      <c r="AA1225" s="14"/>
      <c r="AB1225" s="14"/>
      <c r="AC1225" s="14"/>
      <c r="AD1225" s="14"/>
      <c r="AE1225" s="14"/>
      <c r="AF1225" s="14"/>
      <c r="AG1225" s="14"/>
      <c r="AH1225" s="14"/>
      <c r="AI1225" s="14"/>
      <c r="AJ1225" s="14"/>
      <c r="AK1225" s="14"/>
      <c r="AL1225" s="14"/>
      <c r="AM1225" s="14"/>
    </row>
    <row r="1226" spans="1:39" x14ac:dyDescent="0.3">
      <c r="A1226" s="14"/>
      <c r="B1226" s="14"/>
      <c r="C1226" s="14"/>
      <c r="D1226" s="14"/>
      <c r="E1226" s="14"/>
      <c r="F1226" s="14"/>
      <c r="G1226" s="14"/>
      <c r="H1226" s="14"/>
      <c r="I1226" s="14"/>
      <c r="J1226" s="14"/>
      <c r="K1226" s="14"/>
      <c r="L1226" s="14"/>
      <c r="M1226" s="14"/>
      <c r="N1226" s="14"/>
      <c r="O1226" s="14"/>
      <c r="P1226" s="14"/>
      <c r="Q1226" s="14"/>
      <c r="R1226" s="14"/>
      <c r="S1226" s="14"/>
      <c r="T1226" s="14"/>
      <c r="U1226" s="14"/>
      <c r="V1226" s="14"/>
      <c r="W1226" s="14"/>
      <c r="X1226" s="14"/>
      <c r="Y1226" s="14"/>
      <c r="Z1226" s="14"/>
      <c r="AA1226" s="14"/>
      <c r="AB1226" s="14"/>
      <c r="AC1226" s="14"/>
      <c r="AD1226" s="14"/>
      <c r="AE1226" s="14"/>
      <c r="AF1226" s="14"/>
      <c r="AG1226" s="14"/>
      <c r="AH1226" s="14"/>
      <c r="AI1226" s="14"/>
      <c r="AJ1226" s="14"/>
      <c r="AK1226" s="14"/>
      <c r="AL1226" s="14"/>
      <c r="AM1226" s="14"/>
    </row>
    <row r="1227" spans="1:39" x14ac:dyDescent="0.3">
      <c r="A1227" s="14"/>
      <c r="B1227" s="14"/>
      <c r="C1227" s="14"/>
      <c r="D1227" s="14"/>
      <c r="E1227" s="14"/>
      <c r="F1227" s="14"/>
      <c r="G1227" s="14"/>
      <c r="H1227" s="14"/>
      <c r="I1227" s="14"/>
      <c r="J1227" s="14"/>
      <c r="K1227" s="14"/>
      <c r="L1227" s="14"/>
      <c r="M1227" s="14"/>
      <c r="N1227" s="14"/>
      <c r="O1227" s="14"/>
      <c r="P1227" s="14"/>
      <c r="Q1227" s="14"/>
      <c r="R1227" s="14"/>
      <c r="S1227" s="14"/>
      <c r="T1227" s="14"/>
      <c r="U1227" s="14"/>
      <c r="V1227" s="14"/>
      <c r="W1227" s="14"/>
      <c r="X1227" s="14"/>
      <c r="Y1227" s="14"/>
      <c r="Z1227" s="14"/>
      <c r="AA1227" s="14"/>
      <c r="AB1227" s="14"/>
      <c r="AC1227" s="14"/>
      <c r="AD1227" s="14"/>
      <c r="AE1227" s="14"/>
      <c r="AF1227" s="14"/>
      <c r="AG1227" s="14"/>
      <c r="AH1227" s="14"/>
      <c r="AI1227" s="14"/>
      <c r="AJ1227" s="14"/>
      <c r="AK1227" s="14"/>
      <c r="AL1227" s="14"/>
      <c r="AM1227" s="14"/>
    </row>
    <row r="1228" spans="1:39" x14ac:dyDescent="0.3">
      <c r="A1228" s="14"/>
      <c r="B1228" s="14"/>
      <c r="C1228" s="14"/>
      <c r="D1228" s="14"/>
      <c r="E1228" s="14"/>
      <c r="F1228" s="14"/>
      <c r="G1228" s="14"/>
      <c r="H1228" s="14"/>
      <c r="I1228" s="14"/>
      <c r="J1228" s="14"/>
      <c r="K1228" s="14"/>
      <c r="L1228" s="14"/>
      <c r="M1228" s="14"/>
      <c r="N1228" s="14"/>
      <c r="O1228" s="14"/>
      <c r="P1228" s="14"/>
      <c r="Q1228" s="14"/>
      <c r="R1228" s="14"/>
      <c r="S1228" s="14"/>
      <c r="T1228" s="14"/>
      <c r="U1228" s="14"/>
      <c r="V1228" s="14"/>
      <c r="W1228" s="14"/>
      <c r="X1228" s="14"/>
      <c r="Y1228" s="14"/>
      <c r="Z1228" s="14"/>
      <c r="AA1228" s="14"/>
      <c r="AB1228" s="14"/>
      <c r="AC1228" s="14"/>
      <c r="AD1228" s="14"/>
      <c r="AE1228" s="14"/>
      <c r="AF1228" s="14"/>
      <c r="AG1228" s="14"/>
      <c r="AH1228" s="14"/>
      <c r="AI1228" s="14"/>
      <c r="AJ1228" s="14"/>
      <c r="AK1228" s="14"/>
      <c r="AL1228" s="14"/>
      <c r="AM1228" s="14"/>
    </row>
    <row r="1229" spans="1:39" x14ac:dyDescent="0.3">
      <c r="A1229" s="14"/>
      <c r="B1229" s="14"/>
      <c r="C1229" s="14"/>
      <c r="D1229" s="14"/>
      <c r="E1229" s="14"/>
      <c r="F1229" s="14"/>
      <c r="G1229" s="14"/>
      <c r="H1229" s="14"/>
      <c r="I1229" s="14"/>
      <c r="J1229" s="14"/>
      <c r="K1229" s="14"/>
      <c r="L1229" s="14"/>
      <c r="M1229" s="14"/>
      <c r="N1229" s="14"/>
      <c r="O1229" s="14"/>
      <c r="P1229" s="14"/>
      <c r="Q1229" s="14"/>
      <c r="R1229" s="14"/>
      <c r="S1229" s="14"/>
      <c r="T1229" s="14"/>
      <c r="U1229" s="14"/>
      <c r="V1229" s="14"/>
      <c r="W1229" s="14"/>
      <c r="X1229" s="14"/>
      <c r="Y1229" s="14"/>
      <c r="Z1229" s="14"/>
      <c r="AA1229" s="14"/>
      <c r="AB1229" s="14"/>
      <c r="AC1229" s="14"/>
      <c r="AD1229" s="14"/>
      <c r="AE1229" s="14"/>
      <c r="AF1229" s="14"/>
      <c r="AG1229" s="14"/>
      <c r="AH1229" s="14"/>
      <c r="AI1229" s="14"/>
      <c r="AJ1229" s="14"/>
      <c r="AK1229" s="14"/>
      <c r="AL1229" s="14"/>
      <c r="AM1229" s="14"/>
    </row>
    <row r="1230" spans="1:39" x14ac:dyDescent="0.3">
      <c r="A1230" s="14"/>
      <c r="B1230" s="14"/>
      <c r="C1230" s="14"/>
      <c r="D1230" s="14"/>
      <c r="E1230" s="14"/>
      <c r="F1230" s="14"/>
      <c r="G1230" s="14"/>
      <c r="H1230" s="14"/>
      <c r="I1230" s="14"/>
      <c r="J1230" s="14"/>
      <c r="K1230" s="14"/>
      <c r="L1230" s="14"/>
      <c r="M1230" s="14"/>
      <c r="N1230" s="14"/>
      <c r="O1230" s="14"/>
      <c r="P1230" s="14"/>
      <c r="Q1230" s="14"/>
      <c r="R1230" s="14"/>
      <c r="S1230" s="14"/>
      <c r="T1230" s="14"/>
      <c r="U1230" s="14"/>
      <c r="V1230" s="14"/>
      <c r="W1230" s="14"/>
      <c r="X1230" s="14"/>
      <c r="Y1230" s="14"/>
      <c r="Z1230" s="14"/>
      <c r="AA1230" s="14"/>
      <c r="AB1230" s="14"/>
      <c r="AC1230" s="14"/>
      <c r="AD1230" s="14"/>
      <c r="AE1230" s="14"/>
      <c r="AF1230" s="14"/>
      <c r="AG1230" s="14"/>
      <c r="AH1230" s="14"/>
      <c r="AI1230" s="14"/>
      <c r="AJ1230" s="14"/>
      <c r="AK1230" s="14"/>
      <c r="AL1230" s="14"/>
      <c r="AM1230" s="14"/>
    </row>
    <row r="1231" spans="1:39" x14ac:dyDescent="0.3">
      <c r="A1231" s="14"/>
      <c r="B1231" s="14"/>
      <c r="C1231" s="14"/>
      <c r="D1231" s="14"/>
      <c r="E1231" s="14"/>
      <c r="F1231" s="14"/>
      <c r="G1231" s="14"/>
      <c r="H1231" s="14"/>
      <c r="I1231" s="14"/>
      <c r="J1231" s="14"/>
      <c r="K1231" s="14"/>
      <c r="L1231" s="14"/>
      <c r="M1231" s="14"/>
      <c r="N1231" s="14"/>
      <c r="O1231" s="14"/>
      <c r="P1231" s="14"/>
      <c r="Q1231" s="14"/>
      <c r="R1231" s="14"/>
      <c r="S1231" s="14"/>
      <c r="T1231" s="14"/>
      <c r="U1231" s="14"/>
      <c r="V1231" s="14"/>
      <c r="W1231" s="14"/>
      <c r="X1231" s="14"/>
      <c r="Y1231" s="14"/>
      <c r="Z1231" s="14"/>
      <c r="AA1231" s="14"/>
      <c r="AB1231" s="14"/>
      <c r="AC1231" s="14"/>
      <c r="AD1231" s="14"/>
      <c r="AE1231" s="14"/>
      <c r="AF1231" s="14"/>
      <c r="AG1231" s="14"/>
      <c r="AH1231" s="14"/>
      <c r="AI1231" s="14"/>
      <c r="AJ1231" s="14"/>
      <c r="AK1231" s="14"/>
      <c r="AL1231" s="14"/>
      <c r="AM1231" s="14"/>
    </row>
    <row r="1232" spans="1:39" x14ac:dyDescent="0.3">
      <c r="A1232" s="14"/>
      <c r="B1232" s="14"/>
      <c r="C1232" s="14"/>
      <c r="D1232" s="14"/>
      <c r="E1232" s="14"/>
      <c r="F1232" s="14"/>
      <c r="G1232" s="14"/>
      <c r="H1232" s="14"/>
      <c r="I1232" s="14"/>
      <c r="J1232" s="14"/>
      <c r="K1232" s="14"/>
      <c r="L1232" s="14"/>
      <c r="M1232" s="14"/>
      <c r="N1232" s="14"/>
      <c r="O1232" s="14"/>
      <c r="P1232" s="14"/>
      <c r="Q1232" s="14"/>
      <c r="R1232" s="14"/>
      <c r="S1232" s="14"/>
      <c r="T1232" s="14"/>
      <c r="U1232" s="14"/>
      <c r="V1232" s="14"/>
      <c r="W1232" s="14"/>
      <c r="X1232" s="14"/>
      <c r="Y1232" s="14"/>
      <c r="Z1232" s="14"/>
      <c r="AA1232" s="14"/>
      <c r="AB1232" s="14"/>
      <c r="AC1232" s="14"/>
      <c r="AD1232" s="14"/>
      <c r="AE1232" s="14"/>
      <c r="AF1232" s="14"/>
      <c r="AG1232" s="14"/>
      <c r="AH1232" s="14"/>
      <c r="AI1232" s="14"/>
      <c r="AJ1232" s="14"/>
      <c r="AK1232" s="14"/>
      <c r="AL1232" s="14"/>
      <c r="AM1232" s="14"/>
    </row>
    <row r="1233" spans="1:39" x14ac:dyDescent="0.3">
      <c r="A1233" s="14"/>
      <c r="B1233" s="14"/>
      <c r="C1233" s="14"/>
      <c r="D1233" s="14"/>
      <c r="E1233" s="14"/>
      <c r="F1233" s="14"/>
      <c r="G1233" s="14"/>
      <c r="H1233" s="14"/>
      <c r="I1233" s="14"/>
      <c r="J1233" s="14"/>
      <c r="K1233" s="14"/>
      <c r="L1233" s="14"/>
      <c r="M1233" s="14"/>
      <c r="N1233" s="14"/>
      <c r="O1233" s="14"/>
      <c r="P1233" s="14"/>
      <c r="Q1233" s="14"/>
      <c r="R1233" s="14"/>
      <c r="S1233" s="14"/>
      <c r="T1233" s="14"/>
      <c r="U1233" s="14"/>
      <c r="V1233" s="14"/>
      <c r="W1233" s="14"/>
      <c r="X1233" s="14"/>
      <c r="Y1233" s="14"/>
      <c r="Z1233" s="14"/>
      <c r="AA1233" s="14"/>
      <c r="AB1233" s="14"/>
      <c r="AC1233" s="14"/>
      <c r="AD1233" s="14"/>
      <c r="AE1233" s="14"/>
      <c r="AF1233" s="14"/>
      <c r="AG1233" s="14"/>
      <c r="AH1233" s="14"/>
      <c r="AI1233" s="14"/>
      <c r="AJ1233" s="14"/>
      <c r="AK1233" s="14"/>
      <c r="AL1233" s="14"/>
      <c r="AM1233" s="14"/>
    </row>
    <row r="1234" spans="1:39" x14ac:dyDescent="0.3">
      <c r="A1234" s="14"/>
      <c r="B1234" s="14"/>
      <c r="C1234" s="14"/>
      <c r="D1234" s="14"/>
      <c r="E1234" s="14"/>
      <c r="F1234" s="14"/>
      <c r="G1234" s="14"/>
      <c r="H1234" s="14"/>
      <c r="I1234" s="14"/>
      <c r="J1234" s="14"/>
      <c r="K1234" s="14"/>
      <c r="L1234" s="14"/>
      <c r="M1234" s="14"/>
      <c r="N1234" s="14"/>
      <c r="O1234" s="14"/>
      <c r="P1234" s="14"/>
      <c r="Q1234" s="14"/>
      <c r="R1234" s="14"/>
      <c r="S1234" s="14"/>
      <c r="T1234" s="14"/>
      <c r="U1234" s="14"/>
      <c r="V1234" s="14"/>
      <c r="W1234" s="14"/>
      <c r="X1234" s="14"/>
      <c r="Y1234" s="14"/>
      <c r="Z1234" s="14"/>
      <c r="AA1234" s="14"/>
      <c r="AB1234" s="14"/>
      <c r="AC1234" s="14"/>
      <c r="AD1234" s="14"/>
      <c r="AE1234" s="14"/>
      <c r="AF1234" s="14"/>
      <c r="AG1234" s="14"/>
      <c r="AH1234" s="14"/>
      <c r="AI1234" s="14"/>
      <c r="AJ1234" s="14"/>
      <c r="AK1234" s="14"/>
      <c r="AL1234" s="14"/>
      <c r="AM1234" s="14"/>
    </row>
    <row r="1235" spans="1:39" x14ac:dyDescent="0.3">
      <c r="A1235" s="14"/>
      <c r="B1235" s="14"/>
      <c r="C1235" s="14"/>
      <c r="D1235" s="14"/>
      <c r="E1235" s="14"/>
      <c r="F1235" s="14"/>
      <c r="G1235" s="14"/>
      <c r="H1235" s="14"/>
      <c r="I1235" s="14"/>
      <c r="J1235" s="14"/>
      <c r="K1235" s="14"/>
      <c r="L1235" s="14"/>
      <c r="M1235" s="14"/>
      <c r="N1235" s="14"/>
      <c r="O1235" s="14"/>
      <c r="P1235" s="14"/>
      <c r="Q1235" s="14"/>
      <c r="R1235" s="14"/>
      <c r="S1235" s="14"/>
      <c r="T1235" s="14"/>
      <c r="U1235" s="14"/>
      <c r="V1235" s="14"/>
      <c r="W1235" s="14"/>
      <c r="X1235" s="14"/>
      <c r="Y1235" s="14"/>
      <c r="Z1235" s="14"/>
      <c r="AA1235" s="14"/>
      <c r="AB1235" s="14"/>
      <c r="AC1235" s="14"/>
      <c r="AD1235" s="14"/>
      <c r="AE1235" s="14"/>
      <c r="AF1235" s="14"/>
      <c r="AG1235" s="14"/>
      <c r="AH1235" s="14"/>
      <c r="AI1235" s="14"/>
      <c r="AJ1235" s="14"/>
      <c r="AK1235" s="14"/>
      <c r="AL1235" s="14"/>
      <c r="AM1235" s="14"/>
    </row>
    <row r="1236" spans="1:39" x14ac:dyDescent="0.3">
      <c r="A1236" s="14"/>
      <c r="B1236" s="14"/>
      <c r="C1236" s="14"/>
      <c r="D1236" s="14"/>
      <c r="E1236" s="14"/>
      <c r="F1236" s="14"/>
      <c r="G1236" s="14"/>
      <c r="H1236" s="14"/>
      <c r="I1236" s="14"/>
      <c r="J1236" s="14"/>
      <c r="K1236" s="14"/>
      <c r="L1236" s="14"/>
      <c r="M1236" s="14"/>
      <c r="N1236" s="14"/>
      <c r="O1236" s="14"/>
      <c r="P1236" s="14"/>
      <c r="Q1236" s="14"/>
      <c r="R1236" s="14"/>
      <c r="S1236" s="14"/>
      <c r="T1236" s="14"/>
      <c r="U1236" s="14"/>
      <c r="V1236" s="14"/>
      <c r="W1236" s="14"/>
      <c r="X1236" s="14"/>
      <c r="Y1236" s="14"/>
      <c r="Z1236" s="14"/>
      <c r="AA1236" s="14"/>
      <c r="AB1236" s="14"/>
      <c r="AC1236" s="14"/>
      <c r="AD1236" s="14"/>
      <c r="AE1236" s="14"/>
      <c r="AF1236" s="14"/>
      <c r="AG1236" s="14"/>
      <c r="AH1236" s="14"/>
      <c r="AI1236" s="14"/>
      <c r="AJ1236" s="14"/>
      <c r="AK1236" s="14"/>
      <c r="AL1236" s="14"/>
      <c r="AM1236" s="14"/>
    </row>
    <row r="1237" spans="1:39" x14ac:dyDescent="0.3">
      <c r="A1237" s="14"/>
      <c r="B1237" s="14"/>
      <c r="C1237" s="14"/>
      <c r="D1237" s="14"/>
      <c r="E1237" s="14"/>
      <c r="F1237" s="14"/>
      <c r="G1237" s="14"/>
      <c r="H1237" s="14"/>
      <c r="I1237" s="14"/>
      <c r="J1237" s="14"/>
      <c r="K1237" s="14"/>
      <c r="L1237" s="14"/>
      <c r="M1237" s="14"/>
      <c r="N1237" s="14"/>
      <c r="O1237" s="14"/>
      <c r="P1237" s="14"/>
      <c r="Q1237" s="14"/>
      <c r="R1237" s="14"/>
      <c r="S1237" s="14"/>
      <c r="T1237" s="14"/>
      <c r="U1237" s="14"/>
      <c r="V1237" s="14"/>
      <c r="W1237" s="14"/>
      <c r="X1237" s="14"/>
      <c r="Y1237" s="14"/>
      <c r="Z1237" s="14"/>
      <c r="AA1237" s="14"/>
      <c r="AB1237" s="14"/>
      <c r="AC1237" s="14"/>
      <c r="AD1237" s="14"/>
      <c r="AE1237" s="14"/>
      <c r="AF1237" s="14"/>
      <c r="AG1237" s="14"/>
      <c r="AH1237" s="14"/>
      <c r="AI1237" s="14"/>
      <c r="AJ1237" s="14"/>
      <c r="AK1237" s="14"/>
      <c r="AL1237" s="14"/>
      <c r="AM1237" s="14"/>
    </row>
    <row r="1238" spans="1:39" x14ac:dyDescent="0.3">
      <c r="A1238" s="14"/>
      <c r="B1238" s="14"/>
      <c r="C1238" s="14"/>
      <c r="D1238" s="14"/>
      <c r="E1238" s="14"/>
      <c r="F1238" s="14"/>
      <c r="G1238" s="14"/>
      <c r="H1238" s="14"/>
      <c r="I1238" s="14"/>
      <c r="J1238" s="14"/>
      <c r="K1238" s="14"/>
      <c r="L1238" s="14"/>
      <c r="M1238" s="14"/>
      <c r="N1238" s="14"/>
      <c r="O1238" s="14"/>
      <c r="P1238" s="14"/>
      <c r="Q1238" s="14"/>
      <c r="R1238" s="14"/>
      <c r="S1238" s="14"/>
      <c r="T1238" s="14"/>
      <c r="U1238" s="14"/>
      <c r="V1238" s="14"/>
      <c r="W1238" s="14"/>
      <c r="X1238" s="14"/>
      <c r="Y1238" s="14"/>
      <c r="Z1238" s="14"/>
      <c r="AA1238" s="14"/>
      <c r="AB1238" s="14"/>
      <c r="AC1238" s="14"/>
      <c r="AD1238" s="14"/>
      <c r="AE1238" s="14"/>
      <c r="AF1238" s="14"/>
      <c r="AG1238" s="14"/>
      <c r="AH1238" s="14"/>
      <c r="AI1238" s="14"/>
      <c r="AJ1238" s="14"/>
      <c r="AK1238" s="14"/>
      <c r="AL1238" s="14"/>
      <c r="AM1238" s="14"/>
    </row>
    <row r="1239" spans="1:39" x14ac:dyDescent="0.3">
      <c r="A1239" s="14"/>
      <c r="B1239" s="14"/>
      <c r="C1239" s="14"/>
      <c r="D1239" s="14"/>
      <c r="E1239" s="14"/>
      <c r="F1239" s="14"/>
      <c r="G1239" s="14"/>
      <c r="H1239" s="14"/>
      <c r="I1239" s="14"/>
      <c r="J1239" s="14"/>
      <c r="K1239" s="14"/>
      <c r="L1239" s="14"/>
      <c r="M1239" s="14"/>
      <c r="N1239" s="14"/>
      <c r="O1239" s="14"/>
      <c r="P1239" s="14"/>
      <c r="Q1239" s="14"/>
      <c r="R1239" s="14"/>
      <c r="S1239" s="14"/>
      <c r="T1239" s="14"/>
      <c r="U1239" s="14"/>
      <c r="V1239" s="14"/>
      <c r="W1239" s="14"/>
      <c r="X1239" s="14"/>
      <c r="Y1239" s="14"/>
      <c r="Z1239" s="14"/>
      <c r="AA1239" s="14"/>
      <c r="AB1239" s="14"/>
      <c r="AC1239" s="14"/>
      <c r="AD1239" s="14"/>
      <c r="AE1239" s="14"/>
      <c r="AF1239" s="14"/>
      <c r="AG1239" s="14"/>
      <c r="AH1239" s="14"/>
      <c r="AI1239" s="14"/>
      <c r="AJ1239" s="14"/>
      <c r="AK1239" s="14"/>
      <c r="AL1239" s="14"/>
      <c r="AM1239" s="14"/>
    </row>
    <row r="1240" spans="1:39" x14ac:dyDescent="0.3">
      <c r="A1240" s="14"/>
      <c r="B1240" s="14"/>
      <c r="C1240" s="14"/>
      <c r="D1240" s="14"/>
      <c r="E1240" s="14"/>
      <c r="F1240" s="14"/>
      <c r="G1240" s="14"/>
      <c r="H1240" s="14"/>
      <c r="I1240" s="14"/>
      <c r="J1240" s="14"/>
      <c r="K1240" s="14"/>
      <c r="L1240" s="14"/>
      <c r="M1240" s="14"/>
      <c r="N1240" s="14"/>
      <c r="O1240" s="14"/>
      <c r="P1240" s="14"/>
      <c r="Q1240" s="14"/>
      <c r="R1240" s="14"/>
      <c r="S1240" s="14"/>
      <c r="T1240" s="14"/>
      <c r="U1240" s="14"/>
      <c r="V1240" s="14"/>
      <c r="W1240" s="14"/>
      <c r="X1240" s="14"/>
      <c r="Y1240" s="14"/>
      <c r="Z1240" s="14"/>
      <c r="AA1240" s="14"/>
      <c r="AB1240" s="14"/>
      <c r="AC1240" s="14"/>
      <c r="AD1240" s="14"/>
      <c r="AE1240" s="14"/>
      <c r="AF1240" s="14"/>
      <c r="AG1240" s="14"/>
      <c r="AH1240" s="14"/>
      <c r="AI1240" s="14"/>
      <c r="AJ1240" s="14"/>
      <c r="AK1240" s="14"/>
      <c r="AL1240" s="14"/>
      <c r="AM1240" s="14"/>
    </row>
    <row r="1241" spans="1:39" x14ac:dyDescent="0.3">
      <c r="A1241" s="14"/>
      <c r="B1241" s="14"/>
      <c r="C1241" s="14"/>
      <c r="D1241" s="14"/>
      <c r="E1241" s="14"/>
      <c r="F1241" s="14"/>
      <c r="G1241" s="14"/>
      <c r="H1241" s="14"/>
      <c r="I1241" s="14"/>
      <c r="J1241" s="14"/>
      <c r="K1241" s="14"/>
      <c r="L1241" s="14"/>
      <c r="M1241" s="14"/>
      <c r="N1241" s="14"/>
      <c r="O1241" s="14"/>
      <c r="P1241" s="14"/>
      <c r="Q1241" s="14"/>
      <c r="R1241" s="14"/>
      <c r="S1241" s="14"/>
      <c r="T1241" s="14"/>
      <c r="U1241" s="14"/>
      <c r="V1241" s="14"/>
      <c r="W1241" s="14"/>
      <c r="X1241" s="14"/>
      <c r="Y1241" s="14"/>
      <c r="Z1241" s="14"/>
      <c r="AA1241" s="14"/>
      <c r="AB1241" s="14"/>
      <c r="AC1241" s="14"/>
      <c r="AD1241" s="14"/>
      <c r="AE1241" s="14"/>
      <c r="AF1241" s="14"/>
      <c r="AG1241" s="14"/>
      <c r="AH1241" s="14"/>
      <c r="AI1241" s="14"/>
      <c r="AJ1241" s="14"/>
      <c r="AK1241" s="14"/>
      <c r="AL1241" s="14"/>
      <c r="AM1241" s="14"/>
    </row>
    <row r="1242" spans="1:39" x14ac:dyDescent="0.3">
      <c r="A1242" s="14"/>
      <c r="B1242" s="14"/>
      <c r="C1242" s="14"/>
      <c r="D1242" s="14"/>
      <c r="E1242" s="14"/>
      <c r="F1242" s="14"/>
      <c r="G1242" s="14"/>
      <c r="H1242" s="14"/>
      <c r="I1242" s="14"/>
      <c r="J1242" s="14"/>
      <c r="K1242" s="14"/>
      <c r="L1242" s="14"/>
      <c r="M1242" s="14"/>
      <c r="N1242" s="14"/>
      <c r="O1242" s="14"/>
      <c r="P1242" s="14"/>
      <c r="Q1242" s="14"/>
      <c r="R1242" s="14"/>
      <c r="S1242" s="14"/>
      <c r="T1242" s="14"/>
      <c r="U1242" s="14"/>
      <c r="V1242" s="14"/>
      <c r="W1242" s="14"/>
      <c r="X1242" s="14"/>
      <c r="Y1242" s="14"/>
      <c r="Z1242" s="14"/>
      <c r="AA1242" s="14"/>
      <c r="AB1242" s="14"/>
      <c r="AC1242" s="14"/>
      <c r="AD1242" s="14"/>
      <c r="AE1242" s="14"/>
      <c r="AF1242" s="14"/>
      <c r="AG1242" s="14"/>
      <c r="AH1242" s="14"/>
      <c r="AI1242" s="14"/>
      <c r="AJ1242" s="14"/>
      <c r="AK1242" s="14"/>
      <c r="AL1242" s="14"/>
      <c r="AM1242" s="14"/>
    </row>
    <row r="1243" spans="1:39" x14ac:dyDescent="0.3">
      <c r="A1243" s="14"/>
      <c r="B1243" s="14"/>
      <c r="C1243" s="14"/>
      <c r="D1243" s="14"/>
      <c r="E1243" s="14"/>
      <c r="F1243" s="14"/>
      <c r="G1243" s="14"/>
      <c r="H1243" s="14"/>
      <c r="I1243" s="14"/>
      <c r="J1243" s="14"/>
      <c r="K1243" s="14"/>
      <c r="L1243" s="14"/>
      <c r="M1243" s="14"/>
      <c r="N1243" s="14"/>
      <c r="O1243" s="14"/>
      <c r="P1243" s="14"/>
      <c r="Q1243" s="14"/>
      <c r="R1243" s="14"/>
      <c r="S1243" s="14"/>
      <c r="T1243" s="14"/>
      <c r="U1243" s="14"/>
      <c r="V1243" s="14"/>
      <c r="W1243" s="14"/>
      <c r="X1243" s="14"/>
      <c r="Y1243" s="14"/>
      <c r="Z1243" s="14"/>
      <c r="AA1243" s="14"/>
      <c r="AB1243" s="14"/>
      <c r="AC1243" s="14"/>
      <c r="AD1243" s="14"/>
      <c r="AE1243" s="14"/>
      <c r="AF1243" s="14"/>
      <c r="AG1243" s="14"/>
      <c r="AH1243" s="14"/>
      <c r="AI1243" s="14"/>
      <c r="AJ1243" s="14"/>
      <c r="AK1243" s="14"/>
      <c r="AL1243" s="14"/>
      <c r="AM1243" s="14"/>
    </row>
    <row r="1244" spans="1:39" x14ac:dyDescent="0.3">
      <c r="A1244" s="14"/>
      <c r="B1244" s="14"/>
      <c r="C1244" s="14"/>
      <c r="D1244" s="14"/>
      <c r="E1244" s="14"/>
      <c r="F1244" s="14"/>
      <c r="G1244" s="14"/>
      <c r="H1244" s="14"/>
      <c r="I1244" s="14"/>
      <c r="J1244" s="14"/>
      <c r="K1244" s="14"/>
      <c r="L1244" s="14"/>
      <c r="M1244" s="14"/>
      <c r="N1244" s="14"/>
      <c r="O1244" s="14"/>
      <c r="P1244" s="14"/>
      <c r="Q1244" s="14"/>
      <c r="R1244" s="14"/>
      <c r="S1244" s="14"/>
      <c r="T1244" s="14"/>
      <c r="U1244" s="14"/>
      <c r="V1244" s="14"/>
      <c r="W1244" s="14"/>
      <c r="X1244" s="14"/>
      <c r="Y1244" s="14"/>
      <c r="Z1244" s="14"/>
      <c r="AA1244" s="14"/>
      <c r="AB1244" s="14"/>
      <c r="AC1244" s="14"/>
      <c r="AD1244" s="14"/>
      <c r="AE1244" s="14"/>
      <c r="AF1244" s="14"/>
      <c r="AG1244" s="14"/>
      <c r="AH1244" s="14"/>
      <c r="AI1244" s="14"/>
      <c r="AJ1244" s="14"/>
      <c r="AK1244" s="14"/>
      <c r="AL1244" s="14"/>
      <c r="AM1244" s="14"/>
    </row>
    <row r="1245" spans="1:39" x14ac:dyDescent="0.3">
      <c r="A1245" s="14"/>
      <c r="B1245" s="14"/>
      <c r="C1245" s="14"/>
      <c r="D1245" s="14"/>
      <c r="E1245" s="14"/>
      <c r="F1245" s="14"/>
      <c r="G1245" s="14"/>
      <c r="H1245" s="14"/>
      <c r="I1245" s="14"/>
      <c r="J1245" s="14"/>
      <c r="K1245" s="14"/>
      <c r="L1245" s="14"/>
      <c r="M1245" s="14"/>
      <c r="N1245" s="14"/>
      <c r="O1245" s="14"/>
      <c r="P1245" s="14"/>
      <c r="Q1245" s="14"/>
      <c r="R1245" s="14"/>
      <c r="S1245" s="14"/>
      <c r="T1245" s="14"/>
      <c r="U1245" s="14"/>
      <c r="V1245" s="14"/>
      <c r="W1245" s="14"/>
      <c r="X1245" s="14"/>
      <c r="Y1245" s="14"/>
      <c r="Z1245" s="14"/>
      <c r="AA1245" s="14"/>
      <c r="AB1245" s="14"/>
      <c r="AC1245" s="14"/>
      <c r="AD1245" s="14"/>
      <c r="AE1245" s="14"/>
      <c r="AF1245" s="14"/>
      <c r="AG1245" s="14"/>
      <c r="AH1245" s="14"/>
      <c r="AI1245" s="14"/>
      <c r="AJ1245" s="14"/>
      <c r="AK1245" s="14"/>
      <c r="AL1245" s="14"/>
      <c r="AM1245" s="14"/>
    </row>
    <row r="1246" spans="1:39" x14ac:dyDescent="0.3">
      <c r="A1246" s="14"/>
      <c r="B1246" s="14"/>
      <c r="C1246" s="14"/>
      <c r="D1246" s="14"/>
      <c r="E1246" s="14"/>
      <c r="F1246" s="14"/>
      <c r="G1246" s="14"/>
      <c r="H1246" s="14"/>
      <c r="I1246" s="14"/>
      <c r="J1246" s="14"/>
      <c r="K1246" s="14"/>
      <c r="L1246" s="14"/>
      <c r="M1246" s="14"/>
      <c r="N1246" s="14"/>
      <c r="O1246" s="14"/>
      <c r="P1246" s="14"/>
      <c r="Q1246" s="14"/>
      <c r="R1246" s="14"/>
      <c r="S1246" s="14"/>
      <c r="T1246" s="14"/>
      <c r="U1246" s="14"/>
      <c r="V1246" s="14"/>
      <c r="W1246" s="14"/>
      <c r="X1246" s="14"/>
      <c r="Y1246" s="14"/>
      <c r="Z1246" s="14"/>
      <c r="AA1246" s="14"/>
      <c r="AB1246" s="14"/>
      <c r="AC1246" s="14"/>
      <c r="AD1246" s="14"/>
      <c r="AE1246" s="14"/>
      <c r="AF1246" s="14"/>
      <c r="AG1246" s="14"/>
      <c r="AH1246" s="14"/>
      <c r="AI1246" s="14"/>
      <c r="AJ1246" s="14"/>
      <c r="AK1246" s="14"/>
      <c r="AL1246" s="14"/>
      <c r="AM1246" s="14"/>
    </row>
    <row r="1247" spans="1:39" x14ac:dyDescent="0.3">
      <c r="A1247" s="14"/>
      <c r="B1247" s="14"/>
      <c r="C1247" s="14"/>
      <c r="D1247" s="14"/>
      <c r="E1247" s="14"/>
      <c r="F1247" s="14"/>
      <c r="G1247" s="14"/>
      <c r="H1247" s="14"/>
      <c r="I1247" s="14"/>
      <c r="J1247" s="14"/>
      <c r="K1247" s="14"/>
      <c r="L1247" s="14"/>
      <c r="M1247" s="14"/>
      <c r="N1247" s="14"/>
      <c r="O1247" s="14"/>
      <c r="P1247" s="14"/>
      <c r="Q1247" s="14"/>
      <c r="R1247" s="14"/>
      <c r="S1247" s="14"/>
      <c r="T1247" s="14"/>
      <c r="U1247" s="14"/>
      <c r="V1247" s="14"/>
      <c r="W1247" s="14"/>
      <c r="X1247" s="14"/>
      <c r="Y1247" s="14"/>
      <c r="Z1247" s="14"/>
      <c r="AA1247" s="14"/>
      <c r="AB1247" s="14"/>
      <c r="AC1247" s="14"/>
      <c r="AD1247" s="14"/>
      <c r="AE1247" s="14"/>
      <c r="AF1247" s="14"/>
      <c r="AG1247" s="14"/>
      <c r="AH1247" s="14"/>
      <c r="AI1247" s="14"/>
      <c r="AJ1247" s="14"/>
      <c r="AK1247" s="14"/>
      <c r="AL1247" s="14"/>
      <c r="AM1247" s="14"/>
    </row>
    <row r="1248" spans="1:39" x14ac:dyDescent="0.3">
      <c r="A1248" s="14"/>
      <c r="B1248" s="14"/>
      <c r="C1248" s="14"/>
      <c r="D1248" s="14"/>
      <c r="E1248" s="14"/>
      <c r="F1248" s="14"/>
      <c r="G1248" s="14"/>
      <c r="H1248" s="14"/>
      <c r="I1248" s="14"/>
      <c r="J1248" s="14"/>
      <c r="K1248" s="14"/>
      <c r="L1248" s="14"/>
      <c r="M1248" s="14"/>
      <c r="N1248" s="14"/>
      <c r="O1248" s="14"/>
      <c r="P1248" s="14"/>
      <c r="Q1248" s="14"/>
      <c r="R1248" s="14"/>
      <c r="S1248" s="14"/>
      <c r="T1248" s="14"/>
      <c r="U1248" s="14"/>
      <c r="V1248" s="14"/>
      <c r="W1248" s="14"/>
      <c r="X1248" s="14"/>
      <c r="Y1248" s="14"/>
      <c r="Z1248" s="14"/>
      <c r="AA1248" s="14"/>
      <c r="AB1248" s="14"/>
      <c r="AC1248" s="14"/>
      <c r="AD1248" s="14"/>
      <c r="AE1248" s="14"/>
      <c r="AF1248" s="14"/>
      <c r="AG1248" s="14"/>
      <c r="AH1248" s="14"/>
      <c r="AI1248" s="14"/>
      <c r="AJ1248" s="14"/>
      <c r="AK1248" s="14"/>
      <c r="AL1248" s="14"/>
      <c r="AM1248" s="14"/>
    </row>
    <row r="1249" spans="1:39" x14ac:dyDescent="0.3">
      <c r="A1249" s="14"/>
      <c r="B1249" s="14"/>
      <c r="C1249" s="14"/>
      <c r="D1249" s="14"/>
      <c r="E1249" s="14"/>
      <c r="F1249" s="14"/>
      <c r="G1249" s="14"/>
      <c r="H1249" s="14"/>
      <c r="I1249" s="14"/>
      <c r="J1249" s="14"/>
      <c r="K1249" s="14"/>
      <c r="L1249" s="14"/>
      <c r="M1249" s="14"/>
      <c r="N1249" s="14"/>
      <c r="O1249" s="14"/>
      <c r="P1249" s="14"/>
      <c r="Q1249" s="14"/>
      <c r="R1249" s="14"/>
      <c r="S1249" s="14"/>
      <c r="T1249" s="14"/>
      <c r="U1249" s="14"/>
      <c r="V1249" s="14"/>
      <c r="W1249" s="14"/>
      <c r="X1249" s="14"/>
      <c r="Y1249" s="14"/>
      <c r="Z1249" s="14"/>
      <c r="AA1249" s="14"/>
      <c r="AB1249" s="14"/>
      <c r="AC1249" s="14"/>
      <c r="AD1249" s="14"/>
      <c r="AE1249" s="14"/>
      <c r="AF1249" s="14"/>
      <c r="AG1249" s="14"/>
      <c r="AH1249" s="14"/>
      <c r="AI1249" s="14"/>
      <c r="AJ1249" s="14"/>
      <c r="AK1249" s="14"/>
      <c r="AL1249" s="14"/>
      <c r="AM1249" s="14"/>
    </row>
    <row r="1250" spans="1:39" x14ac:dyDescent="0.3">
      <c r="A1250" s="14"/>
      <c r="B1250" s="14"/>
      <c r="C1250" s="14"/>
      <c r="D1250" s="14"/>
      <c r="E1250" s="14"/>
      <c r="F1250" s="14"/>
      <c r="G1250" s="14"/>
      <c r="H1250" s="14"/>
      <c r="I1250" s="14"/>
      <c r="J1250" s="14"/>
      <c r="K1250" s="14"/>
      <c r="L1250" s="14"/>
      <c r="M1250" s="14"/>
      <c r="N1250" s="14"/>
      <c r="O1250" s="14"/>
      <c r="P1250" s="14"/>
      <c r="Q1250" s="14"/>
      <c r="R1250" s="14"/>
      <c r="S1250" s="14"/>
      <c r="T1250" s="14"/>
      <c r="U1250" s="14"/>
      <c r="V1250" s="14"/>
      <c r="W1250" s="14"/>
      <c r="X1250" s="14"/>
      <c r="Y1250" s="14"/>
      <c r="Z1250" s="14"/>
      <c r="AA1250" s="14"/>
      <c r="AB1250" s="14"/>
      <c r="AC1250" s="14"/>
      <c r="AD1250" s="14"/>
      <c r="AE1250" s="14"/>
      <c r="AF1250" s="14"/>
      <c r="AG1250" s="14"/>
      <c r="AH1250" s="14"/>
      <c r="AI1250" s="14"/>
      <c r="AJ1250" s="14"/>
      <c r="AK1250" s="14"/>
      <c r="AL1250" s="14"/>
      <c r="AM1250" s="14"/>
    </row>
    <row r="1251" spans="1:39" x14ac:dyDescent="0.3">
      <c r="A1251" s="14"/>
      <c r="B1251" s="14"/>
      <c r="C1251" s="14"/>
      <c r="D1251" s="14"/>
      <c r="E1251" s="14"/>
      <c r="F1251" s="14"/>
      <c r="G1251" s="14"/>
      <c r="H1251" s="14"/>
      <c r="I1251" s="14"/>
      <c r="J1251" s="14"/>
      <c r="K1251" s="14"/>
      <c r="L1251" s="14"/>
      <c r="M1251" s="14"/>
      <c r="N1251" s="14"/>
      <c r="O1251" s="14"/>
      <c r="P1251" s="14"/>
      <c r="Q1251" s="14"/>
      <c r="R1251" s="14"/>
      <c r="S1251" s="14"/>
      <c r="T1251" s="14"/>
      <c r="U1251" s="14"/>
      <c r="V1251" s="14"/>
      <c r="W1251" s="14"/>
      <c r="X1251" s="14"/>
      <c r="Y1251" s="14"/>
      <c r="Z1251" s="14"/>
      <c r="AA1251" s="14"/>
      <c r="AB1251" s="14"/>
      <c r="AC1251" s="14"/>
      <c r="AD1251" s="14"/>
      <c r="AE1251" s="14"/>
      <c r="AF1251" s="14"/>
      <c r="AG1251" s="14"/>
      <c r="AH1251" s="14"/>
      <c r="AI1251" s="14"/>
      <c r="AJ1251" s="14"/>
      <c r="AK1251" s="14"/>
      <c r="AL1251" s="14"/>
      <c r="AM1251" s="14"/>
    </row>
    <row r="1252" spans="1:39" x14ac:dyDescent="0.3">
      <c r="A1252" s="14"/>
      <c r="B1252" s="14"/>
      <c r="C1252" s="14"/>
      <c r="D1252" s="14"/>
      <c r="E1252" s="14"/>
      <c r="F1252" s="14"/>
      <c r="G1252" s="14"/>
      <c r="H1252" s="14"/>
      <c r="I1252" s="14"/>
      <c r="J1252" s="14"/>
      <c r="K1252" s="14"/>
      <c r="L1252" s="14"/>
      <c r="M1252" s="14"/>
      <c r="N1252" s="14"/>
      <c r="O1252" s="14"/>
      <c r="P1252" s="14"/>
      <c r="Q1252" s="14"/>
      <c r="R1252" s="14"/>
      <c r="S1252" s="14"/>
      <c r="T1252" s="14"/>
      <c r="U1252" s="14"/>
      <c r="V1252" s="14"/>
      <c r="W1252" s="14"/>
      <c r="X1252" s="14"/>
      <c r="Y1252" s="14"/>
      <c r="Z1252" s="14"/>
      <c r="AA1252" s="14"/>
      <c r="AB1252" s="14"/>
      <c r="AC1252" s="14"/>
      <c r="AD1252" s="14"/>
      <c r="AE1252" s="14"/>
      <c r="AF1252" s="14"/>
      <c r="AG1252" s="14"/>
      <c r="AH1252" s="14"/>
      <c r="AI1252" s="14"/>
      <c r="AJ1252" s="14"/>
      <c r="AK1252" s="14"/>
      <c r="AL1252" s="14"/>
      <c r="AM1252" s="14"/>
    </row>
    <row r="1253" spans="1:39" x14ac:dyDescent="0.3">
      <c r="A1253" s="14"/>
      <c r="B1253" s="14"/>
      <c r="C1253" s="14"/>
      <c r="D1253" s="14"/>
      <c r="E1253" s="14"/>
      <c r="F1253" s="14"/>
      <c r="G1253" s="14"/>
      <c r="H1253" s="14"/>
      <c r="I1253" s="14"/>
      <c r="J1253" s="14"/>
      <c r="K1253" s="14"/>
      <c r="L1253" s="14"/>
      <c r="M1253" s="14"/>
      <c r="N1253" s="14"/>
      <c r="O1253" s="14"/>
      <c r="P1253" s="14"/>
      <c r="Q1253" s="14"/>
      <c r="R1253" s="14"/>
      <c r="S1253" s="14"/>
      <c r="T1253" s="14"/>
      <c r="U1253" s="14"/>
      <c r="V1253" s="14"/>
      <c r="W1253" s="14"/>
      <c r="X1253" s="14"/>
      <c r="Y1253" s="14"/>
      <c r="Z1253" s="14"/>
      <c r="AA1253" s="14"/>
      <c r="AB1253" s="14"/>
      <c r="AC1253" s="14"/>
      <c r="AD1253" s="14"/>
      <c r="AE1253" s="14"/>
      <c r="AF1253" s="14"/>
      <c r="AG1253" s="14"/>
      <c r="AH1253" s="14"/>
      <c r="AI1253" s="14"/>
      <c r="AJ1253" s="14"/>
      <c r="AK1253" s="14"/>
      <c r="AL1253" s="14"/>
      <c r="AM1253" s="14"/>
    </row>
    <row r="1254" spans="1:39" x14ac:dyDescent="0.3">
      <c r="A1254" s="14"/>
      <c r="B1254" s="14"/>
      <c r="C1254" s="14"/>
      <c r="D1254" s="14"/>
      <c r="E1254" s="14"/>
      <c r="F1254" s="14"/>
      <c r="G1254" s="14"/>
      <c r="H1254" s="14"/>
      <c r="I1254" s="14"/>
      <c r="J1254" s="14"/>
      <c r="K1254" s="14"/>
      <c r="L1254" s="14"/>
      <c r="M1254" s="14"/>
      <c r="N1254" s="14"/>
      <c r="O1254" s="14"/>
      <c r="P1254" s="14"/>
      <c r="Q1254" s="14"/>
      <c r="R1254" s="14"/>
      <c r="S1254" s="14"/>
      <c r="T1254" s="14"/>
      <c r="U1254" s="14"/>
      <c r="V1254" s="14"/>
      <c r="W1254" s="14"/>
      <c r="X1254" s="14"/>
      <c r="Y1254" s="14"/>
      <c r="Z1254" s="14"/>
      <c r="AA1254" s="14"/>
      <c r="AB1254" s="14"/>
      <c r="AC1254" s="14"/>
      <c r="AD1254" s="14"/>
      <c r="AE1254" s="14"/>
      <c r="AF1254" s="14"/>
      <c r="AG1254" s="14"/>
      <c r="AH1254" s="14"/>
      <c r="AI1254" s="14"/>
      <c r="AJ1254" s="14"/>
      <c r="AK1254" s="14"/>
      <c r="AL1254" s="14"/>
      <c r="AM1254" s="14"/>
    </row>
    <row r="1255" spans="1:39" x14ac:dyDescent="0.3">
      <c r="A1255" s="14"/>
      <c r="B1255" s="14"/>
      <c r="C1255" s="14"/>
      <c r="D1255" s="14"/>
      <c r="E1255" s="14"/>
      <c r="F1255" s="14"/>
      <c r="G1255" s="14"/>
      <c r="H1255" s="14"/>
      <c r="I1255" s="14"/>
      <c r="J1255" s="14"/>
      <c r="K1255" s="14"/>
      <c r="L1255" s="14"/>
      <c r="M1255" s="14"/>
      <c r="N1255" s="14"/>
      <c r="O1255" s="14"/>
      <c r="P1255" s="14"/>
      <c r="Q1255" s="14"/>
      <c r="R1255" s="14"/>
      <c r="S1255" s="14"/>
      <c r="T1255" s="14"/>
      <c r="U1255" s="14"/>
      <c r="V1255" s="14"/>
      <c r="W1255" s="14"/>
      <c r="X1255" s="14"/>
      <c r="Y1255" s="14"/>
      <c r="Z1255" s="14"/>
      <c r="AA1255" s="14"/>
      <c r="AB1255" s="14"/>
      <c r="AC1255" s="14"/>
      <c r="AD1255" s="14"/>
      <c r="AE1255" s="14"/>
      <c r="AF1255" s="14"/>
      <c r="AG1255" s="14"/>
      <c r="AH1255" s="14"/>
      <c r="AI1255" s="14"/>
      <c r="AJ1255" s="14"/>
      <c r="AK1255" s="14"/>
      <c r="AL1255" s="14"/>
      <c r="AM1255" s="14"/>
    </row>
    <row r="1256" spans="1:39" x14ac:dyDescent="0.3">
      <c r="A1256" s="14"/>
      <c r="B1256" s="14"/>
      <c r="C1256" s="14"/>
      <c r="D1256" s="14"/>
      <c r="E1256" s="14"/>
      <c r="F1256" s="14"/>
      <c r="G1256" s="14"/>
      <c r="H1256" s="14"/>
      <c r="I1256" s="14"/>
      <c r="J1256" s="14"/>
      <c r="K1256" s="14"/>
      <c r="L1256" s="14"/>
      <c r="M1256" s="14"/>
      <c r="N1256" s="14"/>
      <c r="O1256" s="14"/>
      <c r="P1256" s="14"/>
      <c r="Q1256" s="14"/>
      <c r="R1256" s="14"/>
      <c r="S1256" s="14"/>
      <c r="T1256" s="14"/>
      <c r="U1256" s="14"/>
      <c r="V1256" s="14"/>
      <c r="W1256" s="14"/>
      <c r="X1256" s="14"/>
      <c r="Y1256" s="14"/>
      <c r="Z1256" s="14"/>
      <c r="AA1256" s="14"/>
      <c r="AB1256" s="14"/>
      <c r="AC1256" s="14"/>
      <c r="AD1256" s="14"/>
      <c r="AE1256" s="14"/>
      <c r="AF1256" s="14"/>
      <c r="AG1256" s="14"/>
      <c r="AH1256" s="14"/>
      <c r="AI1256" s="14"/>
      <c r="AJ1256" s="14"/>
      <c r="AK1256" s="14"/>
      <c r="AL1256" s="14"/>
      <c r="AM1256" s="14"/>
    </row>
    <row r="1257" spans="1:39" x14ac:dyDescent="0.3">
      <c r="A1257" s="14"/>
      <c r="B1257" s="14"/>
      <c r="C1257" s="14"/>
      <c r="D1257" s="14"/>
      <c r="E1257" s="14"/>
      <c r="F1257" s="14"/>
      <c r="G1257" s="14"/>
      <c r="H1257" s="14"/>
      <c r="I1257" s="14"/>
      <c r="J1257" s="14"/>
      <c r="K1257" s="14"/>
      <c r="L1257" s="14"/>
      <c r="M1257" s="14"/>
      <c r="N1257" s="14"/>
      <c r="O1257" s="14"/>
      <c r="P1257" s="14"/>
      <c r="Q1257" s="14"/>
      <c r="R1257" s="14"/>
      <c r="S1257" s="14"/>
      <c r="T1257" s="14"/>
      <c r="U1257" s="14"/>
      <c r="V1257" s="14"/>
      <c r="W1257" s="14"/>
      <c r="X1257" s="14"/>
      <c r="Y1257" s="14"/>
      <c r="Z1257" s="14"/>
      <c r="AA1257" s="14"/>
      <c r="AB1257" s="14"/>
      <c r="AC1257" s="14"/>
      <c r="AD1257" s="14"/>
      <c r="AE1257" s="14"/>
      <c r="AF1257" s="14"/>
      <c r="AG1257" s="14"/>
      <c r="AH1257" s="14"/>
      <c r="AI1257" s="14"/>
      <c r="AJ1257" s="14"/>
      <c r="AK1257" s="14"/>
      <c r="AL1257" s="14"/>
      <c r="AM1257" s="14"/>
    </row>
    <row r="1258" spans="1:39" x14ac:dyDescent="0.3">
      <c r="A1258" s="14"/>
      <c r="B1258" s="14"/>
      <c r="C1258" s="14"/>
      <c r="D1258" s="14"/>
      <c r="E1258" s="14"/>
      <c r="F1258" s="14"/>
      <c r="G1258" s="14"/>
      <c r="H1258" s="14"/>
      <c r="I1258" s="14"/>
      <c r="J1258" s="14"/>
      <c r="K1258" s="14"/>
      <c r="L1258" s="14"/>
      <c r="M1258" s="14"/>
      <c r="N1258" s="14"/>
      <c r="O1258" s="14"/>
      <c r="P1258" s="14"/>
      <c r="Q1258" s="14"/>
      <c r="R1258" s="14"/>
      <c r="S1258" s="14"/>
      <c r="T1258" s="14"/>
      <c r="U1258" s="14"/>
      <c r="V1258" s="14"/>
      <c r="W1258" s="14"/>
      <c r="X1258" s="14"/>
      <c r="Y1258" s="14"/>
      <c r="Z1258" s="14"/>
      <c r="AA1258" s="14"/>
      <c r="AB1258" s="14"/>
      <c r="AC1258" s="14"/>
      <c r="AD1258" s="14"/>
      <c r="AE1258" s="14"/>
      <c r="AF1258" s="14"/>
      <c r="AG1258" s="14"/>
      <c r="AH1258" s="14"/>
      <c r="AI1258" s="14"/>
      <c r="AJ1258" s="14"/>
      <c r="AK1258" s="14"/>
      <c r="AL1258" s="14"/>
      <c r="AM1258" s="14"/>
    </row>
    <row r="1259" spans="1:39" x14ac:dyDescent="0.3">
      <c r="A1259" s="14"/>
      <c r="B1259" s="14"/>
      <c r="C1259" s="14"/>
      <c r="D1259" s="14"/>
      <c r="E1259" s="14"/>
      <c r="F1259" s="14"/>
      <c r="G1259" s="14"/>
      <c r="H1259" s="14"/>
      <c r="I1259" s="14"/>
      <c r="J1259" s="14"/>
      <c r="K1259" s="14"/>
      <c r="L1259" s="14"/>
      <c r="M1259" s="14"/>
      <c r="N1259" s="14"/>
      <c r="O1259" s="14"/>
      <c r="P1259" s="14"/>
      <c r="Q1259" s="14"/>
      <c r="R1259" s="14"/>
      <c r="S1259" s="14"/>
      <c r="T1259" s="14"/>
      <c r="U1259" s="14"/>
      <c r="V1259" s="14"/>
      <c r="W1259" s="14"/>
      <c r="X1259" s="14"/>
      <c r="Y1259" s="14"/>
      <c r="Z1259" s="14"/>
      <c r="AA1259" s="14"/>
      <c r="AB1259" s="14"/>
      <c r="AC1259" s="14"/>
      <c r="AD1259" s="14"/>
      <c r="AE1259" s="14"/>
      <c r="AF1259" s="14"/>
      <c r="AG1259" s="14"/>
      <c r="AH1259" s="14"/>
      <c r="AI1259" s="14"/>
      <c r="AJ1259" s="14"/>
      <c r="AK1259" s="14"/>
      <c r="AL1259" s="14"/>
      <c r="AM1259" s="14"/>
    </row>
    <row r="1260" spans="1:39" x14ac:dyDescent="0.3">
      <c r="A1260" s="14"/>
      <c r="B1260" s="14"/>
      <c r="C1260" s="14"/>
      <c r="D1260" s="14"/>
      <c r="E1260" s="14"/>
      <c r="F1260" s="14"/>
      <c r="G1260" s="14"/>
      <c r="H1260" s="14"/>
      <c r="I1260" s="14"/>
      <c r="J1260" s="14"/>
      <c r="K1260" s="14"/>
      <c r="L1260" s="14"/>
      <c r="M1260" s="14"/>
      <c r="N1260" s="14"/>
      <c r="O1260" s="14"/>
      <c r="P1260" s="14"/>
      <c r="Q1260" s="14"/>
      <c r="R1260" s="14"/>
      <c r="S1260" s="14"/>
      <c r="T1260" s="14"/>
      <c r="U1260" s="14"/>
      <c r="V1260" s="14"/>
      <c r="W1260" s="14"/>
      <c r="X1260" s="14"/>
      <c r="Y1260" s="14"/>
      <c r="Z1260" s="14"/>
      <c r="AA1260" s="14"/>
      <c r="AB1260" s="14"/>
      <c r="AC1260" s="14"/>
      <c r="AD1260" s="14"/>
      <c r="AE1260" s="14"/>
      <c r="AF1260" s="14"/>
      <c r="AG1260" s="14"/>
      <c r="AH1260" s="14"/>
      <c r="AI1260" s="14"/>
      <c r="AJ1260" s="14"/>
      <c r="AK1260" s="14"/>
      <c r="AL1260" s="14"/>
      <c r="AM1260" s="14"/>
    </row>
    <row r="1261" spans="1:39" x14ac:dyDescent="0.3">
      <c r="A1261" s="14"/>
      <c r="B1261" s="14"/>
      <c r="C1261" s="14"/>
      <c r="D1261" s="14"/>
      <c r="E1261" s="14"/>
      <c r="F1261" s="14"/>
      <c r="G1261" s="14"/>
      <c r="H1261" s="14"/>
      <c r="I1261" s="14"/>
      <c r="J1261" s="14"/>
      <c r="K1261" s="14"/>
      <c r="L1261" s="14"/>
      <c r="M1261" s="14"/>
      <c r="N1261" s="14"/>
      <c r="O1261" s="14"/>
      <c r="P1261" s="14"/>
      <c r="Q1261" s="14"/>
      <c r="R1261" s="14"/>
      <c r="S1261" s="14"/>
      <c r="T1261" s="14"/>
      <c r="U1261" s="14"/>
      <c r="V1261" s="14"/>
      <c r="W1261" s="14"/>
      <c r="X1261" s="14"/>
      <c r="Y1261" s="14"/>
      <c r="Z1261" s="14"/>
      <c r="AA1261" s="14"/>
      <c r="AB1261" s="14"/>
      <c r="AC1261" s="14"/>
      <c r="AD1261" s="14"/>
      <c r="AE1261" s="14"/>
      <c r="AF1261" s="14"/>
      <c r="AG1261" s="14"/>
      <c r="AH1261" s="14"/>
      <c r="AI1261" s="14"/>
      <c r="AJ1261" s="14"/>
      <c r="AK1261" s="14"/>
      <c r="AL1261" s="14"/>
      <c r="AM1261" s="14"/>
    </row>
    <row r="1262" spans="1:39" x14ac:dyDescent="0.3">
      <c r="A1262" s="14"/>
      <c r="B1262" s="14"/>
      <c r="C1262" s="14"/>
      <c r="D1262" s="14"/>
      <c r="E1262" s="14"/>
      <c r="F1262" s="14"/>
      <c r="G1262" s="14"/>
      <c r="H1262" s="14"/>
      <c r="I1262" s="14"/>
      <c r="J1262" s="14"/>
      <c r="K1262" s="14"/>
      <c r="L1262" s="14"/>
      <c r="M1262" s="14"/>
      <c r="N1262" s="14"/>
      <c r="O1262" s="14"/>
      <c r="P1262" s="14"/>
      <c r="Q1262" s="14"/>
      <c r="R1262" s="14"/>
      <c r="S1262" s="14"/>
      <c r="T1262" s="14"/>
      <c r="U1262" s="14"/>
      <c r="V1262" s="14"/>
      <c r="W1262" s="14"/>
      <c r="X1262" s="14"/>
      <c r="Y1262" s="14"/>
      <c r="Z1262" s="14"/>
      <c r="AA1262" s="14"/>
      <c r="AB1262" s="14"/>
      <c r="AC1262" s="14"/>
      <c r="AD1262" s="14"/>
      <c r="AE1262" s="14"/>
      <c r="AF1262" s="14"/>
      <c r="AG1262" s="14"/>
      <c r="AH1262" s="14"/>
      <c r="AI1262" s="14"/>
      <c r="AJ1262" s="14"/>
      <c r="AK1262" s="14"/>
      <c r="AL1262" s="14"/>
      <c r="AM1262" s="14"/>
    </row>
    <row r="1263" spans="1:39" x14ac:dyDescent="0.3">
      <c r="A1263" s="14"/>
      <c r="B1263" s="14"/>
      <c r="C1263" s="14"/>
      <c r="D1263" s="14"/>
      <c r="E1263" s="14"/>
      <c r="F1263" s="14"/>
      <c r="G1263" s="14"/>
      <c r="H1263" s="14"/>
      <c r="I1263" s="14"/>
      <c r="J1263" s="14"/>
      <c r="K1263" s="14"/>
      <c r="L1263" s="14"/>
      <c r="M1263" s="14"/>
      <c r="N1263" s="14"/>
      <c r="O1263" s="14"/>
      <c r="P1263" s="14"/>
      <c r="Q1263" s="14"/>
      <c r="R1263" s="14"/>
      <c r="S1263" s="14"/>
      <c r="T1263" s="14"/>
      <c r="U1263" s="14"/>
      <c r="V1263" s="14"/>
      <c r="W1263" s="14"/>
      <c r="X1263" s="14"/>
      <c r="Y1263" s="14"/>
      <c r="Z1263" s="14"/>
      <c r="AA1263" s="14"/>
      <c r="AB1263" s="14"/>
      <c r="AC1263" s="14"/>
      <c r="AD1263" s="14"/>
      <c r="AE1263" s="14"/>
      <c r="AF1263" s="14"/>
      <c r="AG1263" s="14"/>
      <c r="AH1263" s="14"/>
      <c r="AI1263" s="14"/>
      <c r="AJ1263" s="14"/>
      <c r="AK1263" s="14"/>
      <c r="AL1263" s="14"/>
      <c r="AM1263" s="14"/>
    </row>
    <row r="1264" spans="1:39" x14ac:dyDescent="0.3">
      <c r="A1264" s="14"/>
      <c r="B1264" s="14"/>
      <c r="C1264" s="14"/>
      <c r="D1264" s="14"/>
      <c r="E1264" s="14"/>
      <c r="F1264" s="14"/>
      <c r="G1264" s="14"/>
      <c r="H1264" s="14"/>
      <c r="I1264" s="14"/>
      <c r="J1264" s="14"/>
      <c r="K1264" s="14"/>
      <c r="L1264" s="14"/>
      <c r="M1264" s="14"/>
      <c r="N1264" s="14"/>
      <c r="O1264" s="14"/>
      <c r="P1264" s="14"/>
      <c r="Q1264" s="14"/>
      <c r="R1264" s="14"/>
      <c r="S1264" s="14"/>
      <c r="T1264" s="14"/>
      <c r="U1264" s="14"/>
      <c r="V1264" s="14"/>
      <c r="W1264" s="14"/>
      <c r="X1264" s="14"/>
      <c r="Y1264" s="14"/>
      <c r="Z1264" s="14"/>
      <c r="AA1264" s="14"/>
      <c r="AB1264" s="14"/>
      <c r="AC1264" s="14"/>
      <c r="AD1264" s="14"/>
      <c r="AE1264" s="14"/>
      <c r="AF1264" s="14"/>
      <c r="AG1264" s="14"/>
      <c r="AH1264" s="14"/>
      <c r="AI1264" s="14"/>
      <c r="AJ1264" s="14"/>
      <c r="AK1264" s="14"/>
      <c r="AL1264" s="14"/>
      <c r="AM1264" s="14"/>
    </row>
    <row r="1265" spans="1:39" x14ac:dyDescent="0.3">
      <c r="A1265" s="14"/>
      <c r="B1265" s="14"/>
      <c r="C1265" s="14"/>
      <c r="D1265" s="14"/>
      <c r="E1265" s="14"/>
      <c r="F1265" s="14"/>
      <c r="G1265" s="14"/>
      <c r="H1265" s="14"/>
      <c r="I1265" s="14"/>
      <c r="J1265" s="14"/>
      <c r="K1265" s="14"/>
      <c r="L1265" s="14"/>
      <c r="M1265" s="14"/>
      <c r="N1265" s="14"/>
      <c r="O1265" s="14"/>
      <c r="P1265" s="14"/>
      <c r="Q1265" s="14"/>
      <c r="R1265" s="14"/>
      <c r="S1265" s="14"/>
      <c r="T1265" s="14"/>
      <c r="U1265" s="14"/>
      <c r="V1265" s="14"/>
      <c r="W1265" s="14"/>
      <c r="X1265" s="14"/>
      <c r="Y1265" s="14"/>
      <c r="Z1265" s="14"/>
      <c r="AA1265" s="14"/>
      <c r="AB1265" s="14"/>
      <c r="AC1265" s="14"/>
      <c r="AD1265" s="14"/>
      <c r="AE1265" s="14"/>
      <c r="AF1265" s="14"/>
      <c r="AG1265" s="14"/>
      <c r="AH1265" s="14"/>
      <c r="AI1265" s="14"/>
      <c r="AJ1265" s="14"/>
      <c r="AK1265" s="14"/>
      <c r="AL1265" s="14"/>
      <c r="AM1265" s="14"/>
    </row>
    <row r="1266" spans="1:39" x14ac:dyDescent="0.3">
      <c r="A1266" s="14"/>
      <c r="B1266" s="14"/>
      <c r="C1266" s="14"/>
      <c r="D1266" s="14"/>
      <c r="E1266" s="14"/>
      <c r="F1266" s="14"/>
      <c r="G1266" s="14"/>
      <c r="H1266" s="14"/>
      <c r="I1266" s="14"/>
      <c r="J1266" s="14"/>
      <c r="K1266" s="14"/>
      <c r="L1266" s="14"/>
      <c r="M1266" s="14"/>
      <c r="N1266" s="14"/>
      <c r="O1266" s="14"/>
      <c r="P1266" s="14"/>
      <c r="Q1266" s="14"/>
      <c r="R1266" s="14"/>
      <c r="S1266" s="14"/>
      <c r="T1266" s="14"/>
      <c r="U1266" s="14"/>
      <c r="V1266" s="14"/>
      <c r="W1266" s="14"/>
      <c r="X1266" s="14"/>
      <c r="Y1266" s="14"/>
      <c r="Z1266" s="14"/>
      <c r="AA1266" s="14"/>
      <c r="AB1266" s="14"/>
      <c r="AC1266" s="14"/>
      <c r="AD1266" s="14"/>
      <c r="AE1266" s="14"/>
      <c r="AF1266" s="14"/>
      <c r="AG1266" s="14"/>
      <c r="AH1266" s="14"/>
      <c r="AI1266" s="14"/>
      <c r="AJ1266" s="14"/>
      <c r="AK1266" s="14"/>
      <c r="AL1266" s="14"/>
      <c r="AM1266" s="14"/>
    </row>
    <row r="1267" spans="1:39" x14ac:dyDescent="0.3">
      <c r="A1267" s="14"/>
      <c r="B1267" s="14"/>
      <c r="C1267" s="14"/>
      <c r="D1267" s="14"/>
      <c r="E1267" s="14"/>
      <c r="F1267" s="14"/>
      <c r="G1267" s="14"/>
      <c r="H1267" s="14"/>
      <c r="I1267" s="14"/>
      <c r="J1267" s="14"/>
      <c r="K1267" s="14"/>
      <c r="L1267" s="14"/>
      <c r="M1267" s="14"/>
      <c r="N1267" s="14"/>
      <c r="O1267" s="14"/>
      <c r="P1267" s="14"/>
      <c r="Q1267" s="14"/>
      <c r="R1267" s="14"/>
      <c r="S1267" s="14"/>
      <c r="T1267" s="14"/>
      <c r="U1267" s="14"/>
      <c r="V1267" s="14"/>
      <c r="W1267" s="14"/>
      <c r="X1267" s="14"/>
      <c r="Y1267" s="14"/>
      <c r="Z1267" s="14"/>
      <c r="AA1267" s="14"/>
      <c r="AB1267" s="14"/>
      <c r="AC1267" s="14"/>
      <c r="AD1267" s="14"/>
      <c r="AE1267" s="14"/>
      <c r="AF1267" s="14"/>
      <c r="AG1267" s="14"/>
      <c r="AH1267" s="14"/>
      <c r="AI1267" s="14"/>
      <c r="AJ1267" s="14"/>
      <c r="AK1267" s="14"/>
      <c r="AL1267" s="14"/>
      <c r="AM1267" s="14"/>
    </row>
    <row r="1268" spans="1:39" x14ac:dyDescent="0.3">
      <c r="A1268" s="14"/>
      <c r="B1268" s="14"/>
      <c r="C1268" s="14"/>
      <c r="D1268" s="14"/>
      <c r="E1268" s="14"/>
      <c r="F1268" s="14"/>
      <c r="G1268" s="14"/>
      <c r="H1268" s="14"/>
      <c r="I1268" s="14"/>
      <c r="J1268" s="14"/>
      <c r="K1268" s="14"/>
      <c r="L1268" s="14"/>
      <c r="M1268" s="14"/>
      <c r="N1268" s="14"/>
      <c r="O1268" s="14"/>
      <c r="P1268" s="14"/>
      <c r="Q1268" s="14"/>
      <c r="R1268" s="14"/>
      <c r="S1268" s="14"/>
      <c r="T1268" s="14"/>
      <c r="U1268" s="14"/>
      <c r="V1268" s="14"/>
      <c r="W1268" s="14"/>
      <c r="X1268" s="14"/>
      <c r="Y1268" s="14"/>
      <c r="Z1268" s="14"/>
      <c r="AA1268" s="14"/>
      <c r="AB1268" s="14"/>
      <c r="AC1268" s="14"/>
      <c r="AD1268" s="14"/>
      <c r="AE1268" s="14"/>
      <c r="AF1268" s="14"/>
      <c r="AG1268" s="14"/>
      <c r="AH1268" s="14"/>
      <c r="AI1268" s="14"/>
      <c r="AJ1268" s="14"/>
      <c r="AK1268" s="14"/>
      <c r="AL1268" s="14"/>
      <c r="AM1268" s="14"/>
    </row>
    <row r="1269" spans="1:39" x14ac:dyDescent="0.3">
      <c r="A1269" s="14"/>
      <c r="B1269" s="14"/>
      <c r="C1269" s="14"/>
      <c r="D1269" s="14"/>
      <c r="E1269" s="14"/>
      <c r="F1269" s="14"/>
      <c r="G1269" s="14"/>
      <c r="H1269" s="14"/>
      <c r="I1269" s="14"/>
      <c r="J1269" s="14"/>
      <c r="K1269" s="14"/>
      <c r="L1269" s="14"/>
      <c r="M1269" s="14"/>
      <c r="N1269" s="14"/>
      <c r="O1269" s="14"/>
      <c r="P1269" s="14"/>
      <c r="Q1269" s="14"/>
      <c r="R1269" s="14"/>
      <c r="S1269" s="14"/>
      <c r="T1269" s="14"/>
      <c r="U1269" s="14"/>
      <c r="V1269" s="14"/>
      <c r="W1269" s="14"/>
      <c r="X1269" s="14"/>
      <c r="Y1269" s="14"/>
      <c r="Z1269" s="14"/>
      <c r="AA1269" s="14"/>
      <c r="AB1269" s="14"/>
      <c r="AC1269" s="14"/>
      <c r="AD1269" s="14"/>
      <c r="AE1269" s="14"/>
      <c r="AF1269" s="14"/>
      <c r="AG1269" s="14"/>
      <c r="AH1269" s="14"/>
      <c r="AI1269" s="14"/>
      <c r="AJ1269" s="14"/>
      <c r="AK1269" s="14"/>
      <c r="AL1269" s="14"/>
      <c r="AM1269" s="14"/>
    </row>
    <row r="1270" spans="1:39" x14ac:dyDescent="0.3">
      <c r="A1270" s="14"/>
      <c r="B1270" s="14"/>
      <c r="C1270" s="14"/>
      <c r="D1270" s="14"/>
      <c r="E1270" s="14"/>
      <c r="F1270" s="14"/>
      <c r="G1270" s="14"/>
      <c r="H1270" s="14"/>
      <c r="I1270" s="14"/>
      <c r="J1270" s="14"/>
      <c r="K1270" s="14"/>
      <c r="L1270" s="14"/>
      <c r="M1270" s="14"/>
      <c r="N1270" s="14"/>
      <c r="O1270" s="14"/>
      <c r="P1270" s="14"/>
      <c r="Q1270" s="14"/>
      <c r="R1270" s="14"/>
      <c r="S1270" s="14"/>
      <c r="T1270" s="14"/>
      <c r="U1270" s="14"/>
      <c r="V1270" s="14"/>
      <c r="W1270" s="14"/>
      <c r="X1270" s="14"/>
      <c r="Y1270" s="14"/>
      <c r="Z1270" s="14"/>
      <c r="AA1270" s="14"/>
      <c r="AB1270" s="14"/>
      <c r="AC1270" s="14"/>
      <c r="AD1270" s="14"/>
      <c r="AE1270" s="14"/>
      <c r="AF1270" s="14"/>
      <c r="AG1270" s="14"/>
      <c r="AH1270" s="14"/>
      <c r="AI1270" s="14"/>
      <c r="AJ1270" s="14"/>
      <c r="AK1270" s="14"/>
      <c r="AL1270" s="14"/>
      <c r="AM1270" s="14"/>
    </row>
    <row r="1271" spans="1:39" x14ac:dyDescent="0.3">
      <c r="A1271" s="14"/>
      <c r="B1271" s="14"/>
      <c r="C1271" s="14"/>
      <c r="D1271" s="14"/>
      <c r="E1271" s="14"/>
      <c r="F1271" s="14"/>
      <c r="G1271" s="14"/>
      <c r="H1271" s="14"/>
      <c r="I1271" s="14"/>
      <c r="J1271" s="14"/>
      <c r="K1271" s="14"/>
      <c r="L1271" s="14"/>
      <c r="M1271" s="14"/>
      <c r="N1271" s="14"/>
      <c r="O1271" s="14"/>
      <c r="P1271" s="14"/>
      <c r="Q1271" s="14"/>
      <c r="R1271" s="14"/>
      <c r="S1271" s="14"/>
      <c r="T1271" s="14"/>
      <c r="U1271" s="14"/>
      <c r="V1271" s="14"/>
      <c r="W1271" s="14"/>
      <c r="X1271" s="14"/>
      <c r="Y1271" s="14"/>
      <c r="Z1271" s="14"/>
      <c r="AA1271" s="14"/>
      <c r="AB1271" s="14"/>
      <c r="AC1271" s="14"/>
      <c r="AD1271" s="14"/>
      <c r="AE1271" s="14"/>
      <c r="AF1271" s="14"/>
      <c r="AG1271" s="14"/>
      <c r="AH1271" s="14"/>
      <c r="AI1271" s="14"/>
      <c r="AJ1271" s="14"/>
      <c r="AK1271" s="14"/>
      <c r="AL1271" s="14"/>
      <c r="AM1271" s="14"/>
    </row>
    <row r="1272" spans="1:39" x14ac:dyDescent="0.3">
      <c r="A1272" s="14"/>
      <c r="B1272" s="14"/>
      <c r="C1272" s="14"/>
      <c r="D1272" s="14"/>
      <c r="E1272" s="14"/>
      <c r="F1272" s="14"/>
      <c r="G1272" s="14"/>
      <c r="H1272" s="14"/>
      <c r="I1272" s="14"/>
      <c r="J1272" s="14"/>
      <c r="K1272" s="14"/>
      <c r="L1272" s="14"/>
      <c r="M1272" s="14"/>
      <c r="N1272" s="14"/>
      <c r="O1272" s="14"/>
      <c r="P1272" s="14"/>
      <c r="Q1272" s="14"/>
      <c r="R1272" s="14"/>
      <c r="S1272" s="14"/>
      <c r="T1272" s="14"/>
      <c r="U1272" s="14"/>
      <c r="V1272" s="14"/>
      <c r="W1272" s="14"/>
      <c r="X1272" s="14"/>
      <c r="Y1272" s="14"/>
      <c r="Z1272" s="14"/>
      <c r="AA1272" s="14"/>
      <c r="AB1272" s="14"/>
      <c r="AC1272" s="14"/>
      <c r="AD1272" s="14"/>
      <c r="AE1272" s="14"/>
      <c r="AF1272" s="14"/>
      <c r="AG1272" s="14"/>
      <c r="AH1272" s="14"/>
      <c r="AI1272" s="14"/>
      <c r="AJ1272" s="14"/>
      <c r="AK1272" s="14"/>
      <c r="AL1272" s="14"/>
      <c r="AM1272" s="14"/>
    </row>
    <row r="1273" spans="1:39" x14ac:dyDescent="0.3">
      <c r="A1273" s="14"/>
      <c r="B1273" s="14"/>
      <c r="C1273" s="14"/>
      <c r="D1273" s="14"/>
      <c r="E1273" s="14"/>
      <c r="F1273" s="14"/>
      <c r="G1273" s="14"/>
      <c r="H1273" s="14"/>
      <c r="I1273" s="14"/>
      <c r="J1273" s="14"/>
      <c r="K1273" s="14"/>
      <c r="L1273" s="14"/>
      <c r="M1273" s="14"/>
      <c r="N1273" s="14"/>
      <c r="O1273" s="14"/>
      <c r="P1273" s="14"/>
      <c r="Q1273" s="14"/>
      <c r="R1273" s="14"/>
      <c r="S1273" s="14"/>
      <c r="T1273" s="14"/>
      <c r="U1273" s="14"/>
      <c r="V1273" s="14"/>
      <c r="W1273" s="14"/>
      <c r="X1273" s="14"/>
      <c r="Y1273" s="14"/>
      <c r="Z1273" s="14"/>
      <c r="AA1273" s="14"/>
      <c r="AB1273" s="14"/>
      <c r="AC1273" s="14"/>
      <c r="AD1273" s="14"/>
      <c r="AE1273" s="14"/>
      <c r="AF1273" s="14"/>
      <c r="AG1273" s="14"/>
      <c r="AH1273" s="14"/>
      <c r="AI1273" s="14"/>
      <c r="AJ1273" s="14"/>
      <c r="AK1273" s="14"/>
      <c r="AL1273" s="14"/>
      <c r="AM1273" s="14"/>
    </row>
    <row r="1274" spans="1:39" x14ac:dyDescent="0.3">
      <c r="A1274" s="14"/>
      <c r="B1274" s="14"/>
      <c r="C1274" s="14"/>
      <c r="D1274" s="14"/>
      <c r="E1274" s="14"/>
      <c r="F1274" s="14"/>
      <c r="G1274" s="14"/>
      <c r="H1274" s="14"/>
      <c r="I1274" s="14"/>
      <c r="J1274" s="14"/>
      <c r="K1274" s="14"/>
      <c r="L1274" s="14"/>
      <c r="M1274" s="14"/>
      <c r="N1274" s="14"/>
      <c r="O1274" s="14"/>
      <c r="P1274" s="14"/>
      <c r="Q1274" s="14"/>
      <c r="R1274" s="14"/>
      <c r="S1274" s="14"/>
      <c r="T1274" s="14"/>
      <c r="U1274" s="14"/>
      <c r="V1274" s="14"/>
      <c r="W1274" s="14"/>
      <c r="X1274" s="14"/>
      <c r="Y1274" s="14"/>
      <c r="Z1274" s="14"/>
      <c r="AA1274" s="14"/>
      <c r="AB1274" s="14"/>
      <c r="AC1274" s="14"/>
      <c r="AD1274" s="14"/>
      <c r="AE1274" s="14"/>
      <c r="AF1274" s="14"/>
      <c r="AG1274" s="14"/>
      <c r="AH1274" s="14"/>
      <c r="AI1274" s="14"/>
      <c r="AJ1274" s="14"/>
      <c r="AK1274" s="14"/>
      <c r="AL1274" s="14"/>
      <c r="AM1274" s="14"/>
    </row>
    <row r="1275" spans="1:39" x14ac:dyDescent="0.3">
      <c r="A1275" s="14"/>
      <c r="B1275" s="14"/>
      <c r="C1275" s="14"/>
      <c r="D1275" s="14"/>
      <c r="E1275" s="14"/>
      <c r="F1275" s="14"/>
      <c r="G1275" s="14"/>
      <c r="H1275" s="14"/>
      <c r="I1275" s="14"/>
      <c r="J1275" s="14"/>
      <c r="K1275" s="14"/>
      <c r="L1275" s="14"/>
      <c r="M1275" s="14"/>
      <c r="N1275" s="14"/>
      <c r="O1275" s="14"/>
      <c r="P1275" s="14"/>
      <c r="Q1275" s="14"/>
      <c r="R1275" s="14"/>
      <c r="S1275" s="14"/>
      <c r="T1275" s="14"/>
      <c r="U1275" s="14"/>
      <c r="V1275" s="14"/>
      <c r="W1275" s="14"/>
      <c r="X1275" s="14"/>
      <c r="Y1275" s="14"/>
      <c r="Z1275" s="14"/>
      <c r="AA1275" s="14"/>
      <c r="AB1275" s="14"/>
      <c r="AC1275" s="14"/>
      <c r="AD1275" s="14"/>
      <c r="AE1275" s="14"/>
      <c r="AF1275" s="14"/>
      <c r="AG1275" s="14"/>
      <c r="AH1275" s="14"/>
      <c r="AI1275" s="14"/>
      <c r="AJ1275" s="14"/>
      <c r="AK1275" s="14"/>
      <c r="AL1275" s="14"/>
      <c r="AM1275" s="14"/>
    </row>
    <row r="1276" spans="1:39" x14ac:dyDescent="0.3">
      <c r="A1276" s="14"/>
      <c r="B1276" s="14"/>
      <c r="C1276" s="14"/>
      <c r="D1276" s="14"/>
      <c r="E1276" s="14"/>
      <c r="F1276" s="14"/>
      <c r="G1276" s="14"/>
      <c r="H1276" s="14"/>
      <c r="I1276" s="14"/>
      <c r="J1276" s="14"/>
      <c r="K1276" s="14"/>
      <c r="L1276" s="14"/>
      <c r="M1276" s="14"/>
      <c r="N1276" s="14"/>
      <c r="O1276" s="14"/>
      <c r="P1276" s="14"/>
      <c r="Q1276" s="14"/>
      <c r="R1276" s="14"/>
      <c r="S1276" s="14"/>
      <c r="T1276" s="14"/>
      <c r="U1276" s="14"/>
      <c r="V1276" s="14"/>
      <c r="W1276" s="14"/>
      <c r="X1276" s="14"/>
      <c r="Y1276" s="14"/>
      <c r="Z1276" s="14"/>
      <c r="AA1276" s="14"/>
      <c r="AB1276" s="14"/>
      <c r="AC1276" s="14"/>
      <c r="AD1276" s="14"/>
      <c r="AE1276" s="14"/>
      <c r="AF1276" s="14"/>
      <c r="AG1276" s="14"/>
      <c r="AH1276" s="14"/>
      <c r="AI1276" s="14"/>
      <c r="AJ1276" s="14"/>
      <c r="AK1276" s="14"/>
      <c r="AL1276" s="14"/>
      <c r="AM1276" s="14"/>
    </row>
    <row r="1277" spans="1:39" x14ac:dyDescent="0.3">
      <c r="A1277" s="14"/>
      <c r="B1277" s="14"/>
      <c r="C1277" s="14"/>
      <c r="D1277" s="14"/>
      <c r="E1277" s="14"/>
      <c r="F1277" s="14"/>
      <c r="G1277" s="14"/>
      <c r="H1277" s="14"/>
      <c r="I1277" s="14"/>
      <c r="J1277" s="14"/>
      <c r="K1277" s="14"/>
      <c r="L1277" s="14"/>
      <c r="M1277" s="14"/>
      <c r="N1277" s="14"/>
      <c r="O1277" s="14"/>
      <c r="P1277" s="14"/>
      <c r="Q1277" s="14"/>
      <c r="R1277" s="14"/>
      <c r="S1277" s="14"/>
      <c r="T1277" s="14"/>
      <c r="U1277" s="14"/>
      <c r="V1277" s="14"/>
      <c r="W1277" s="14"/>
      <c r="X1277" s="14"/>
      <c r="Y1277" s="14"/>
      <c r="Z1277" s="14"/>
      <c r="AA1277" s="14"/>
      <c r="AB1277" s="14"/>
      <c r="AC1277" s="14"/>
      <c r="AD1277" s="14"/>
      <c r="AE1277" s="14"/>
      <c r="AF1277" s="14"/>
      <c r="AG1277" s="14"/>
      <c r="AH1277" s="14"/>
      <c r="AI1277" s="14"/>
      <c r="AJ1277" s="14"/>
      <c r="AK1277" s="14"/>
      <c r="AL1277" s="14"/>
      <c r="AM1277" s="14"/>
    </row>
    <row r="1278" spans="1:39" x14ac:dyDescent="0.3">
      <c r="A1278" s="14"/>
      <c r="B1278" s="14"/>
      <c r="C1278" s="14"/>
      <c r="D1278" s="14"/>
      <c r="E1278" s="14"/>
      <c r="F1278" s="14"/>
      <c r="G1278" s="14"/>
      <c r="H1278" s="14"/>
      <c r="I1278" s="14"/>
      <c r="J1278" s="14"/>
      <c r="K1278" s="14"/>
      <c r="L1278" s="14"/>
      <c r="M1278" s="14"/>
      <c r="N1278" s="14"/>
      <c r="O1278" s="14"/>
      <c r="P1278" s="14"/>
      <c r="Q1278" s="14"/>
      <c r="R1278" s="14"/>
      <c r="S1278" s="14"/>
      <c r="T1278" s="14"/>
      <c r="U1278" s="14"/>
      <c r="V1278" s="14"/>
      <c r="W1278" s="14"/>
      <c r="X1278" s="14"/>
      <c r="Y1278" s="14"/>
      <c r="Z1278" s="14"/>
      <c r="AA1278" s="14"/>
      <c r="AB1278" s="14"/>
      <c r="AC1278" s="14"/>
      <c r="AD1278" s="14"/>
      <c r="AE1278" s="14"/>
      <c r="AF1278" s="14"/>
      <c r="AG1278" s="14"/>
      <c r="AH1278" s="14"/>
      <c r="AI1278" s="14"/>
      <c r="AJ1278" s="14"/>
      <c r="AK1278" s="14"/>
      <c r="AL1278" s="14"/>
      <c r="AM1278" s="14"/>
    </row>
    <row r="1279" spans="1:39" x14ac:dyDescent="0.3">
      <c r="A1279" s="14"/>
      <c r="B1279" s="14"/>
      <c r="C1279" s="14"/>
      <c r="D1279" s="14"/>
      <c r="E1279" s="14"/>
      <c r="F1279" s="14"/>
      <c r="G1279" s="14"/>
      <c r="H1279" s="14"/>
      <c r="I1279" s="14"/>
      <c r="J1279" s="14"/>
      <c r="K1279" s="14"/>
      <c r="L1279" s="14"/>
      <c r="M1279" s="14"/>
      <c r="N1279" s="14"/>
      <c r="O1279" s="14"/>
      <c r="P1279" s="14"/>
      <c r="Q1279" s="14"/>
      <c r="R1279" s="14"/>
      <c r="S1279" s="14"/>
      <c r="T1279" s="14"/>
      <c r="U1279" s="14"/>
      <c r="V1279" s="14"/>
      <c r="W1279" s="14"/>
      <c r="X1279" s="14"/>
      <c r="Y1279" s="14"/>
      <c r="Z1279" s="14"/>
      <c r="AA1279" s="14"/>
      <c r="AB1279" s="14"/>
      <c r="AC1279" s="14"/>
      <c r="AD1279" s="14"/>
      <c r="AE1279" s="14"/>
      <c r="AF1279" s="14"/>
      <c r="AG1279" s="14"/>
      <c r="AH1279" s="14"/>
      <c r="AI1279" s="14"/>
      <c r="AJ1279" s="14"/>
      <c r="AK1279" s="14"/>
      <c r="AL1279" s="14"/>
      <c r="AM1279" s="14"/>
    </row>
    <row r="1280" spans="1:39" x14ac:dyDescent="0.3">
      <c r="A1280" s="14"/>
      <c r="B1280" s="14"/>
      <c r="C1280" s="14"/>
      <c r="D1280" s="14"/>
      <c r="E1280" s="14"/>
      <c r="F1280" s="14"/>
      <c r="G1280" s="14"/>
      <c r="H1280" s="14"/>
      <c r="I1280" s="14"/>
      <c r="J1280" s="14"/>
      <c r="K1280" s="14"/>
      <c r="L1280" s="14"/>
      <c r="M1280" s="14"/>
      <c r="N1280" s="14"/>
      <c r="O1280" s="14"/>
      <c r="P1280" s="14"/>
      <c r="Q1280" s="14"/>
      <c r="R1280" s="14"/>
      <c r="S1280" s="14"/>
      <c r="T1280" s="14"/>
      <c r="U1280" s="14"/>
      <c r="V1280" s="14"/>
      <c r="W1280" s="14"/>
      <c r="X1280" s="14"/>
      <c r="Y1280" s="14"/>
      <c r="Z1280" s="14"/>
      <c r="AA1280" s="14"/>
      <c r="AB1280" s="14"/>
      <c r="AC1280" s="14"/>
      <c r="AD1280" s="14"/>
      <c r="AE1280" s="14"/>
      <c r="AF1280" s="14"/>
      <c r="AG1280" s="14"/>
      <c r="AH1280" s="14"/>
      <c r="AI1280" s="14"/>
      <c r="AJ1280" s="14"/>
      <c r="AK1280" s="14"/>
      <c r="AL1280" s="14"/>
      <c r="AM1280" s="14"/>
    </row>
    <row r="1281" spans="1:39" x14ac:dyDescent="0.3">
      <c r="A1281" s="14"/>
      <c r="B1281" s="14"/>
      <c r="C1281" s="14"/>
      <c r="D1281" s="14"/>
      <c r="E1281" s="14"/>
      <c r="F1281" s="14"/>
      <c r="G1281" s="14"/>
      <c r="H1281" s="14"/>
      <c r="I1281" s="14"/>
      <c r="J1281" s="14"/>
      <c r="K1281" s="14"/>
      <c r="L1281" s="14"/>
      <c r="M1281" s="14"/>
      <c r="N1281" s="14"/>
      <c r="O1281" s="14"/>
      <c r="P1281" s="14"/>
      <c r="Q1281" s="14"/>
      <c r="R1281" s="14"/>
      <c r="S1281" s="14"/>
      <c r="T1281" s="14"/>
      <c r="U1281" s="14"/>
      <c r="V1281" s="14"/>
      <c r="W1281" s="14"/>
      <c r="X1281" s="14"/>
      <c r="Y1281" s="14"/>
      <c r="Z1281" s="14"/>
      <c r="AA1281" s="14"/>
      <c r="AB1281" s="14"/>
      <c r="AC1281" s="14"/>
      <c r="AD1281" s="14"/>
      <c r="AE1281" s="14"/>
      <c r="AF1281" s="14"/>
      <c r="AG1281" s="14"/>
      <c r="AH1281" s="14"/>
      <c r="AI1281" s="14"/>
      <c r="AJ1281" s="14"/>
      <c r="AK1281" s="14"/>
      <c r="AL1281" s="14"/>
      <c r="AM1281" s="14"/>
    </row>
    <row r="1282" spans="1:39" x14ac:dyDescent="0.3">
      <c r="A1282" s="14"/>
      <c r="B1282" s="14"/>
      <c r="C1282" s="14"/>
      <c r="D1282" s="14"/>
      <c r="E1282" s="14"/>
      <c r="F1282" s="14"/>
      <c r="G1282" s="14"/>
      <c r="H1282" s="14"/>
      <c r="I1282" s="14"/>
      <c r="J1282" s="14"/>
      <c r="K1282" s="14"/>
      <c r="L1282" s="14"/>
      <c r="M1282" s="14"/>
      <c r="N1282" s="14"/>
      <c r="O1282" s="14"/>
      <c r="P1282" s="14"/>
      <c r="Q1282" s="14"/>
      <c r="R1282" s="14"/>
      <c r="S1282" s="14"/>
      <c r="T1282" s="14"/>
      <c r="U1282" s="14"/>
      <c r="V1282" s="14"/>
      <c r="W1282" s="14"/>
      <c r="X1282" s="14"/>
      <c r="Y1282" s="14"/>
      <c r="Z1282" s="14"/>
      <c r="AA1282" s="14"/>
      <c r="AB1282" s="14"/>
      <c r="AC1282" s="14"/>
      <c r="AD1282" s="14"/>
      <c r="AE1282" s="14"/>
      <c r="AF1282" s="14"/>
      <c r="AG1282" s="14"/>
      <c r="AH1282" s="14"/>
      <c r="AI1282" s="14"/>
      <c r="AJ1282" s="14"/>
      <c r="AK1282" s="14"/>
      <c r="AL1282" s="14"/>
      <c r="AM1282" s="14"/>
    </row>
    <row r="1283" spans="1:39" x14ac:dyDescent="0.3">
      <c r="A1283" s="14"/>
      <c r="B1283" s="14"/>
      <c r="C1283" s="14"/>
      <c r="D1283" s="14"/>
      <c r="E1283" s="14"/>
      <c r="F1283" s="14"/>
      <c r="G1283" s="14"/>
      <c r="H1283" s="14"/>
      <c r="I1283" s="14"/>
      <c r="J1283" s="14"/>
      <c r="K1283" s="14"/>
      <c r="L1283" s="14"/>
      <c r="M1283" s="14"/>
      <c r="N1283" s="14"/>
      <c r="O1283" s="14"/>
      <c r="P1283" s="14"/>
      <c r="Q1283" s="14"/>
      <c r="R1283" s="14"/>
      <c r="S1283" s="14"/>
      <c r="T1283" s="14"/>
      <c r="U1283" s="14"/>
      <c r="V1283" s="14"/>
      <c r="W1283" s="14"/>
      <c r="X1283" s="14"/>
      <c r="Y1283" s="14"/>
      <c r="Z1283" s="14"/>
      <c r="AA1283" s="14"/>
      <c r="AB1283" s="14"/>
      <c r="AC1283" s="14"/>
      <c r="AD1283" s="14"/>
      <c r="AE1283" s="14"/>
      <c r="AF1283" s="14"/>
      <c r="AG1283" s="14"/>
      <c r="AH1283" s="14"/>
      <c r="AI1283" s="14"/>
      <c r="AJ1283" s="14"/>
      <c r="AK1283" s="14"/>
      <c r="AL1283" s="14"/>
      <c r="AM1283" s="14"/>
    </row>
    <row r="1284" spans="1:39" x14ac:dyDescent="0.3">
      <c r="A1284" s="14"/>
      <c r="B1284" s="14"/>
      <c r="C1284" s="14"/>
      <c r="D1284" s="14"/>
      <c r="E1284" s="14"/>
      <c r="F1284" s="14"/>
      <c r="G1284" s="14"/>
      <c r="H1284" s="14"/>
      <c r="I1284" s="14"/>
      <c r="J1284" s="14"/>
      <c r="K1284" s="14"/>
      <c r="L1284" s="14"/>
      <c r="M1284" s="14"/>
      <c r="N1284" s="14"/>
      <c r="O1284" s="14"/>
      <c r="P1284" s="14"/>
      <c r="Q1284" s="14"/>
      <c r="R1284" s="14"/>
      <c r="S1284" s="14"/>
      <c r="T1284" s="14"/>
      <c r="U1284" s="14"/>
      <c r="V1284" s="14"/>
      <c r="W1284" s="14"/>
      <c r="X1284" s="14"/>
      <c r="Y1284" s="14"/>
      <c r="Z1284" s="14"/>
      <c r="AA1284" s="14"/>
      <c r="AB1284" s="14"/>
      <c r="AC1284" s="14"/>
      <c r="AD1284" s="14"/>
      <c r="AE1284" s="14"/>
      <c r="AF1284" s="14"/>
      <c r="AG1284" s="14"/>
      <c r="AH1284" s="14"/>
      <c r="AI1284" s="14"/>
      <c r="AJ1284" s="14"/>
      <c r="AK1284" s="14"/>
      <c r="AL1284" s="14"/>
      <c r="AM1284" s="14"/>
    </row>
    <row r="1285" spans="1:39" x14ac:dyDescent="0.3">
      <c r="A1285" s="14"/>
      <c r="B1285" s="14"/>
      <c r="C1285" s="14"/>
      <c r="D1285" s="14"/>
      <c r="E1285" s="14"/>
      <c r="F1285" s="14"/>
      <c r="G1285" s="14"/>
      <c r="H1285" s="14"/>
      <c r="I1285" s="14"/>
      <c r="J1285" s="14"/>
      <c r="K1285" s="14"/>
      <c r="L1285" s="14"/>
      <c r="M1285" s="14"/>
      <c r="N1285" s="14"/>
      <c r="O1285" s="14"/>
      <c r="P1285" s="14"/>
      <c r="Q1285" s="14"/>
      <c r="R1285" s="14"/>
      <c r="S1285" s="14"/>
      <c r="T1285" s="14"/>
      <c r="U1285" s="14"/>
      <c r="V1285" s="14"/>
      <c r="W1285" s="14"/>
      <c r="X1285" s="14"/>
      <c r="Y1285" s="14"/>
      <c r="Z1285" s="14"/>
      <c r="AA1285" s="14"/>
      <c r="AB1285" s="14"/>
      <c r="AC1285" s="14"/>
      <c r="AD1285" s="14"/>
      <c r="AE1285" s="14"/>
      <c r="AF1285" s="14"/>
      <c r="AG1285" s="14"/>
      <c r="AH1285" s="14"/>
      <c r="AI1285" s="14"/>
      <c r="AJ1285" s="14"/>
      <c r="AK1285" s="14"/>
      <c r="AL1285" s="14"/>
      <c r="AM1285" s="14"/>
    </row>
    <row r="1286" spans="1:39" x14ac:dyDescent="0.3">
      <c r="A1286" s="14"/>
      <c r="B1286" s="14"/>
      <c r="C1286" s="14"/>
      <c r="D1286" s="14"/>
      <c r="E1286" s="14"/>
      <c r="F1286" s="14"/>
      <c r="G1286" s="14"/>
      <c r="H1286" s="14"/>
      <c r="I1286" s="14"/>
      <c r="J1286" s="14"/>
      <c r="K1286" s="14"/>
      <c r="L1286" s="14"/>
      <c r="M1286" s="14"/>
      <c r="N1286" s="14"/>
      <c r="O1286" s="14"/>
      <c r="P1286" s="14"/>
      <c r="Q1286" s="14"/>
      <c r="R1286" s="14"/>
      <c r="S1286" s="14"/>
      <c r="T1286" s="14"/>
      <c r="U1286" s="14"/>
      <c r="V1286" s="14"/>
      <c r="W1286" s="14"/>
      <c r="X1286" s="14"/>
      <c r="Y1286" s="14"/>
      <c r="Z1286" s="14"/>
      <c r="AA1286" s="14"/>
      <c r="AB1286" s="14"/>
      <c r="AC1286" s="14"/>
      <c r="AD1286" s="14"/>
      <c r="AE1286" s="14"/>
      <c r="AF1286" s="14"/>
      <c r="AG1286" s="14"/>
      <c r="AH1286" s="14"/>
      <c r="AI1286" s="14"/>
      <c r="AJ1286" s="14"/>
      <c r="AK1286" s="14"/>
      <c r="AL1286" s="14"/>
      <c r="AM1286" s="14"/>
    </row>
    <row r="1287" spans="1:39" x14ac:dyDescent="0.3">
      <c r="A1287" s="14"/>
      <c r="B1287" s="14"/>
      <c r="C1287" s="14"/>
      <c r="D1287" s="14"/>
      <c r="E1287" s="14"/>
      <c r="F1287" s="14"/>
      <c r="G1287" s="14"/>
      <c r="H1287" s="14"/>
      <c r="I1287" s="14"/>
      <c r="J1287" s="14"/>
      <c r="K1287" s="14"/>
      <c r="L1287" s="14"/>
      <c r="M1287" s="14"/>
      <c r="N1287" s="14"/>
      <c r="O1287" s="14"/>
      <c r="P1287" s="14"/>
      <c r="Q1287" s="14"/>
      <c r="R1287" s="14"/>
      <c r="S1287" s="14"/>
      <c r="T1287" s="14"/>
      <c r="U1287" s="14"/>
      <c r="V1287" s="14"/>
      <c r="W1287" s="14"/>
      <c r="X1287" s="14"/>
      <c r="Y1287" s="14"/>
      <c r="Z1287" s="14"/>
      <c r="AA1287" s="14"/>
      <c r="AB1287" s="14"/>
      <c r="AC1287" s="14"/>
      <c r="AD1287" s="14"/>
      <c r="AE1287" s="14"/>
      <c r="AF1287" s="14"/>
      <c r="AG1287" s="14"/>
      <c r="AH1287" s="14"/>
      <c r="AI1287" s="14"/>
      <c r="AJ1287" s="14"/>
      <c r="AK1287" s="14"/>
      <c r="AL1287" s="14"/>
      <c r="AM1287" s="14"/>
    </row>
    <row r="1288" spans="1:39" x14ac:dyDescent="0.3">
      <c r="A1288" s="14"/>
      <c r="B1288" s="14"/>
      <c r="C1288" s="14"/>
      <c r="D1288" s="14"/>
      <c r="E1288" s="14"/>
      <c r="F1288" s="14"/>
      <c r="G1288" s="14"/>
      <c r="H1288" s="14"/>
      <c r="I1288" s="14"/>
      <c r="J1288" s="14"/>
      <c r="K1288" s="14"/>
      <c r="L1288" s="14"/>
      <c r="M1288" s="14"/>
      <c r="N1288" s="14"/>
      <c r="O1288" s="14"/>
      <c r="P1288" s="14"/>
      <c r="Q1288" s="14"/>
      <c r="R1288" s="14"/>
      <c r="S1288" s="14"/>
      <c r="T1288" s="14"/>
      <c r="U1288" s="14"/>
      <c r="V1288" s="14"/>
      <c r="W1288" s="14"/>
      <c r="X1288" s="14"/>
      <c r="Y1288" s="14"/>
      <c r="Z1288" s="14"/>
      <c r="AA1288" s="14"/>
      <c r="AB1288" s="14"/>
      <c r="AC1288" s="14"/>
      <c r="AD1288" s="14"/>
      <c r="AE1288" s="14"/>
      <c r="AF1288" s="14"/>
      <c r="AG1288" s="14"/>
      <c r="AH1288" s="14"/>
      <c r="AI1288" s="14"/>
      <c r="AJ1288" s="14"/>
      <c r="AK1288" s="14"/>
      <c r="AL1288" s="14"/>
      <c r="AM1288" s="14"/>
    </row>
    <row r="1289" spans="1:39" x14ac:dyDescent="0.3">
      <c r="A1289" s="14"/>
      <c r="B1289" s="14"/>
      <c r="C1289" s="14"/>
      <c r="D1289" s="14"/>
      <c r="E1289" s="14"/>
      <c r="F1289" s="14"/>
      <c r="G1289" s="14"/>
      <c r="H1289" s="14"/>
      <c r="I1289" s="14"/>
      <c r="J1289" s="14"/>
      <c r="K1289" s="14"/>
      <c r="L1289" s="14"/>
      <c r="M1289" s="14"/>
      <c r="N1289" s="14"/>
      <c r="O1289" s="14"/>
      <c r="P1289" s="14"/>
      <c r="Q1289" s="14"/>
      <c r="R1289" s="14"/>
      <c r="S1289" s="14"/>
      <c r="T1289" s="14"/>
      <c r="U1289" s="14"/>
      <c r="V1289" s="14"/>
      <c r="W1289" s="14"/>
      <c r="X1289" s="14"/>
      <c r="Y1289" s="14"/>
      <c r="Z1289" s="14"/>
      <c r="AA1289" s="14"/>
      <c r="AB1289" s="14"/>
      <c r="AC1289" s="14"/>
      <c r="AD1289" s="14"/>
      <c r="AE1289" s="14"/>
      <c r="AF1289" s="14"/>
      <c r="AG1289" s="14"/>
      <c r="AH1289" s="14"/>
      <c r="AI1289" s="14"/>
      <c r="AJ1289" s="14"/>
      <c r="AK1289" s="14"/>
      <c r="AL1289" s="14"/>
      <c r="AM1289" s="14"/>
    </row>
    <row r="1290" spans="1:39" x14ac:dyDescent="0.3">
      <c r="A1290" s="14"/>
      <c r="B1290" s="14"/>
      <c r="C1290" s="14"/>
      <c r="D1290" s="14"/>
      <c r="E1290" s="14"/>
      <c r="F1290" s="14"/>
      <c r="G1290" s="14"/>
      <c r="H1290" s="14"/>
      <c r="I1290" s="14"/>
      <c r="J1290" s="14"/>
      <c r="K1290" s="14"/>
      <c r="L1290" s="14"/>
      <c r="M1290" s="14"/>
      <c r="N1290" s="14"/>
      <c r="O1290" s="14"/>
      <c r="P1290" s="14"/>
      <c r="Q1290" s="14"/>
      <c r="R1290" s="14"/>
      <c r="S1290" s="14"/>
      <c r="T1290" s="14"/>
      <c r="U1290" s="14"/>
      <c r="V1290" s="14"/>
      <c r="W1290" s="14"/>
      <c r="X1290" s="14"/>
      <c r="Y1290" s="14"/>
      <c r="Z1290" s="14"/>
      <c r="AA1290" s="14"/>
      <c r="AB1290" s="14"/>
      <c r="AC1290" s="14"/>
      <c r="AD1290" s="14"/>
      <c r="AE1290" s="14"/>
      <c r="AF1290" s="14"/>
      <c r="AG1290" s="14"/>
      <c r="AH1290" s="14"/>
      <c r="AI1290" s="14"/>
      <c r="AJ1290" s="14"/>
      <c r="AK1290" s="14"/>
      <c r="AL1290" s="14"/>
      <c r="AM1290" s="14"/>
    </row>
    <row r="1291" spans="1:39" x14ac:dyDescent="0.3">
      <c r="A1291" s="14"/>
      <c r="B1291" s="14"/>
      <c r="C1291" s="14"/>
      <c r="D1291" s="14"/>
      <c r="E1291" s="14"/>
      <c r="F1291" s="14"/>
      <c r="G1291" s="14"/>
      <c r="H1291" s="14"/>
      <c r="I1291" s="14"/>
      <c r="J1291" s="14"/>
      <c r="K1291" s="14"/>
      <c r="L1291" s="14"/>
      <c r="M1291" s="14"/>
      <c r="N1291" s="14"/>
      <c r="O1291" s="14"/>
      <c r="P1291" s="14"/>
      <c r="Q1291" s="14"/>
      <c r="R1291" s="14"/>
      <c r="S1291" s="14"/>
      <c r="T1291" s="14"/>
      <c r="U1291" s="14"/>
      <c r="V1291" s="14"/>
      <c r="W1291" s="14"/>
      <c r="X1291" s="14"/>
      <c r="Y1291" s="14"/>
      <c r="Z1291" s="14"/>
      <c r="AA1291" s="14"/>
      <c r="AB1291" s="14"/>
      <c r="AC1291" s="14"/>
      <c r="AD1291" s="14"/>
      <c r="AE1291" s="14"/>
      <c r="AF1291" s="14"/>
      <c r="AG1291" s="14"/>
      <c r="AH1291" s="14"/>
      <c r="AI1291" s="14"/>
      <c r="AJ1291" s="14"/>
      <c r="AK1291" s="14"/>
      <c r="AL1291" s="14"/>
      <c r="AM1291" s="14"/>
    </row>
    <row r="1292" spans="1:39" x14ac:dyDescent="0.3">
      <c r="A1292" s="14"/>
      <c r="B1292" s="14"/>
      <c r="C1292" s="14"/>
      <c r="D1292" s="14"/>
      <c r="E1292" s="14"/>
      <c r="F1292" s="14"/>
      <c r="G1292" s="14"/>
      <c r="H1292" s="14"/>
      <c r="I1292" s="14"/>
      <c r="J1292" s="14"/>
      <c r="K1292" s="14"/>
      <c r="L1292" s="14"/>
      <c r="M1292" s="14"/>
      <c r="N1292" s="14"/>
      <c r="O1292" s="14"/>
      <c r="P1292" s="14"/>
      <c r="Q1292" s="14"/>
      <c r="R1292" s="14"/>
      <c r="S1292" s="14"/>
      <c r="T1292" s="14"/>
      <c r="U1292" s="14"/>
      <c r="V1292" s="14"/>
      <c r="W1292" s="14"/>
      <c r="X1292" s="14"/>
      <c r="Y1292" s="14"/>
      <c r="Z1292" s="14"/>
      <c r="AA1292" s="14"/>
      <c r="AB1292" s="14"/>
      <c r="AC1292" s="14"/>
      <c r="AD1292" s="14"/>
      <c r="AE1292" s="14"/>
      <c r="AF1292" s="14"/>
      <c r="AG1292" s="14"/>
      <c r="AH1292" s="14"/>
      <c r="AI1292" s="14"/>
      <c r="AJ1292" s="14"/>
      <c r="AK1292" s="14"/>
      <c r="AL1292" s="14"/>
      <c r="AM1292" s="14"/>
    </row>
    <row r="1293" spans="1:39" x14ac:dyDescent="0.3">
      <c r="A1293" s="14"/>
      <c r="B1293" s="14"/>
      <c r="C1293" s="14"/>
      <c r="D1293" s="14"/>
      <c r="E1293" s="14"/>
      <c r="F1293" s="14"/>
      <c r="G1293" s="14"/>
      <c r="H1293" s="14"/>
      <c r="I1293" s="14"/>
      <c r="J1293" s="14"/>
      <c r="K1293" s="14"/>
      <c r="L1293" s="14"/>
      <c r="M1293" s="14"/>
      <c r="N1293" s="14"/>
      <c r="O1293" s="14"/>
      <c r="P1293" s="14"/>
      <c r="Q1293" s="14"/>
      <c r="R1293" s="14"/>
      <c r="S1293" s="14"/>
      <c r="T1293" s="14"/>
      <c r="U1293" s="14"/>
      <c r="V1293" s="14"/>
      <c r="W1293" s="14"/>
      <c r="X1293" s="14"/>
      <c r="Y1293" s="14"/>
      <c r="Z1293" s="14"/>
      <c r="AA1293" s="14"/>
      <c r="AB1293" s="14"/>
      <c r="AC1293" s="14"/>
      <c r="AD1293" s="14"/>
      <c r="AE1293" s="14"/>
      <c r="AF1293" s="14"/>
      <c r="AG1293" s="14"/>
      <c r="AH1293" s="14"/>
      <c r="AI1293" s="14"/>
      <c r="AJ1293" s="14"/>
      <c r="AK1293" s="14"/>
      <c r="AL1293" s="14"/>
      <c r="AM1293" s="14"/>
    </row>
    <row r="1294" spans="1:39" x14ac:dyDescent="0.3">
      <c r="A1294" s="14"/>
      <c r="B1294" s="14"/>
      <c r="C1294" s="14"/>
      <c r="D1294" s="14"/>
      <c r="E1294" s="14"/>
      <c r="F1294" s="14"/>
      <c r="G1294" s="14"/>
      <c r="H1294" s="14"/>
      <c r="I1294" s="14"/>
      <c r="J1294" s="14"/>
      <c r="K1294" s="14"/>
      <c r="L1294" s="14"/>
      <c r="M1294" s="14"/>
      <c r="N1294" s="14"/>
      <c r="O1294" s="14"/>
      <c r="P1294" s="14"/>
      <c r="Q1294" s="14"/>
      <c r="R1294" s="14"/>
      <c r="S1294" s="14"/>
      <c r="T1294" s="14"/>
      <c r="U1294" s="14"/>
      <c r="V1294" s="14"/>
      <c r="W1294" s="14"/>
      <c r="X1294" s="14"/>
      <c r="Y1294" s="14"/>
      <c r="Z1294" s="14"/>
      <c r="AA1294" s="14"/>
      <c r="AB1294" s="14"/>
      <c r="AC1294" s="14"/>
      <c r="AD1294" s="14"/>
      <c r="AE1294" s="14"/>
      <c r="AF1294" s="14"/>
      <c r="AG1294" s="14"/>
      <c r="AH1294" s="14"/>
      <c r="AI1294" s="14"/>
      <c r="AJ1294" s="14"/>
      <c r="AK1294" s="14"/>
      <c r="AL1294" s="14"/>
      <c r="AM1294" s="14"/>
    </row>
    <row r="1295" spans="1:39" x14ac:dyDescent="0.3">
      <c r="A1295" s="14"/>
      <c r="B1295" s="14"/>
      <c r="C1295" s="14"/>
      <c r="D1295" s="14"/>
      <c r="E1295" s="14"/>
      <c r="F1295" s="14"/>
      <c r="G1295" s="14"/>
      <c r="H1295" s="14"/>
      <c r="I1295" s="14"/>
      <c r="J1295" s="14"/>
      <c r="K1295" s="14"/>
      <c r="L1295" s="14"/>
      <c r="M1295" s="14"/>
      <c r="N1295" s="14"/>
      <c r="O1295" s="14"/>
      <c r="P1295" s="14"/>
      <c r="Q1295" s="14"/>
      <c r="R1295" s="14"/>
      <c r="S1295" s="14"/>
      <c r="T1295" s="14"/>
      <c r="U1295" s="14"/>
      <c r="V1295" s="14"/>
      <c r="W1295" s="14"/>
      <c r="X1295" s="14"/>
      <c r="Y1295" s="14"/>
      <c r="Z1295" s="14"/>
      <c r="AA1295" s="14"/>
      <c r="AB1295" s="14"/>
      <c r="AC1295" s="14"/>
      <c r="AD1295" s="14"/>
      <c r="AE1295" s="14"/>
      <c r="AF1295" s="14"/>
      <c r="AG1295" s="14"/>
      <c r="AH1295" s="14"/>
      <c r="AI1295" s="14"/>
      <c r="AJ1295" s="14"/>
      <c r="AK1295" s="14"/>
      <c r="AL1295" s="14"/>
      <c r="AM1295" s="14"/>
    </row>
    <row r="1296" spans="1:39" x14ac:dyDescent="0.3">
      <c r="A1296" s="14"/>
      <c r="B1296" s="14"/>
      <c r="C1296" s="14"/>
      <c r="D1296" s="14"/>
      <c r="E1296" s="14"/>
      <c r="F1296" s="14"/>
      <c r="G1296" s="14"/>
      <c r="H1296" s="14"/>
      <c r="I1296" s="14"/>
      <c r="J1296" s="14"/>
      <c r="K1296" s="14"/>
      <c r="L1296" s="14"/>
      <c r="M1296" s="14"/>
      <c r="N1296" s="14"/>
      <c r="O1296" s="14"/>
      <c r="P1296" s="14"/>
      <c r="Q1296" s="14"/>
      <c r="R1296" s="14"/>
      <c r="S1296" s="14"/>
      <c r="T1296" s="14"/>
      <c r="U1296" s="14"/>
      <c r="V1296" s="14"/>
      <c r="W1296" s="14"/>
      <c r="X1296" s="14"/>
      <c r="Y1296" s="14"/>
      <c r="Z1296" s="14"/>
      <c r="AA1296" s="14"/>
      <c r="AB1296" s="14"/>
      <c r="AC1296" s="14"/>
      <c r="AD1296" s="14"/>
      <c r="AE1296" s="14"/>
      <c r="AF1296" s="14"/>
      <c r="AG1296" s="14"/>
      <c r="AH1296" s="14"/>
      <c r="AI1296" s="14"/>
      <c r="AJ1296" s="14"/>
      <c r="AK1296" s="14"/>
      <c r="AL1296" s="14"/>
      <c r="AM1296" s="14"/>
    </row>
    <row r="1297" spans="1:39" x14ac:dyDescent="0.3">
      <c r="A1297" s="14"/>
      <c r="B1297" s="14"/>
      <c r="C1297" s="14"/>
      <c r="D1297" s="14"/>
      <c r="E1297" s="14"/>
      <c r="F1297" s="14"/>
      <c r="G1297" s="14"/>
      <c r="H1297" s="14"/>
      <c r="I1297" s="14"/>
      <c r="J1297" s="14"/>
      <c r="K1297" s="14"/>
      <c r="L1297" s="14"/>
      <c r="M1297" s="14"/>
      <c r="N1297" s="14"/>
      <c r="O1297" s="14"/>
      <c r="P1297" s="14"/>
      <c r="Q1297" s="14"/>
      <c r="R1297" s="14"/>
      <c r="S1297" s="14"/>
      <c r="T1297" s="14"/>
      <c r="U1297" s="14"/>
      <c r="V1297" s="14"/>
      <c r="W1297" s="14"/>
      <c r="X1297" s="14"/>
      <c r="Y1297" s="14"/>
      <c r="Z1297" s="14"/>
      <c r="AA1297" s="14"/>
      <c r="AB1297" s="14"/>
      <c r="AC1297" s="14"/>
      <c r="AD1297" s="14"/>
      <c r="AE1297" s="14"/>
      <c r="AF1297" s="14"/>
      <c r="AG1297" s="14"/>
      <c r="AH1297" s="14"/>
      <c r="AI1297" s="14"/>
      <c r="AJ1297" s="14"/>
      <c r="AK1297" s="14"/>
      <c r="AL1297" s="14"/>
      <c r="AM1297" s="14"/>
    </row>
    <row r="1298" spans="1:39" x14ac:dyDescent="0.3">
      <c r="A1298" s="14"/>
      <c r="B1298" s="14"/>
      <c r="C1298" s="14"/>
      <c r="D1298" s="14"/>
      <c r="E1298" s="14"/>
      <c r="F1298" s="14"/>
      <c r="G1298" s="14"/>
      <c r="H1298" s="14"/>
      <c r="I1298" s="14"/>
      <c r="J1298" s="14"/>
      <c r="K1298" s="14"/>
      <c r="L1298" s="14"/>
      <c r="M1298" s="14"/>
      <c r="N1298" s="14"/>
      <c r="O1298" s="14"/>
      <c r="P1298" s="14"/>
      <c r="Q1298" s="14"/>
      <c r="R1298" s="14"/>
      <c r="S1298" s="14"/>
      <c r="T1298" s="14"/>
      <c r="U1298" s="14"/>
      <c r="V1298" s="14"/>
      <c r="W1298" s="14"/>
      <c r="X1298" s="14"/>
      <c r="Y1298" s="14"/>
      <c r="Z1298" s="14"/>
      <c r="AA1298" s="14"/>
      <c r="AB1298" s="14"/>
      <c r="AC1298" s="14"/>
      <c r="AD1298" s="14"/>
      <c r="AE1298" s="14"/>
      <c r="AF1298" s="14"/>
      <c r="AG1298" s="14"/>
      <c r="AH1298" s="14"/>
      <c r="AI1298" s="14"/>
      <c r="AJ1298" s="14"/>
      <c r="AK1298" s="14"/>
      <c r="AL1298" s="14"/>
      <c r="AM1298" s="14"/>
    </row>
    <row r="1299" spans="1:39" x14ac:dyDescent="0.3">
      <c r="A1299" s="14"/>
      <c r="B1299" s="14"/>
      <c r="C1299" s="14"/>
      <c r="D1299" s="14"/>
      <c r="E1299" s="14"/>
      <c r="F1299" s="14"/>
      <c r="G1299" s="14"/>
      <c r="H1299" s="14"/>
      <c r="I1299" s="14"/>
      <c r="J1299" s="14"/>
      <c r="K1299" s="14"/>
      <c r="L1299" s="14"/>
      <c r="M1299" s="14"/>
      <c r="N1299" s="14"/>
      <c r="O1299" s="14"/>
      <c r="P1299" s="14"/>
      <c r="Q1299" s="14"/>
      <c r="R1299" s="14"/>
      <c r="S1299" s="14"/>
      <c r="T1299" s="14"/>
      <c r="U1299" s="14"/>
      <c r="V1299" s="14"/>
      <c r="W1299" s="14"/>
      <c r="X1299" s="14"/>
      <c r="Y1299" s="14"/>
      <c r="Z1299" s="14"/>
      <c r="AA1299" s="14"/>
      <c r="AB1299" s="14"/>
      <c r="AC1299" s="14"/>
      <c r="AD1299" s="14"/>
      <c r="AE1299" s="14"/>
      <c r="AF1299" s="14"/>
      <c r="AG1299" s="14"/>
      <c r="AH1299" s="14"/>
      <c r="AI1299" s="14"/>
      <c r="AJ1299" s="14"/>
      <c r="AK1299" s="14"/>
      <c r="AL1299" s="14"/>
      <c r="AM1299" s="14"/>
    </row>
    <row r="1300" spans="1:39" x14ac:dyDescent="0.3">
      <c r="A1300" s="14"/>
      <c r="B1300" s="14"/>
      <c r="C1300" s="14"/>
      <c r="D1300" s="14"/>
      <c r="E1300" s="14"/>
      <c r="F1300" s="14"/>
      <c r="G1300" s="14"/>
      <c r="H1300" s="14"/>
      <c r="I1300" s="14"/>
      <c r="J1300" s="14"/>
      <c r="K1300" s="14"/>
      <c r="L1300" s="14"/>
      <c r="M1300" s="14"/>
      <c r="N1300" s="14"/>
      <c r="O1300" s="14"/>
      <c r="P1300" s="14"/>
      <c r="Q1300" s="14"/>
      <c r="R1300" s="14"/>
      <c r="S1300" s="14"/>
      <c r="T1300" s="14"/>
      <c r="U1300" s="14"/>
      <c r="V1300" s="14"/>
      <c r="W1300" s="14"/>
      <c r="X1300" s="14"/>
      <c r="Y1300" s="14"/>
      <c r="Z1300" s="14"/>
      <c r="AA1300" s="14"/>
      <c r="AB1300" s="14"/>
      <c r="AC1300" s="14"/>
      <c r="AD1300" s="14"/>
      <c r="AE1300" s="14"/>
      <c r="AF1300" s="14"/>
      <c r="AG1300" s="14"/>
      <c r="AH1300" s="14"/>
      <c r="AI1300" s="14"/>
      <c r="AJ1300" s="14"/>
      <c r="AK1300" s="14"/>
      <c r="AL1300" s="14"/>
      <c r="AM1300" s="14"/>
    </row>
    <row r="1301" spans="1:39" x14ac:dyDescent="0.3">
      <c r="A1301" s="14"/>
      <c r="B1301" s="14"/>
      <c r="C1301" s="14"/>
      <c r="D1301" s="14"/>
      <c r="E1301" s="14"/>
      <c r="F1301" s="14"/>
      <c r="G1301" s="14"/>
      <c r="H1301" s="14"/>
      <c r="I1301" s="14"/>
      <c r="J1301" s="14"/>
      <c r="K1301" s="14"/>
      <c r="L1301" s="14"/>
      <c r="M1301" s="14"/>
      <c r="N1301" s="14"/>
      <c r="O1301" s="14"/>
      <c r="P1301" s="14"/>
      <c r="Q1301" s="14"/>
      <c r="R1301" s="14"/>
      <c r="S1301" s="14"/>
      <c r="T1301" s="14"/>
      <c r="U1301" s="14"/>
      <c r="V1301" s="14"/>
      <c r="W1301" s="14"/>
      <c r="X1301" s="14"/>
      <c r="Y1301" s="14"/>
      <c r="Z1301" s="14"/>
      <c r="AA1301" s="14"/>
      <c r="AB1301" s="14"/>
      <c r="AC1301" s="14"/>
      <c r="AD1301" s="14"/>
      <c r="AE1301" s="14"/>
      <c r="AF1301" s="14"/>
      <c r="AG1301" s="14"/>
      <c r="AH1301" s="14"/>
      <c r="AI1301" s="14"/>
      <c r="AJ1301" s="14"/>
      <c r="AK1301" s="14"/>
      <c r="AL1301" s="14"/>
      <c r="AM1301" s="14"/>
    </row>
    <row r="1302" spans="1:39" x14ac:dyDescent="0.3">
      <c r="A1302" s="14"/>
      <c r="B1302" s="14"/>
      <c r="C1302" s="14"/>
      <c r="D1302" s="14"/>
      <c r="E1302" s="14"/>
      <c r="F1302" s="14"/>
      <c r="G1302" s="14"/>
      <c r="H1302" s="14"/>
      <c r="I1302" s="14"/>
      <c r="J1302" s="14"/>
      <c r="K1302" s="14"/>
      <c r="L1302" s="14"/>
      <c r="M1302" s="14"/>
      <c r="N1302" s="14"/>
      <c r="O1302" s="14"/>
      <c r="P1302" s="14"/>
      <c r="Q1302" s="14"/>
      <c r="R1302" s="14"/>
      <c r="S1302" s="14"/>
      <c r="T1302" s="14"/>
      <c r="U1302" s="14"/>
      <c r="V1302" s="14"/>
      <c r="W1302" s="14"/>
      <c r="X1302" s="14"/>
      <c r="Y1302" s="14"/>
      <c r="Z1302" s="14"/>
      <c r="AA1302" s="14"/>
      <c r="AB1302" s="14"/>
      <c r="AC1302" s="14"/>
      <c r="AD1302" s="14"/>
      <c r="AE1302" s="14"/>
      <c r="AF1302" s="14"/>
      <c r="AG1302" s="14"/>
      <c r="AH1302" s="14"/>
      <c r="AI1302" s="14"/>
      <c r="AJ1302" s="14"/>
      <c r="AK1302" s="14"/>
      <c r="AL1302" s="14"/>
      <c r="AM1302" s="14"/>
    </row>
    <row r="1303" spans="1:39" x14ac:dyDescent="0.3">
      <c r="A1303" s="14"/>
      <c r="B1303" s="14"/>
      <c r="C1303" s="14"/>
      <c r="D1303" s="14"/>
      <c r="E1303" s="14"/>
      <c r="F1303" s="14"/>
      <c r="G1303" s="14"/>
      <c r="H1303" s="14"/>
      <c r="I1303" s="14"/>
      <c r="J1303" s="14"/>
      <c r="K1303" s="14"/>
      <c r="L1303" s="14"/>
      <c r="M1303" s="14"/>
      <c r="N1303" s="14"/>
      <c r="O1303" s="14"/>
      <c r="P1303" s="14"/>
      <c r="Q1303" s="14"/>
      <c r="R1303" s="14"/>
      <c r="S1303" s="14"/>
      <c r="T1303" s="14"/>
      <c r="U1303" s="14"/>
      <c r="V1303" s="14"/>
      <c r="W1303" s="14"/>
      <c r="X1303" s="14"/>
      <c r="Y1303" s="14"/>
      <c r="Z1303" s="14"/>
      <c r="AA1303" s="14"/>
      <c r="AB1303" s="14"/>
      <c r="AC1303" s="14"/>
      <c r="AD1303" s="14"/>
      <c r="AE1303" s="14"/>
      <c r="AF1303" s="14"/>
      <c r="AG1303" s="14"/>
      <c r="AH1303" s="14"/>
      <c r="AI1303" s="14"/>
      <c r="AJ1303" s="14"/>
      <c r="AK1303" s="14"/>
      <c r="AL1303" s="14"/>
      <c r="AM1303" s="14"/>
    </row>
    <row r="1304" spans="1:39" x14ac:dyDescent="0.3">
      <c r="A1304" s="14"/>
      <c r="B1304" s="14"/>
      <c r="C1304" s="14"/>
      <c r="D1304" s="14"/>
      <c r="E1304" s="14"/>
      <c r="F1304" s="14"/>
      <c r="G1304" s="14"/>
      <c r="H1304" s="14"/>
      <c r="I1304" s="14"/>
      <c r="J1304" s="14"/>
      <c r="K1304" s="14"/>
      <c r="L1304" s="14"/>
      <c r="M1304" s="14"/>
      <c r="N1304" s="14"/>
      <c r="O1304" s="14"/>
      <c r="P1304" s="14"/>
      <c r="Q1304" s="14"/>
      <c r="R1304" s="14"/>
      <c r="S1304" s="14"/>
      <c r="T1304" s="14"/>
      <c r="U1304" s="14"/>
      <c r="V1304" s="14"/>
      <c r="W1304" s="14"/>
      <c r="X1304" s="14"/>
      <c r="Y1304" s="14"/>
      <c r="Z1304" s="14"/>
      <c r="AA1304" s="14"/>
      <c r="AB1304" s="14"/>
      <c r="AC1304" s="14"/>
      <c r="AD1304" s="14"/>
      <c r="AE1304" s="14"/>
      <c r="AF1304" s="14"/>
      <c r="AG1304" s="14"/>
      <c r="AH1304" s="14"/>
      <c r="AI1304" s="14"/>
      <c r="AJ1304" s="14"/>
      <c r="AK1304" s="14"/>
      <c r="AL1304" s="14"/>
      <c r="AM1304" s="14"/>
    </row>
    <row r="1305" spans="1:39" x14ac:dyDescent="0.3">
      <c r="A1305" s="14"/>
      <c r="B1305" s="14"/>
      <c r="C1305" s="14"/>
      <c r="D1305" s="14"/>
      <c r="E1305" s="14"/>
      <c r="F1305" s="14"/>
      <c r="G1305" s="14"/>
      <c r="H1305" s="14"/>
      <c r="I1305" s="14"/>
      <c r="J1305" s="14"/>
      <c r="K1305" s="14"/>
      <c r="L1305" s="14"/>
      <c r="M1305" s="14"/>
      <c r="N1305" s="14"/>
      <c r="O1305" s="14"/>
      <c r="P1305" s="14"/>
      <c r="Q1305" s="14"/>
      <c r="R1305" s="14"/>
      <c r="S1305" s="14"/>
      <c r="T1305" s="14"/>
      <c r="U1305" s="14"/>
      <c r="V1305" s="14"/>
      <c r="W1305" s="14"/>
      <c r="X1305" s="14"/>
      <c r="Y1305" s="14"/>
      <c r="Z1305" s="14"/>
      <c r="AA1305" s="14"/>
      <c r="AB1305" s="14"/>
      <c r="AC1305" s="14"/>
      <c r="AD1305" s="14"/>
      <c r="AE1305" s="14"/>
      <c r="AF1305" s="14"/>
      <c r="AG1305" s="14"/>
      <c r="AH1305" s="14"/>
      <c r="AI1305" s="14"/>
      <c r="AJ1305" s="14"/>
      <c r="AK1305" s="14"/>
      <c r="AL1305" s="14"/>
      <c r="AM1305" s="14"/>
    </row>
    <row r="1306" spans="1:39" x14ac:dyDescent="0.3">
      <c r="A1306" s="14"/>
      <c r="B1306" s="14"/>
      <c r="C1306" s="14"/>
      <c r="D1306" s="14"/>
      <c r="E1306" s="14"/>
      <c r="F1306" s="14"/>
      <c r="G1306" s="14"/>
      <c r="H1306" s="14"/>
      <c r="I1306" s="14"/>
      <c r="J1306" s="14"/>
      <c r="K1306" s="14"/>
      <c r="L1306" s="14"/>
      <c r="M1306" s="14"/>
      <c r="N1306" s="14"/>
      <c r="O1306" s="14"/>
      <c r="P1306" s="14"/>
      <c r="Q1306" s="14"/>
      <c r="R1306" s="14"/>
      <c r="S1306" s="14"/>
      <c r="T1306" s="14"/>
      <c r="U1306" s="14"/>
      <c r="V1306" s="14"/>
      <c r="W1306" s="14"/>
      <c r="X1306" s="14"/>
      <c r="Y1306" s="14"/>
      <c r="Z1306" s="14"/>
      <c r="AA1306" s="14"/>
      <c r="AB1306" s="14"/>
      <c r="AC1306" s="14"/>
      <c r="AD1306" s="14"/>
      <c r="AE1306" s="14"/>
      <c r="AF1306" s="14"/>
      <c r="AG1306" s="14"/>
      <c r="AH1306" s="14"/>
      <c r="AI1306" s="14"/>
      <c r="AJ1306" s="14"/>
      <c r="AK1306" s="14"/>
      <c r="AL1306" s="14"/>
      <c r="AM1306" s="14"/>
    </row>
    <row r="1307" spans="1:39" x14ac:dyDescent="0.3">
      <c r="A1307" s="14"/>
      <c r="B1307" s="14"/>
      <c r="C1307" s="14"/>
      <c r="D1307" s="14"/>
      <c r="E1307" s="14"/>
      <c r="F1307" s="14"/>
      <c r="G1307" s="14"/>
      <c r="H1307" s="14"/>
      <c r="I1307" s="14"/>
      <c r="J1307" s="14"/>
      <c r="K1307" s="14"/>
      <c r="L1307" s="14"/>
      <c r="M1307" s="14"/>
      <c r="N1307" s="14"/>
      <c r="O1307" s="14"/>
      <c r="P1307" s="14"/>
      <c r="Q1307" s="14"/>
      <c r="R1307" s="14"/>
      <c r="S1307" s="14"/>
      <c r="T1307" s="14"/>
      <c r="U1307" s="14"/>
      <c r="V1307" s="14"/>
      <c r="W1307" s="14"/>
      <c r="X1307" s="14"/>
      <c r="Y1307" s="14"/>
      <c r="Z1307" s="14"/>
      <c r="AA1307" s="14"/>
      <c r="AB1307" s="14"/>
      <c r="AC1307" s="14"/>
      <c r="AD1307" s="14"/>
      <c r="AE1307" s="14"/>
      <c r="AF1307" s="14"/>
      <c r="AG1307" s="14"/>
      <c r="AH1307" s="14"/>
      <c r="AI1307" s="14"/>
      <c r="AJ1307" s="14"/>
      <c r="AK1307" s="14"/>
      <c r="AL1307" s="14"/>
      <c r="AM1307" s="14"/>
    </row>
    <row r="1308" spans="1:39" x14ac:dyDescent="0.3">
      <c r="A1308" s="14"/>
      <c r="B1308" s="14"/>
      <c r="C1308" s="14"/>
      <c r="D1308" s="14"/>
      <c r="E1308" s="14"/>
      <c r="F1308" s="14"/>
      <c r="G1308" s="14"/>
      <c r="H1308" s="14"/>
      <c r="I1308" s="14"/>
      <c r="J1308" s="14"/>
      <c r="K1308" s="14"/>
      <c r="L1308" s="14"/>
      <c r="M1308" s="14"/>
      <c r="N1308" s="14"/>
      <c r="O1308" s="14"/>
      <c r="P1308" s="14"/>
      <c r="Q1308" s="14"/>
      <c r="R1308" s="14"/>
      <c r="S1308" s="14"/>
      <c r="T1308" s="14"/>
      <c r="U1308" s="14"/>
      <c r="V1308" s="14"/>
      <c r="W1308" s="14"/>
      <c r="X1308" s="14"/>
      <c r="Y1308" s="14"/>
      <c r="Z1308" s="14"/>
      <c r="AA1308" s="14"/>
      <c r="AB1308" s="14"/>
      <c r="AC1308" s="14"/>
      <c r="AD1308" s="14"/>
      <c r="AE1308" s="14"/>
      <c r="AF1308" s="14"/>
      <c r="AG1308" s="14"/>
      <c r="AH1308" s="14"/>
      <c r="AI1308" s="14"/>
      <c r="AJ1308" s="14"/>
      <c r="AK1308" s="14"/>
      <c r="AL1308" s="14"/>
      <c r="AM1308" s="14"/>
    </row>
    <row r="1309" spans="1:39" x14ac:dyDescent="0.3">
      <c r="A1309" s="14"/>
      <c r="B1309" s="14"/>
      <c r="C1309" s="14"/>
      <c r="D1309" s="14"/>
      <c r="E1309" s="14"/>
      <c r="F1309" s="14"/>
      <c r="G1309" s="14"/>
      <c r="H1309" s="14"/>
      <c r="I1309" s="14"/>
      <c r="J1309" s="14"/>
      <c r="K1309" s="14"/>
      <c r="L1309" s="14"/>
      <c r="M1309" s="14"/>
      <c r="N1309" s="14"/>
      <c r="O1309" s="14"/>
      <c r="P1309" s="14"/>
      <c r="Q1309" s="14"/>
      <c r="R1309" s="14"/>
      <c r="S1309" s="14"/>
      <c r="T1309" s="14"/>
      <c r="U1309" s="14"/>
      <c r="V1309" s="14"/>
      <c r="W1309" s="14"/>
      <c r="X1309" s="14"/>
      <c r="Y1309" s="14"/>
      <c r="Z1309" s="14"/>
      <c r="AA1309" s="14"/>
      <c r="AB1309" s="14"/>
      <c r="AC1309" s="14"/>
      <c r="AD1309" s="14"/>
      <c r="AE1309" s="14"/>
      <c r="AF1309" s="14"/>
      <c r="AG1309" s="14"/>
      <c r="AH1309" s="14"/>
      <c r="AI1309" s="14"/>
      <c r="AJ1309" s="14"/>
      <c r="AK1309" s="14"/>
      <c r="AL1309" s="14"/>
      <c r="AM1309" s="14"/>
    </row>
    <row r="1310" spans="1:39" x14ac:dyDescent="0.3">
      <c r="A1310" s="14"/>
      <c r="B1310" s="14"/>
      <c r="C1310" s="14"/>
      <c r="D1310" s="14"/>
      <c r="E1310" s="14"/>
      <c r="F1310" s="14"/>
      <c r="G1310" s="14"/>
      <c r="H1310" s="14"/>
      <c r="I1310" s="14"/>
      <c r="J1310" s="14"/>
      <c r="K1310" s="14"/>
      <c r="L1310" s="14"/>
      <c r="M1310" s="14"/>
      <c r="N1310" s="14"/>
      <c r="O1310" s="14"/>
      <c r="P1310" s="14"/>
      <c r="Q1310" s="14"/>
      <c r="R1310" s="14"/>
      <c r="S1310" s="14"/>
      <c r="T1310" s="14"/>
      <c r="U1310" s="14"/>
      <c r="V1310" s="14"/>
      <c r="W1310" s="14"/>
      <c r="X1310" s="14"/>
      <c r="Y1310" s="14"/>
      <c r="Z1310" s="14"/>
      <c r="AA1310" s="14"/>
      <c r="AB1310" s="14"/>
      <c r="AC1310" s="14"/>
      <c r="AD1310" s="14"/>
      <c r="AE1310" s="14"/>
      <c r="AF1310" s="14"/>
      <c r="AG1310" s="14"/>
      <c r="AH1310" s="14"/>
      <c r="AI1310" s="14"/>
      <c r="AJ1310" s="14"/>
      <c r="AK1310" s="14"/>
      <c r="AL1310" s="14"/>
      <c r="AM1310" s="14"/>
    </row>
    <row r="1311" spans="1:39" x14ac:dyDescent="0.3">
      <c r="A1311" s="14"/>
      <c r="B1311" s="14"/>
      <c r="C1311" s="14"/>
      <c r="D1311" s="14"/>
      <c r="E1311" s="14"/>
      <c r="F1311" s="14"/>
      <c r="G1311" s="14"/>
      <c r="H1311" s="14"/>
      <c r="I1311" s="14"/>
      <c r="J1311" s="14"/>
      <c r="K1311" s="14"/>
      <c r="L1311" s="14"/>
      <c r="M1311" s="14"/>
      <c r="N1311" s="14"/>
      <c r="O1311" s="14"/>
      <c r="P1311" s="14"/>
      <c r="Q1311" s="14"/>
      <c r="R1311" s="14"/>
      <c r="S1311" s="14"/>
      <c r="T1311" s="14"/>
      <c r="U1311" s="14"/>
      <c r="V1311" s="14"/>
      <c r="W1311" s="14"/>
      <c r="X1311" s="14"/>
      <c r="Y1311" s="14"/>
      <c r="Z1311" s="14"/>
      <c r="AA1311" s="14"/>
      <c r="AB1311" s="14"/>
      <c r="AC1311" s="14"/>
      <c r="AD1311" s="14"/>
      <c r="AE1311" s="14"/>
      <c r="AF1311" s="14"/>
      <c r="AG1311" s="14"/>
      <c r="AH1311" s="14"/>
      <c r="AI1311" s="14"/>
      <c r="AJ1311" s="14"/>
      <c r="AK1311" s="14"/>
      <c r="AL1311" s="14"/>
      <c r="AM1311" s="14"/>
    </row>
    <row r="1312" spans="1:39" x14ac:dyDescent="0.3">
      <c r="A1312" s="14"/>
      <c r="B1312" s="14"/>
      <c r="C1312" s="14"/>
      <c r="D1312" s="14"/>
      <c r="E1312" s="14"/>
      <c r="F1312" s="14"/>
      <c r="G1312" s="14"/>
      <c r="H1312" s="14"/>
      <c r="I1312" s="14"/>
      <c r="J1312" s="14"/>
      <c r="K1312" s="14"/>
      <c r="L1312" s="14"/>
      <c r="M1312" s="14"/>
      <c r="N1312" s="14"/>
      <c r="O1312" s="14"/>
      <c r="P1312" s="14"/>
      <c r="Q1312" s="14"/>
      <c r="R1312" s="14"/>
      <c r="S1312" s="14"/>
      <c r="T1312" s="14"/>
      <c r="U1312" s="14"/>
      <c r="V1312" s="14"/>
      <c r="W1312" s="14"/>
      <c r="X1312" s="14"/>
      <c r="Y1312" s="14"/>
      <c r="Z1312" s="14"/>
      <c r="AA1312" s="14"/>
      <c r="AB1312" s="14"/>
      <c r="AC1312" s="14"/>
      <c r="AD1312" s="14"/>
      <c r="AE1312" s="14"/>
      <c r="AF1312" s="14"/>
      <c r="AG1312" s="14"/>
      <c r="AH1312" s="14"/>
      <c r="AI1312" s="14"/>
      <c r="AJ1312" s="14"/>
      <c r="AK1312" s="14"/>
      <c r="AL1312" s="14"/>
      <c r="AM1312" s="14"/>
    </row>
    <row r="1313" spans="1:39" x14ac:dyDescent="0.3">
      <c r="A1313" s="14"/>
      <c r="B1313" s="14"/>
      <c r="C1313" s="14"/>
      <c r="D1313" s="14"/>
      <c r="E1313" s="14"/>
      <c r="F1313" s="14"/>
      <c r="G1313" s="14"/>
      <c r="H1313" s="14"/>
      <c r="I1313" s="14"/>
      <c r="J1313" s="14"/>
      <c r="K1313" s="14"/>
      <c r="L1313" s="14"/>
      <c r="M1313" s="14"/>
      <c r="N1313" s="14"/>
      <c r="O1313" s="14"/>
      <c r="P1313" s="14"/>
      <c r="Q1313" s="14"/>
      <c r="R1313" s="14"/>
      <c r="S1313" s="14"/>
      <c r="T1313" s="14"/>
      <c r="U1313" s="14"/>
      <c r="V1313" s="14"/>
      <c r="W1313" s="14"/>
      <c r="X1313" s="14"/>
      <c r="Y1313" s="14"/>
      <c r="Z1313" s="14"/>
      <c r="AA1313" s="14"/>
      <c r="AB1313" s="14"/>
      <c r="AC1313" s="14"/>
      <c r="AD1313" s="14"/>
      <c r="AE1313" s="14"/>
      <c r="AF1313" s="14"/>
      <c r="AG1313" s="14"/>
      <c r="AH1313" s="14"/>
      <c r="AI1313" s="14"/>
      <c r="AJ1313" s="14"/>
      <c r="AK1313" s="14"/>
      <c r="AL1313" s="14"/>
      <c r="AM1313" s="14"/>
    </row>
    <row r="1314" spans="1:39" x14ac:dyDescent="0.3">
      <c r="A1314" s="14"/>
      <c r="B1314" s="14"/>
      <c r="C1314" s="14"/>
      <c r="D1314" s="14"/>
      <c r="E1314" s="14"/>
      <c r="F1314" s="14"/>
      <c r="G1314" s="14"/>
      <c r="H1314" s="14"/>
      <c r="I1314" s="14"/>
      <c r="J1314" s="14"/>
      <c r="K1314" s="14"/>
      <c r="L1314" s="14"/>
      <c r="M1314" s="14"/>
      <c r="N1314" s="14"/>
      <c r="O1314" s="14"/>
      <c r="P1314" s="14"/>
      <c r="Q1314" s="14"/>
      <c r="R1314" s="14"/>
      <c r="S1314" s="14"/>
      <c r="T1314" s="14"/>
      <c r="U1314" s="14"/>
      <c r="V1314" s="14"/>
      <c r="W1314" s="14"/>
      <c r="X1314" s="14"/>
      <c r="Y1314" s="14"/>
      <c r="Z1314" s="14"/>
      <c r="AA1314" s="14"/>
      <c r="AB1314" s="14"/>
      <c r="AC1314" s="14"/>
      <c r="AD1314" s="14"/>
      <c r="AE1314" s="14"/>
      <c r="AF1314" s="14"/>
      <c r="AG1314" s="14"/>
      <c r="AH1314" s="14"/>
      <c r="AI1314" s="14"/>
      <c r="AJ1314" s="14"/>
      <c r="AK1314" s="14"/>
      <c r="AL1314" s="14"/>
      <c r="AM1314" s="14"/>
    </row>
    <row r="1315" spans="1:39" x14ac:dyDescent="0.3">
      <c r="A1315" s="14"/>
      <c r="B1315" s="14"/>
      <c r="C1315" s="14"/>
      <c r="D1315" s="14"/>
      <c r="E1315" s="14"/>
      <c r="F1315" s="14"/>
      <c r="G1315" s="14"/>
      <c r="H1315" s="14"/>
      <c r="I1315" s="14"/>
      <c r="J1315" s="14"/>
      <c r="K1315" s="14"/>
      <c r="L1315" s="14"/>
      <c r="M1315" s="14"/>
      <c r="N1315" s="14"/>
      <c r="O1315" s="14"/>
      <c r="P1315" s="14"/>
      <c r="Q1315" s="14"/>
      <c r="R1315" s="14"/>
      <c r="S1315" s="14"/>
      <c r="T1315" s="14"/>
      <c r="U1315" s="14"/>
      <c r="V1315" s="14"/>
      <c r="W1315" s="14"/>
      <c r="X1315" s="14"/>
      <c r="Y1315" s="14"/>
      <c r="Z1315" s="14"/>
      <c r="AA1315" s="14"/>
      <c r="AB1315" s="14"/>
      <c r="AC1315" s="14"/>
      <c r="AD1315" s="14"/>
      <c r="AE1315" s="14"/>
      <c r="AF1315" s="14"/>
      <c r="AG1315" s="14"/>
      <c r="AH1315" s="14"/>
      <c r="AI1315" s="14"/>
      <c r="AJ1315" s="14"/>
      <c r="AK1315" s="14"/>
      <c r="AL1315" s="14"/>
      <c r="AM1315" s="14"/>
    </row>
    <row r="1316" spans="1:39" x14ac:dyDescent="0.3">
      <c r="A1316" s="14"/>
      <c r="B1316" s="14"/>
      <c r="C1316" s="14"/>
      <c r="D1316" s="14"/>
      <c r="E1316" s="14"/>
      <c r="F1316" s="14"/>
      <c r="G1316" s="14"/>
      <c r="H1316" s="14"/>
      <c r="I1316" s="14"/>
      <c r="J1316" s="14"/>
      <c r="K1316" s="14"/>
      <c r="L1316" s="14"/>
      <c r="M1316" s="14"/>
      <c r="N1316" s="14"/>
      <c r="O1316" s="14"/>
      <c r="P1316" s="14"/>
      <c r="Q1316" s="14"/>
      <c r="R1316" s="14"/>
      <c r="S1316" s="14"/>
      <c r="T1316" s="14"/>
      <c r="U1316" s="14"/>
      <c r="V1316" s="14"/>
      <c r="W1316" s="14"/>
      <c r="X1316" s="14"/>
      <c r="Y1316" s="14"/>
      <c r="Z1316" s="14"/>
      <c r="AA1316" s="14"/>
      <c r="AB1316" s="14"/>
      <c r="AC1316" s="14"/>
      <c r="AD1316" s="14"/>
      <c r="AE1316" s="14"/>
      <c r="AF1316" s="14"/>
      <c r="AG1316" s="14"/>
      <c r="AH1316" s="14"/>
      <c r="AI1316" s="14"/>
      <c r="AJ1316" s="14"/>
      <c r="AK1316" s="14"/>
      <c r="AL1316" s="14"/>
      <c r="AM1316" s="14"/>
    </row>
    <row r="1317" spans="1:39" x14ac:dyDescent="0.3">
      <c r="A1317" s="14"/>
      <c r="B1317" s="14"/>
      <c r="C1317" s="14"/>
      <c r="D1317" s="14"/>
      <c r="E1317" s="14"/>
      <c r="F1317" s="14"/>
      <c r="G1317" s="14"/>
      <c r="H1317" s="14"/>
      <c r="I1317" s="14"/>
      <c r="J1317" s="14"/>
      <c r="K1317" s="14"/>
      <c r="L1317" s="14"/>
      <c r="M1317" s="14"/>
      <c r="N1317" s="14"/>
      <c r="O1317" s="14"/>
      <c r="P1317" s="14"/>
      <c r="Q1317" s="14"/>
      <c r="R1317" s="14"/>
      <c r="S1317" s="14"/>
      <c r="T1317" s="14"/>
      <c r="U1317" s="14"/>
      <c r="V1317" s="14"/>
      <c r="W1317" s="14"/>
      <c r="X1317" s="14"/>
      <c r="Y1317" s="14"/>
      <c r="Z1317" s="14"/>
      <c r="AA1317" s="14"/>
      <c r="AB1317" s="14"/>
      <c r="AC1317" s="14"/>
      <c r="AD1317" s="14"/>
      <c r="AE1317" s="14"/>
      <c r="AF1317" s="14"/>
      <c r="AG1317" s="14"/>
      <c r="AH1317" s="14"/>
      <c r="AI1317" s="14"/>
      <c r="AJ1317" s="14"/>
      <c r="AK1317" s="14"/>
      <c r="AL1317" s="14"/>
      <c r="AM1317" s="14"/>
    </row>
    <row r="1318" spans="1:39" x14ac:dyDescent="0.3">
      <c r="A1318" s="14"/>
      <c r="B1318" s="14"/>
      <c r="C1318" s="14"/>
      <c r="D1318" s="14"/>
      <c r="E1318" s="14"/>
      <c r="F1318" s="14"/>
      <c r="G1318" s="14"/>
      <c r="H1318" s="14"/>
      <c r="I1318" s="14"/>
      <c r="J1318" s="14"/>
      <c r="K1318" s="14"/>
      <c r="L1318" s="14"/>
      <c r="M1318" s="14"/>
      <c r="N1318" s="14"/>
      <c r="O1318" s="14"/>
      <c r="P1318" s="14"/>
      <c r="Q1318" s="14"/>
      <c r="R1318" s="14"/>
      <c r="S1318" s="14"/>
      <c r="T1318" s="14"/>
      <c r="U1318" s="14"/>
      <c r="V1318" s="14"/>
      <c r="W1318" s="14"/>
      <c r="X1318" s="14"/>
      <c r="Y1318" s="14"/>
      <c r="Z1318" s="14"/>
      <c r="AA1318" s="14"/>
      <c r="AB1318" s="14"/>
      <c r="AC1318" s="14"/>
      <c r="AD1318" s="14"/>
      <c r="AE1318" s="14"/>
      <c r="AF1318" s="14"/>
      <c r="AG1318" s="14"/>
      <c r="AH1318" s="14"/>
      <c r="AI1318" s="14"/>
      <c r="AJ1318" s="14"/>
      <c r="AK1318" s="14"/>
      <c r="AL1318" s="14"/>
      <c r="AM1318" s="14"/>
    </row>
    <row r="1319" spans="1:39" x14ac:dyDescent="0.3">
      <c r="A1319" s="14"/>
      <c r="B1319" s="14"/>
      <c r="C1319" s="14"/>
      <c r="D1319" s="14"/>
      <c r="E1319" s="14"/>
      <c r="F1319" s="14"/>
      <c r="G1319" s="14"/>
      <c r="H1319" s="14"/>
      <c r="I1319" s="14"/>
      <c r="J1319" s="14"/>
      <c r="K1319" s="14"/>
      <c r="L1319" s="14"/>
      <c r="M1319" s="14"/>
      <c r="N1319" s="14"/>
      <c r="O1319" s="14"/>
      <c r="P1319" s="14"/>
      <c r="Q1319" s="14"/>
      <c r="R1319" s="14"/>
      <c r="S1319" s="14"/>
      <c r="T1319" s="14"/>
      <c r="U1319" s="14"/>
      <c r="V1319" s="14"/>
      <c r="W1319" s="14"/>
      <c r="X1319" s="14"/>
      <c r="Y1319" s="14"/>
      <c r="Z1319" s="14"/>
      <c r="AA1319" s="14"/>
      <c r="AB1319" s="14"/>
      <c r="AC1319" s="14"/>
      <c r="AD1319" s="14"/>
      <c r="AE1319" s="14"/>
      <c r="AF1319" s="14"/>
      <c r="AG1319" s="14"/>
      <c r="AH1319" s="14"/>
      <c r="AI1319" s="14"/>
      <c r="AJ1319" s="14"/>
      <c r="AK1319" s="14"/>
      <c r="AL1319" s="14"/>
      <c r="AM1319" s="14"/>
    </row>
    <row r="1320" spans="1:39" x14ac:dyDescent="0.3">
      <c r="A1320" s="14"/>
      <c r="B1320" s="14"/>
      <c r="C1320" s="14"/>
      <c r="D1320" s="14"/>
      <c r="E1320" s="14"/>
      <c r="F1320" s="14"/>
      <c r="G1320" s="14"/>
      <c r="H1320" s="14"/>
      <c r="I1320" s="14"/>
      <c r="J1320" s="14"/>
      <c r="K1320" s="14"/>
      <c r="L1320" s="14"/>
      <c r="M1320" s="14"/>
      <c r="N1320" s="14"/>
      <c r="O1320" s="14"/>
      <c r="P1320" s="14"/>
      <c r="Q1320" s="14"/>
      <c r="R1320" s="14"/>
      <c r="S1320" s="14"/>
      <c r="T1320" s="14"/>
      <c r="U1320" s="14"/>
      <c r="V1320" s="14"/>
      <c r="W1320" s="14"/>
      <c r="X1320" s="14"/>
      <c r="Y1320" s="14"/>
      <c r="Z1320" s="14"/>
      <c r="AA1320" s="14"/>
      <c r="AB1320" s="14"/>
      <c r="AC1320" s="14"/>
      <c r="AD1320" s="14"/>
      <c r="AE1320" s="14"/>
      <c r="AF1320" s="14"/>
      <c r="AG1320" s="14"/>
      <c r="AH1320" s="14"/>
      <c r="AI1320" s="14"/>
      <c r="AJ1320" s="14"/>
      <c r="AK1320" s="14"/>
      <c r="AL1320" s="14"/>
      <c r="AM1320" s="14"/>
    </row>
    <row r="1321" spans="1:39" x14ac:dyDescent="0.3">
      <c r="A1321" s="14"/>
      <c r="B1321" s="14"/>
      <c r="C1321" s="14"/>
      <c r="D1321" s="14"/>
      <c r="E1321" s="14"/>
      <c r="F1321" s="14"/>
      <c r="G1321" s="14"/>
      <c r="H1321" s="14"/>
      <c r="I1321" s="14"/>
      <c r="J1321" s="14"/>
      <c r="K1321" s="14"/>
      <c r="L1321" s="14"/>
      <c r="M1321" s="14"/>
      <c r="N1321" s="14"/>
      <c r="O1321" s="14"/>
      <c r="P1321" s="14"/>
      <c r="Q1321" s="14"/>
      <c r="R1321" s="14"/>
      <c r="S1321" s="14"/>
      <c r="T1321" s="14"/>
      <c r="U1321" s="14"/>
      <c r="V1321" s="14"/>
      <c r="W1321" s="14"/>
      <c r="X1321" s="14"/>
      <c r="Y1321" s="14"/>
      <c r="Z1321" s="14"/>
      <c r="AA1321" s="14"/>
      <c r="AB1321" s="14"/>
      <c r="AC1321" s="14"/>
      <c r="AD1321" s="14"/>
      <c r="AE1321" s="14"/>
      <c r="AF1321" s="14"/>
      <c r="AG1321" s="14"/>
      <c r="AH1321" s="14"/>
      <c r="AI1321" s="14"/>
      <c r="AJ1321" s="14"/>
      <c r="AK1321" s="14"/>
      <c r="AL1321" s="14"/>
      <c r="AM1321" s="14"/>
    </row>
    <row r="1322" spans="1:39" x14ac:dyDescent="0.3">
      <c r="A1322" s="14"/>
      <c r="B1322" s="14"/>
      <c r="C1322" s="14"/>
      <c r="D1322" s="14"/>
      <c r="E1322" s="14"/>
      <c r="F1322" s="14"/>
      <c r="G1322" s="14"/>
      <c r="H1322" s="14"/>
      <c r="I1322" s="14"/>
      <c r="J1322" s="14"/>
      <c r="K1322" s="14"/>
      <c r="L1322" s="14"/>
      <c r="M1322" s="14"/>
      <c r="N1322" s="14"/>
      <c r="O1322" s="14"/>
      <c r="P1322" s="14"/>
      <c r="Q1322" s="14"/>
      <c r="R1322" s="14"/>
      <c r="S1322" s="14"/>
      <c r="T1322" s="14"/>
      <c r="U1322" s="14"/>
      <c r="V1322" s="14"/>
      <c r="W1322" s="14"/>
      <c r="X1322" s="14"/>
      <c r="Y1322" s="14"/>
      <c r="Z1322" s="14"/>
      <c r="AA1322" s="14"/>
      <c r="AB1322" s="14"/>
      <c r="AC1322" s="14"/>
      <c r="AD1322" s="14"/>
      <c r="AE1322" s="14"/>
      <c r="AF1322" s="14"/>
      <c r="AG1322" s="14"/>
      <c r="AH1322" s="14"/>
      <c r="AI1322" s="14"/>
      <c r="AJ1322" s="14"/>
      <c r="AK1322" s="14"/>
      <c r="AL1322" s="14"/>
      <c r="AM1322" s="14"/>
    </row>
    <row r="1323" spans="1:39" x14ac:dyDescent="0.3">
      <c r="A1323" s="14"/>
      <c r="B1323" s="14"/>
      <c r="C1323" s="14"/>
      <c r="D1323" s="14"/>
      <c r="E1323" s="14"/>
      <c r="F1323" s="14"/>
      <c r="G1323" s="14"/>
      <c r="H1323" s="14"/>
      <c r="I1323" s="14"/>
      <c r="J1323" s="14"/>
      <c r="K1323" s="14"/>
      <c r="L1323" s="14"/>
      <c r="M1323" s="14"/>
      <c r="N1323" s="14"/>
      <c r="O1323" s="14"/>
      <c r="P1323" s="14"/>
      <c r="Q1323" s="14"/>
      <c r="R1323" s="14"/>
      <c r="S1323" s="14"/>
      <c r="T1323" s="14"/>
      <c r="U1323" s="14"/>
      <c r="V1323" s="14"/>
      <c r="W1323" s="14"/>
      <c r="X1323" s="14"/>
      <c r="Y1323" s="14"/>
      <c r="Z1323" s="14"/>
      <c r="AA1323" s="14"/>
      <c r="AB1323" s="14"/>
      <c r="AC1323" s="14"/>
      <c r="AD1323" s="14"/>
      <c r="AE1323" s="14"/>
      <c r="AF1323" s="14"/>
      <c r="AG1323" s="14"/>
      <c r="AH1323" s="14"/>
      <c r="AI1323" s="14"/>
      <c r="AJ1323" s="14"/>
      <c r="AK1323" s="14"/>
      <c r="AL1323" s="14"/>
      <c r="AM1323" s="14"/>
    </row>
    <row r="1324" spans="1:39" x14ac:dyDescent="0.3">
      <c r="A1324" s="14"/>
      <c r="B1324" s="14"/>
      <c r="C1324" s="14"/>
      <c r="D1324" s="14"/>
      <c r="E1324" s="14"/>
      <c r="F1324" s="14"/>
      <c r="G1324" s="14"/>
      <c r="H1324" s="14"/>
      <c r="I1324" s="14"/>
      <c r="J1324" s="14"/>
      <c r="K1324" s="14"/>
      <c r="L1324" s="14"/>
      <c r="M1324" s="14"/>
      <c r="N1324" s="14"/>
      <c r="O1324" s="14"/>
      <c r="P1324" s="14"/>
      <c r="Q1324" s="14"/>
      <c r="R1324" s="14"/>
      <c r="S1324" s="14"/>
      <c r="T1324" s="14"/>
      <c r="U1324" s="14"/>
      <c r="V1324" s="14"/>
      <c r="W1324" s="14"/>
      <c r="X1324" s="14"/>
      <c r="Y1324" s="14"/>
      <c r="Z1324" s="14"/>
      <c r="AA1324" s="14"/>
      <c r="AB1324" s="14"/>
      <c r="AC1324" s="14"/>
      <c r="AD1324" s="14"/>
      <c r="AE1324" s="14"/>
      <c r="AF1324" s="14"/>
      <c r="AG1324" s="14"/>
      <c r="AH1324" s="14"/>
      <c r="AI1324" s="14"/>
      <c r="AJ1324" s="14"/>
      <c r="AK1324" s="14"/>
      <c r="AL1324" s="14"/>
      <c r="AM1324" s="14"/>
    </row>
    <row r="1325" spans="1:39" x14ac:dyDescent="0.3">
      <c r="A1325" s="14"/>
      <c r="B1325" s="14"/>
      <c r="C1325" s="14"/>
      <c r="D1325" s="14"/>
      <c r="E1325" s="14"/>
      <c r="F1325" s="14"/>
      <c r="G1325" s="14"/>
      <c r="H1325" s="14"/>
      <c r="I1325" s="14"/>
      <c r="J1325" s="14"/>
      <c r="K1325" s="14"/>
      <c r="L1325" s="14"/>
      <c r="M1325" s="14"/>
      <c r="N1325" s="14"/>
      <c r="O1325" s="14"/>
      <c r="P1325" s="14"/>
      <c r="Q1325" s="14"/>
      <c r="R1325" s="14"/>
      <c r="S1325" s="14"/>
      <c r="T1325" s="14"/>
      <c r="U1325" s="14"/>
      <c r="V1325" s="14"/>
      <c r="W1325" s="14"/>
      <c r="X1325" s="14"/>
      <c r="Y1325" s="14"/>
      <c r="Z1325" s="14"/>
      <c r="AA1325" s="14"/>
      <c r="AB1325" s="14"/>
      <c r="AC1325" s="14"/>
      <c r="AD1325" s="14"/>
      <c r="AE1325" s="14"/>
      <c r="AF1325" s="14"/>
      <c r="AG1325" s="14"/>
      <c r="AH1325" s="14"/>
      <c r="AI1325" s="14"/>
      <c r="AJ1325" s="14"/>
      <c r="AK1325" s="14"/>
      <c r="AL1325" s="14"/>
      <c r="AM1325" s="14"/>
    </row>
    <row r="1326" spans="1:39" x14ac:dyDescent="0.3">
      <c r="A1326" s="14"/>
      <c r="B1326" s="14"/>
      <c r="C1326" s="14"/>
      <c r="D1326" s="14"/>
      <c r="E1326" s="14"/>
      <c r="F1326" s="14"/>
      <c r="G1326" s="14"/>
      <c r="H1326" s="14"/>
      <c r="I1326" s="14"/>
      <c r="J1326" s="14"/>
      <c r="K1326" s="14"/>
      <c r="L1326" s="14"/>
      <c r="M1326" s="14"/>
      <c r="N1326" s="14"/>
      <c r="O1326" s="14"/>
      <c r="P1326" s="14"/>
      <c r="Q1326" s="14"/>
      <c r="R1326" s="14"/>
      <c r="S1326" s="14"/>
      <c r="T1326" s="14"/>
      <c r="U1326" s="14"/>
      <c r="V1326" s="14"/>
      <c r="W1326" s="14"/>
      <c r="X1326" s="14"/>
      <c r="Y1326" s="14"/>
      <c r="Z1326" s="14"/>
      <c r="AA1326" s="14"/>
      <c r="AB1326" s="14"/>
      <c r="AC1326" s="14"/>
      <c r="AD1326" s="14"/>
      <c r="AE1326" s="14"/>
      <c r="AF1326" s="14"/>
      <c r="AG1326" s="14"/>
      <c r="AH1326" s="14"/>
      <c r="AI1326" s="14"/>
      <c r="AJ1326" s="14"/>
      <c r="AK1326" s="14"/>
      <c r="AL1326" s="14"/>
      <c r="AM1326" s="14"/>
    </row>
    <row r="1327" spans="1:39" x14ac:dyDescent="0.3">
      <c r="A1327" s="14"/>
      <c r="B1327" s="14"/>
      <c r="C1327" s="14"/>
      <c r="D1327" s="14"/>
      <c r="E1327" s="14"/>
      <c r="F1327" s="14"/>
      <c r="G1327" s="14"/>
      <c r="H1327" s="14"/>
      <c r="I1327" s="14"/>
      <c r="J1327" s="14"/>
      <c r="K1327" s="14"/>
      <c r="L1327" s="14"/>
      <c r="M1327" s="14"/>
      <c r="N1327" s="14"/>
      <c r="O1327" s="14"/>
      <c r="P1327" s="14"/>
      <c r="Q1327" s="14"/>
      <c r="R1327" s="14"/>
      <c r="S1327" s="14"/>
      <c r="T1327" s="14"/>
      <c r="U1327" s="14"/>
      <c r="V1327" s="14"/>
      <c r="W1327" s="14"/>
      <c r="X1327" s="14"/>
      <c r="Y1327" s="14"/>
      <c r="Z1327" s="14"/>
      <c r="AA1327" s="14"/>
      <c r="AB1327" s="14"/>
      <c r="AC1327" s="14"/>
      <c r="AD1327" s="14"/>
      <c r="AE1327" s="14"/>
      <c r="AF1327" s="14"/>
      <c r="AG1327" s="14"/>
      <c r="AH1327" s="14"/>
      <c r="AI1327" s="14"/>
      <c r="AJ1327" s="14"/>
      <c r="AK1327" s="14"/>
      <c r="AL1327" s="14"/>
      <c r="AM1327" s="14"/>
    </row>
    <row r="1328" spans="1:39" x14ac:dyDescent="0.3">
      <c r="A1328" s="14"/>
      <c r="B1328" s="14"/>
      <c r="C1328" s="14"/>
      <c r="D1328" s="14"/>
      <c r="E1328" s="14"/>
      <c r="F1328" s="14"/>
      <c r="G1328" s="14"/>
      <c r="H1328" s="14"/>
      <c r="I1328" s="14"/>
      <c r="J1328" s="14"/>
      <c r="K1328" s="14"/>
      <c r="L1328" s="14"/>
      <c r="M1328" s="14"/>
      <c r="N1328" s="14"/>
      <c r="O1328" s="14"/>
      <c r="P1328" s="14"/>
      <c r="Q1328" s="14"/>
      <c r="R1328" s="14"/>
      <c r="S1328" s="14"/>
      <c r="T1328" s="14"/>
      <c r="U1328" s="14"/>
      <c r="V1328" s="14"/>
      <c r="W1328" s="14"/>
      <c r="X1328" s="14"/>
      <c r="Y1328" s="14"/>
      <c r="Z1328" s="14"/>
      <c r="AA1328" s="14"/>
      <c r="AB1328" s="14"/>
      <c r="AC1328" s="14"/>
      <c r="AD1328" s="14"/>
      <c r="AE1328" s="14"/>
      <c r="AF1328" s="14"/>
      <c r="AG1328" s="14"/>
      <c r="AH1328" s="14"/>
      <c r="AI1328" s="14"/>
      <c r="AJ1328" s="14"/>
      <c r="AK1328" s="14"/>
      <c r="AL1328" s="14"/>
      <c r="AM1328" s="14"/>
    </row>
    <row r="1329" spans="1:39" x14ac:dyDescent="0.3">
      <c r="A1329" s="14"/>
      <c r="B1329" s="14"/>
      <c r="C1329" s="14"/>
      <c r="D1329" s="14"/>
      <c r="E1329" s="14"/>
      <c r="F1329" s="14"/>
      <c r="G1329" s="14"/>
      <c r="H1329" s="14"/>
      <c r="I1329" s="14"/>
      <c r="J1329" s="14"/>
      <c r="K1329" s="14"/>
      <c r="L1329" s="14"/>
      <c r="M1329" s="14"/>
      <c r="N1329" s="14"/>
      <c r="O1329" s="14"/>
      <c r="P1329" s="14"/>
      <c r="Q1329" s="14"/>
      <c r="R1329" s="14"/>
      <c r="S1329" s="14"/>
      <c r="T1329" s="14"/>
      <c r="U1329" s="14"/>
      <c r="V1329" s="14"/>
      <c r="W1329" s="14"/>
      <c r="X1329" s="14"/>
      <c r="Y1329" s="14"/>
      <c r="Z1329" s="14"/>
      <c r="AA1329" s="14"/>
      <c r="AB1329" s="14"/>
      <c r="AC1329" s="14"/>
      <c r="AD1329" s="14"/>
      <c r="AE1329" s="14"/>
      <c r="AF1329" s="14"/>
      <c r="AG1329" s="14"/>
      <c r="AH1329" s="14"/>
      <c r="AI1329" s="14"/>
      <c r="AJ1329" s="14"/>
      <c r="AK1329" s="14"/>
      <c r="AL1329" s="14"/>
      <c r="AM1329" s="14"/>
    </row>
    <row r="1330" spans="1:39" x14ac:dyDescent="0.3">
      <c r="A1330" s="14"/>
      <c r="B1330" s="14"/>
      <c r="C1330" s="14"/>
      <c r="D1330" s="14"/>
      <c r="E1330" s="14"/>
      <c r="F1330" s="14"/>
      <c r="G1330" s="14"/>
      <c r="H1330" s="14"/>
      <c r="I1330" s="14"/>
      <c r="J1330" s="14"/>
      <c r="K1330" s="14"/>
      <c r="L1330" s="14"/>
      <c r="M1330" s="14"/>
      <c r="N1330" s="14"/>
      <c r="O1330" s="14"/>
      <c r="P1330" s="14"/>
      <c r="Q1330" s="14"/>
      <c r="R1330" s="14"/>
      <c r="S1330" s="14"/>
      <c r="T1330" s="14"/>
      <c r="U1330" s="14"/>
      <c r="V1330" s="14"/>
      <c r="W1330" s="14"/>
      <c r="X1330" s="14"/>
      <c r="Y1330" s="14"/>
      <c r="Z1330" s="14"/>
      <c r="AA1330" s="14"/>
      <c r="AB1330" s="14"/>
      <c r="AC1330" s="14"/>
      <c r="AD1330" s="14"/>
      <c r="AE1330" s="14"/>
      <c r="AF1330" s="14"/>
      <c r="AG1330" s="14"/>
      <c r="AH1330" s="14"/>
      <c r="AI1330" s="14"/>
      <c r="AJ1330" s="14"/>
      <c r="AK1330" s="14"/>
      <c r="AL1330" s="14"/>
      <c r="AM1330" s="14"/>
    </row>
    <row r="1331" spans="1:39" x14ac:dyDescent="0.3">
      <c r="A1331" s="14"/>
      <c r="B1331" s="14"/>
      <c r="C1331" s="14"/>
      <c r="D1331" s="14"/>
      <c r="E1331" s="14"/>
      <c r="F1331" s="14"/>
      <c r="G1331" s="14"/>
      <c r="H1331" s="14"/>
      <c r="I1331" s="14"/>
      <c r="J1331" s="14"/>
      <c r="K1331" s="14"/>
      <c r="L1331" s="14"/>
      <c r="M1331" s="14"/>
      <c r="N1331" s="14"/>
      <c r="O1331" s="14"/>
      <c r="P1331" s="14"/>
      <c r="Q1331" s="14"/>
      <c r="R1331" s="14"/>
      <c r="S1331" s="14"/>
      <c r="T1331" s="14"/>
      <c r="U1331" s="14"/>
      <c r="V1331" s="14"/>
      <c r="W1331" s="14"/>
      <c r="X1331" s="14"/>
      <c r="Y1331" s="14"/>
      <c r="Z1331" s="14"/>
      <c r="AA1331" s="14"/>
      <c r="AB1331" s="14"/>
      <c r="AC1331" s="14"/>
      <c r="AD1331" s="14"/>
      <c r="AE1331" s="14"/>
      <c r="AF1331" s="14"/>
      <c r="AG1331" s="14"/>
      <c r="AH1331" s="14"/>
      <c r="AI1331" s="14"/>
      <c r="AJ1331" s="14"/>
      <c r="AK1331" s="14"/>
      <c r="AL1331" s="14"/>
      <c r="AM1331" s="14"/>
    </row>
    <row r="1332" spans="1:39" x14ac:dyDescent="0.3">
      <c r="A1332" s="14"/>
      <c r="B1332" s="14"/>
      <c r="C1332" s="14"/>
      <c r="D1332" s="14"/>
      <c r="E1332" s="14"/>
      <c r="F1332" s="14"/>
      <c r="G1332" s="14"/>
      <c r="H1332" s="14"/>
      <c r="I1332" s="14"/>
      <c r="J1332" s="14"/>
      <c r="K1332" s="14"/>
      <c r="L1332" s="14"/>
      <c r="M1332" s="14"/>
      <c r="N1332" s="14"/>
      <c r="O1332" s="14"/>
      <c r="P1332" s="14"/>
      <c r="Q1332" s="14"/>
      <c r="R1332" s="14"/>
      <c r="S1332" s="14"/>
      <c r="T1332" s="14"/>
      <c r="U1332" s="14"/>
      <c r="V1332" s="14"/>
      <c r="W1332" s="14"/>
      <c r="X1332" s="14"/>
      <c r="Y1332" s="14"/>
      <c r="Z1332" s="14"/>
      <c r="AA1332" s="14"/>
      <c r="AB1332" s="14"/>
      <c r="AC1332" s="14"/>
      <c r="AD1332" s="14"/>
      <c r="AE1332" s="14"/>
      <c r="AF1332" s="14"/>
      <c r="AG1332" s="14"/>
      <c r="AH1332" s="14"/>
      <c r="AI1332" s="14"/>
      <c r="AJ1332" s="14"/>
      <c r="AK1332" s="14"/>
      <c r="AL1332" s="14"/>
      <c r="AM1332" s="14"/>
    </row>
    <row r="1333" spans="1:39" x14ac:dyDescent="0.3">
      <c r="A1333" s="14"/>
      <c r="B1333" s="14"/>
      <c r="C1333" s="14"/>
      <c r="D1333" s="14"/>
      <c r="E1333" s="14"/>
      <c r="F1333" s="14"/>
      <c r="G1333" s="14"/>
      <c r="H1333" s="14"/>
      <c r="I1333" s="14"/>
      <c r="J1333" s="14"/>
      <c r="K1333" s="14"/>
      <c r="L1333" s="14"/>
      <c r="M1333" s="14"/>
      <c r="N1333" s="14"/>
      <c r="O1333" s="14"/>
      <c r="P1333" s="14"/>
      <c r="Q1333" s="14"/>
      <c r="R1333" s="14"/>
      <c r="S1333" s="14"/>
      <c r="T1333" s="14"/>
      <c r="U1333" s="14"/>
      <c r="V1333" s="14"/>
      <c r="W1333" s="14"/>
      <c r="X1333" s="14"/>
      <c r="Y1333" s="14"/>
      <c r="Z1333" s="14"/>
      <c r="AA1333" s="14"/>
      <c r="AB1333" s="14"/>
      <c r="AC1333" s="14"/>
      <c r="AD1333" s="14"/>
      <c r="AE1333" s="14"/>
      <c r="AF1333" s="14"/>
      <c r="AG1333" s="14"/>
      <c r="AH1333" s="14"/>
      <c r="AI1333" s="14"/>
      <c r="AJ1333" s="14"/>
      <c r="AK1333" s="14"/>
      <c r="AL1333" s="14"/>
      <c r="AM1333" s="14"/>
    </row>
    <row r="1334" spans="1:39" x14ac:dyDescent="0.3">
      <c r="A1334" s="14"/>
      <c r="B1334" s="14"/>
      <c r="C1334" s="14"/>
      <c r="D1334" s="14"/>
      <c r="E1334" s="14"/>
      <c r="F1334" s="14"/>
      <c r="G1334" s="14"/>
      <c r="H1334" s="14"/>
      <c r="I1334" s="14"/>
      <c r="J1334" s="14"/>
      <c r="K1334" s="14"/>
      <c r="L1334" s="14"/>
      <c r="M1334" s="14"/>
      <c r="N1334" s="14"/>
      <c r="O1334" s="14"/>
      <c r="P1334" s="14"/>
      <c r="Q1334" s="14"/>
      <c r="R1334" s="14"/>
      <c r="S1334" s="14"/>
      <c r="T1334" s="14"/>
      <c r="U1334" s="14"/>
      <c r="V1334" s="14"/>
      <c r="W1334" s="14"/>
      <c r="X1334" s="14"/>
      <c r="Y1334" s="14"/>
      <c r="Z1334" s="14"/>
      <c r="AA1334" s="14"/>
      <c r="AB1334" s="14"/>
      <c r="AC1334" s="14"/>
      <c r="AD1334" s="14"/>
      <c r="AE1334" s="14"/>
      <c r="AF1334" s="14"/>
      <c r="AG1334" s="14"/>
      <c r="AH1334" s="14"/>
      <c r="AI1334" s="14"/>
      <c r="AJ1334" s="14"/>
      <c r="AK1334" s="14"/>
      <c r="AL1334" s="14"/>
      <c r="AM1334" s="14"/>
    </row>
    <row r="1335" spans="1:39" x14ac:dyDescent="0.3">
      <c r="A1335" s="14"/>
      <c r="B1335" s="14"/>
      <c r="C1335" s="14"/>
      <c r="D1335" s="14"/>
      <c r="E1335" s="14"/>
      <c r="F1335" s="14"/>
      <c r="G1335" s="14"/>
      <c r="H1335" s="14"/>
      <c r="I1335" s="14"/>
      <c r="J1335" s="14"/>
      <c r="K1335" s="14"/>
      <c r="L1335" s="14"/>
      <c r="M1335" s="14"/>
      <c r="N1335" s="14"/>
      <c r="O1335" s="14"/>
      <c r="P1335" s="14"/>
      <c r="Q1335" s="14"/>
      <c r="R1335" s="14"/>
      <c r="S1335" s="14"/>
      <c r="T1335" s="14"/>
      <c r="U1335" s="14"/>
      <c r="V1335" s="14"/>
      <c r="W1335" s="14"/>
      <c r="X1335" s="14"/>
      <c r="Y1335" s="14"/>
      <c r="Z1335" s="14"/>
      <c r="AA1335" s="14"/>
      <c r="AB1335" s="14"/>
      <c r="AC1335" s="14"/>
      <c r="AD1335" s="14"/>
      <c r="AE1335" s="14"/>
      <c r="AF1335" s="14"/>
      <c r="AG1335" s="14"/>
      <c r="AH1335" s="14"/>
      <c r="AI1335" s="14"/>
      <c r="AJ1335" s="14"/>
      <c r="AK1335" s="14"/>
      <c r="AL1335" s="14"/>
      <c r="AM1335" s="14"/>
    </row>
    <row r="1336" spans="1:39" x14ac:dyDescent="0.3">
      <c r="A1336" s="14"/>
      <c r="B1336" s="14"/>
      <c r="C1336" s="14"/>
      <c r="D1336" s="14"/>
      <c r="E1336" s="14"/>
      <c r="F1336" s="14"/>
      <c r="G1336" s="14"/>
      <c r="H1336" s="14"/>
      <c r="I1336" s="14"/>
      <c r="J1336" s="14"/>
      <c r="K1336" s="14"/>
      <c r="L1336" s="14"/>
      <c r="M1336" s="14"/>
      <c r="N1336" s="14"/>
      <c r="O1336" s="14"/>
      <c r="P1336" s="14"/>
      <c r="Q1336" s="14"/>
      <c r="R1336" s="14"/>
      <c r="S1336" s="14"/>
      <c r="T1336" s="14"/>
      <c r="U1336" s="14"/>
      <c r="V1336" s="14"/>
      <c r="W1336" s="14"/>
      <c r="X1336" s="14"/>
      <c r="Y1336" s="14"/>
      <c r="Z1336" s="14"/>
      <c r="AA1336" s="14"/>
      <c r="AB1336" s="14"/>
      <c r="AC1336" s="14"/>
      <c r="AD1336" s="14"/>
      <c r="AE1336" s="14"/>
      <c r="AF1336" s="14"/>
      <c r="AG1336" s="14"/>
      <c r="AH1336" s="14"/>
      <c r="AI1336" s="14"/>
      <c r="AJ1336" s="14"/>
      <c r="AK1336" s="14"/>
      <c r="AL1336" s="14"/>
      <c r="AM1336" s="14"/>
    </row>
    <row r="1337" spans="1:39" x14ac:dyDescent="0.3">
      <c r="A1337" s="14"/>
      <c r="B1337" s="14"/>
      <c r="C1337" s="14"/>
      <c r="D1337" s="14"/>
      <c r="E1337" s="14"/>
      <c r="F1337" s="14"/>
      <c r="G1337" s="14"/>
      <c r="H1337" s="14"/>
      <c r="I1337" s="14"/>
      <c r="J1337" s="14"/>
      <c r="K1337" s="14"/>
      <c r="L1337" s="14"/>
      <c r="M1337" s="14"/>
      <c r="N1337" s="14"/>
      <c r="O1337" s="14"/>
      <c r="P1337" s="14"/>
      <c r="Q1337" s="14"/>
      <c r="R1337" s="14"/>
      <c r="S1337" s="14"/>
      <c r="T1337" s="14"/>
      <c r="U1337" s="14"/>
      <c r="V1337" s="14"/>
      <c r="W1337" s="14"/>
      <c r="X1337" s="14"/>
      <c r="Y1337" s="14"/>
      <c r="Z1337" s="14"/>
      <c r="AA1337" s="14"/>
      <c r="AB1337" s="14"/>
      <c r="AC1337" s="14"/>
      <c r="AD1337" s="14"/>
      <c r="AE1337" s="14"/>
      <c r="AF1337" s="14"/>
      <c r="AG1337" s="14"/>
      <c r="AH1337" s="14"/>
      <c r="AI1337" s="14"/>
      <c r="AJ1337" s="14"/>
      <c r="AK1337" s="14"/>
      <c r="AL1337" s="14"/>
      <c r="AM1337" s="14"/>
    </row>
    <row r="1338" spans="1:39" x14ac:dyDescent="0.3">
      <c r="A1338" s="14"/>
      <c r="B1338" s="14"/>
      <c r="C1338" s="14"/>
      <c r="D1338" s="14"/>
      <c r="E1338" s="14"/>
      <c r="F1338" s="14"/>
      <c r="G1338" s="14"/>
      <c r="H1338" s="14"/>
      <c r="I1338" s="14"/>
      <c r="J1338" s="14"/>
      <c r="K1338" s="14"/>
      <c r="L1338" s="14"/>
      <c r="M1338" s="14"/>
      <c r="N1338" s="14"/>
      <c r="O1338" s="14"/>
      <c r="P1338" s="14"/>
      <c r="Q1338" s="14"/>
      <c r="R1338" s="14"/>
      <c r="S1338" s="14"/>
      <c r="T1338" s="14"/>
      <c r="U1338" s="14"/>
      <c r="V1338" s="14"/>
      <c r="W1338" s="14"/>
      <c r="X1338" s="14"/>
      <c r="Y1338" s="14"/>
      <c r="Z1338" s="14"/>
      <c r="AA1338" s="14"/>
      <c r="AB1338" s="14"/>
      <c r="AC1338" s="14"/>
      <c r="AD1338" s="14"/>
      <c r="AE1338" s="14"/>
      <c r="AF1338" s="14"/>
      <c r="AG1338" s="14"/>
      <c r="AH1338" s="14"/>
      <c r="AI1338" s="14"/>
      <c r="AJ1338" s="14"/>
      <c r="AK1338" s="14"/>
      <c r="AL1338" s="14"/>
      <c r="AM1338" s="14"/>
    </row>
    <row r="1339" spans="1:39" x14ac:dyDescent="0.3">
      <c r="A1339" s="14"/>
      <c r="B1339" s="14"/>
      <c r="C1339" s="14"/>
      <c r="D1339" s="14"/>
      <c r="E1339" s="14"/>
      <c r="F1339" s="14"/>
      <c r="G1339" s="14"/>
      <c r="H1339" s="14"/>
      <c r="I1339" s="14"/>
      <c r="J1339" s="14"/>
      <c r="K1339" s="14"/>
      <c r="L1339" s="14"/>
      <c r="M1339" s="14"/>
      <c r="N1339" s="14"/>
      <c r="O1339" s="14"/>
      <c r="P1339" s="14"/>
      <c r="Q1339" s="14"/>
      <c r="R1339" s="14"/>
      <c r="S1339" s="14"/>
      <c r="T1339" s="14"/>
      <c r="U1339" s="14"/>
      <c r="V1339" s="14"/>
      <c r="W1339" s="14"/>
      <c r="X1339" s="14"/>
      <c r="Y1339" s="14"/>
      <c r="Z1339" s="14"/>
      <c r="AA1339" s="14"/>
      <c r="AB1339" s="14"/>
      <c r="AC1339" s="14"/>
      <c r="AD1339" s="14"/>
      <c r="AE1339" s="14"/>
      <c r="AF1339" s="14"/>
      <c r="AG1339" s="14"/>
      <c r="AH1339" s="14"/>
      <c r="AI1339" s="14"/>
      <c r="AJ1339" s="14"/>
      <c r="AK1339" s="14"/>
      <c r="AL1339" s="14"/>
      <c r="AM1339" s="14"/>
    </row>
    <row r="1340" spans="1:39" x14ac:dyDescent="0.3">
      <c r="A1340" s="14"/>
      <c r="B1340" s="14"/>
      <c r="C1340" s="14"/>
      <c r="D1340" s="14"/>
      <c r="E1340" s="14"/>
      <c r="F1340" s="14"/>
      <c r="G1340" s="14"/>
      <c r="H1340" s="14"/>
      <c r="I1340" s="14"/>
      <c r="J1340" s="14"/>
      <c r="K1340" s="14"/>
      <c r="L1340" s="14"/>
      <c r="M1340" s="14"/>
      <c r="N1340" s="14"/>
      <c r="O1340" s="14"/>
      <c r="P1340" s="14"/>
      <c r="Q1340" s="14"/>
      <c r="R1340" s="14"/>
      <c r="S1340" s="14"/>
      <c r="T1340" s="14"/>
      <c r="U1340" s="14"/>
      <c r="V1340" s="14"/>
      <c r="W1340" s="14"/>
      <c r="X1340" s="14"/>
      <c r="Y1340" s="14"/>
      <c r="Z1340" s="14"/>
      <c r="AA1340" s="14"/>
      <c r="AB1340" s="14"/>
      <c r="AC1340" s="14"/>
      <c r="AD1340" s="14"/>
      <c r="AE1340" s="14"/>
      <c r="AF1340" s="14"/>
      <c r="AG1340" s="14"/>
      <c r="AH1340" s="14"/>
      <c r="AI1340" s="14"/>
      <c r="AJ1340" s="14"/>
      <c r="AK1340" s="14"/>
      <c r="AL1340" s="14"/>
      <c r="AM1340" s="14"/>
    </row>
    <row r="1341" spans="1:39" x14ac:dyDescent="0.3">
      <c r="A1341" s="14"/>
      <c r="B1341" s="14"/>
      <c r="C1341" s="14"/>
      <c r="D1341" s="14"/>
      <c r="E1341" s="14"/>
      <c r="F1341" s="14"/>
      <c r="G1341" s="14"/>
      <c r="H1341" s="14"/>
      <c r="I1341" s="14"/>
      <c r="J1341" s="14"/>
      <c r="K1341" s="14"/>
      <c r="L1341" s="14"/>
      <c r="M1341" s="14"/>
      <c r="N1341" s="14"/>
      <c r="O1341" s="14"/>
      <c r="P1341" s="14"/>
      <c r="Q1341" s="14"/>
      <c r="R1341" s="14"/>
      <c r="S1341" s="14"/>
      <c r="T1341" s="14"/>
      <c r="U1341" s="14"/>
      <c r="V1341" s="14"/>
      <c r="W1341" s="14"/>
      <c r="X1341" s="14"/>
      <c r="Y1341" s="14"/>
      <c r="Z1341" s="14"/>
      <c r="AA1341" s="14"/>
      <c r="AB1341" s="14"/>
      <c r="AC1341" s="14"/>
      <c r="AD1341" s="14"/>
      <c r="AE1341" s="14"/>
      <c r="AF1341" s="14"/>
      <c r="AG1341" s="14"/>
      <c r="AH1341" s="14"/>
      <c r="AI1341" s="14"/>
      <c r="AJ1341" s="14"/>
      <c r="AK1341" s="14"/>
      <c r="AL1341" s="14"/>
      <c r="AM1341" s="14"/>
    </row>
    <row r="1342" spans="1:39" x14ac:dyDescent="0.3">
      <c r="A1342" s="14"/>
      <c r="B1342" s="14"/>
      <c r="C1342" s="14"/>
      <c r="D1342" s="14"/>
      <c r="E1342" s="14"/>
      <c r="F1342" s="14"/>
      <c r="G1342" s="14"/>
      <c r="H1342" s="14"/>
      <c r="I1342" s="14"/>
      <c r="J1342" s="14"/>
      <c r="K1342" s="14"/>
      <c r="L1342" s="14"/>
      <c r="M1342" s="14"/>
      <c r="N1342" s="14"/>
      <c r="O1342" s="14"/>
      <c r="P1342" s="14"/>
      <c r="Q1342" s="14"/>
      <c r="R1342" s="14"/>
      <c r="S1342" s="14"/>
      <c r="T1342" s="14"/>
      <c r="U1342" s="14"/>
      <c r="V1342" s="14"/>
      <c r="W1342" s="14"/>
      <c r="X1342" s="14"/>
      <c r="Y1342" s="14"/>
      <c r="Z1342" s="14"/>
      <c r="AA1342" s="14"/>
      <c r="AB1342" s="14"/>
      <c r="AC1342" s="14"/>
      <c r="AD1342" s="14"/>
      <c r="AE1342" s="14"/>
      <c r="AF1342" s="14"/>
      <c r="AG1342" s="14"/>
      <c r="AH1342" s="14"/>
      <c r="AI1342" s="14"/>
      <c r="AJ1342" s="14"/>
      <c r="AK1342" s="14"/>
      <c r="AL1342" s="14"/>
      <c r="AM1342" s="14"/>
    </row>
    <row r="1343" spans="1:39" x14ac:dyDescent="0.3">
      <c r="A1343" s="14"/>
      <c r="B1343" s="14"/>
      <c r="C1343" s="14"/>
      <c r="D1343" s="14"/>
      <c r="E1343" s="14"/>
      <c r="F1343" s="14"/>
      <c r="G1343" s="14"/>
      <c r="H1343" s="14"/>
      <c r="I1343" s="14"/>
      <c r="J1343" s="14"/>
      <c r="K1343" s="14"/>
      <c r="L1343" s="14"/>
      <c r="M1343" s="14"/>
      <c r="N1343" s="14"/>
      <c r="O1343" s="14"/>
      <c r="P1343" s="14"/>
      <c r="Q1343" s="14"/>
      <c r="R1343" s="14"/>
      <c r="S1343" s="14"/>
      <c r="T1343" s="14"/>
      <c r="U1343" s="14"/>
      <c r="V1343" s="14"/>
      <c r="W1343" s="14"/>
      <c r="X1343" s="14"/>
      <c r="Y1343" s="14"/>
      <c r="Z1343" s="14"/>
      <c r="AA1343" s="14"/>
      <c r="AB1343" s="14"/>
      <c r="AC1343" s="14"/>
      <c r="AD1343" s="14"/>
      <c r="AE1343" s="14"/>
      <c r="AF1343" s="14"/>
      <c r="AG1343" s="14"/>
      <c r="AH1343" s="14"/>
      <c r="AI1343" s="14"/>
      <c r="AJ1343" s="14"/>
      <c r="AK1343" s="14"/>
      <c r="AL1343" s="14"/>
      <c r="AM1343" s="14"/>
    </row>
    <row r="1344" spans="1:39" x14ac:dyDescent="0.3">
      <c r="A1344" s="14"/>
      <c r="B1344" s="14"/>
      <c r="C1344" s="14"/>
      <c r="D1344" s="14"/>
      <c r="E1344" s="14"/>
      <c r="F1344" s="14"/>
      <c r="G1344" s="14"/>
      <c r="H1344" s="14"/>
      <c r="I1344" s="14"/>
      <c r="J1344" s="14"/>
      <c r="K1344" s="14"/>
      <c r="L1344" s="14"/>
      <c r="M1344" s="14"/>
      <c r="N1344" s="14"/>
      <c r="O1344" s="14"/>
      <c r="P1344" s="14"/>
      <c r="Q1344" s="14"/>
      <c r="R1344" s="14"/>
      <c r="S1344" s="14"/>
      <c r="T1344" s="14"/>
      <c r="U1344" s="14"/>
      <c r="V1344" s="14"/>
      <c r="W1344" s="14"/>
      <c r="X1344" s="14"/>
      <c r="Y1344" s="14"/>
      <c r="Z1344" s="14"/>
      <c r="AA1344" s="14"/>
      <c r="AB1344" s="14"/>
      <c r="AC1344" s="14"/>
      <c r="AD1344" s="14"/>
      <c r="AE1344" s="14"/>
      <c r="AF1344" s="14"/>
      <c r="AG1344" s="14"/>
      <c r="AH1344" s="14"/>
      <c r="AI1344" s="14"/>
      <c r="AJ1344" s="14"/>
      <c r="AK1344" s="14"/>
      <c r="AL1344" s="14"/>
      <c r="AM1344" s="14"/>
    </row>
    <row r="1345" spans="1:39" x14ac:dyDescent="0.3">
      <c r="A1345" s="14"/>
      <c r="B1345" s="14"/>
      <c r="C1345" s="14"/>
      <c r="D1345" s="14"/>
      <c r="E1345" s="14"/>
      <c r="F1345" s="14"/>
      <c r="G1345" s="14"/>
      <c r="H1345" s="14"/>
      <c r="I1345" s="14"/>
      <c r="J1345" s="14"/>
      <c r="K1345" s="14"/>
      <c r="L1345" s="14"/>
      <c r="M1345" s="14"/>
      <c r="N1345" s="14"/>
      <c r="O1345" s="14"/>
      <c r="P1345" s="14"/>
      <c r="Q1345" s="14"/>
      <c r="R1345" s="14"/>
      <c r="S1345" s="14"/>
      <c r="T1345" s="14"/>
      <c r="U1345" s="14"/>
      <c r="V1345" s="14"/>
      <c r="W1345" s="14"/>
      <c r="X1345" s="14"/>
      <c r="Y1345" s="14"/>
      <c r="Z1345" s="14"/>
      <c r="AA1345" s="14"/>
      <c r="AB1345" s="14"/>
      <c r="AC1345" s="14"/>
      <c r="AD1345" s="14"/>
      <c r="AE1345" s="14"/>
      <c r="AF1345" s="14"/>
      <c r="AG1345" s="14"/>
      <c r="AH1345" s="14"/>
      <c r="AI1345" s="14"/>
      <c r="AJ1345" s="14"/>
      <c r="AK1345" s="14"/>
      <c r="AL1345" s="14"/>
      <c r="AM1345" s="14"/>
    </row>
    <row r="1346" spans="1:39" x14ac:dyDescent="0.3">
      <c r="A1346" s="14"/>
      <c r="B1346" s="14"/>
      <c r="C1346" s="14"/>
      <c r="D1346" s="14"/>
      <c r="E1346" s="14"/>
      <c r="F1346" s="14"/>
      <c r="G1346" s="14"/>
      <c r="H1346" s="14"/>
      <c r="I1346" s="14"/>
      <c r="J1346" s="14"/>
      <c r="K1346" s="14"/>
      <c r="L1346" s="14"/>
      <c r="M1346" s="14"/>
      <c r="N1346" s="14"/>
      <c r="O1346" s="14"/>
      <c r="P1346" s="14"/>
      <c r="Q1346" s="14"/>
      <c r="R1346" s="14"/>
      <c r="S1346" s="14"/>
      <c r="T1346" s="14"/>
      <c r="U1346" s="14"/>
      <c r="V1346" s="14"/>
      <c r="W1346" s="14"/>
      <c r="X1346" s="14"/>
      <c r="Y1346" s="14"/>
      <c r="Z1346" s="14"/>
      <c r="AA1346" s="14"/>
      <c r="AB1346" s="14"/>
      <c r="AC1346" s="14"/>
      <c r="AD1346" s="14"/>
      <c r="AE1346" s="14"/>
      <c r="AF1346" s="14"/>
      <c r="AG1346" s="14"/>
      <c r="AH1346" s="14"/>
      <c r="AI1346" s="14"/>
      <c r="AJ1346" s="14"/>
      <c r="AK1346" s="14"/>
      <c r="AL1346" s="14"/>
      <c r="AM1346" s="14"/>
    </row>
    <row r="1347" spans="1:39" x14ac:dyDescent="0.3">
      <c r="A1347" s="14"/>
      <c r="B1347" s="14"/>
      <c r="C1347" s="14"/>
      <c r="D1347" s="14"/>
      <c r="E1347" s="14"/>
      <c r="F1347" s="14"/>
      <c r="G1347" s="14"/>
      <c r="H1347" s="14"/>
      <c r="I1347" s="14"/>
      <c r="J1347" s="14"/>
      <c r="K1347" s="14"/>
      <c r="L1347" s="14"/>
      <c r="M1347" s="14"/>
      <c r="N1347" s="14"/>
      <c r="O1347" s="14"/>
      <c r="P1347" s="14"/>
      <c r="Q1347" s="14"/>
      <c r="R1347" s="14"/>
      <c r="S1347" s="14"/>
      <c r="T1347" s="14"/>
      <c r="U1347" s="14"/>
      <c r="V1347" s="14"/>
      <c r="W1347" s="14"/>
      <c r="X1347" s="14"/>
      <c r="Y1347" s="14"/>
      <c r="Z1347" s="14"/>
      <c r="AA1347" s="14"/>
      <c r="AB1347" s="14"/>
      <c r="AC1347" s="14"/>
      <c r="AD1347" s="14"/>
      <c r="AE1347" s="14"/>
      <c r="AF1347" s="14"/>
      <c r="AG1347" s="14"/>
      <c r="AH1347" s="14"/>
      <c r="AI1347" s="14"/>
      <c r="AJ1347" s="14"/>
      <c r="AK1347" s="14"/>
      <c r="AL1347" s="14"/>
      <c r="AM1347" s="14"/>
    </row>
    <row r="1348" spans="1:39" x14ac:dyDescent="0.3">
      <c r="A1348" s="14"/>
      <c r="B1348" s="14"/>
      <c r="C1348" s="14"/>
      <c r="D1348" s="14"/>
      <c r="E1348" s="14"/>
      <c r="F1348" s="14"/>
      <c r="G1348" s="14"/>
      <c r="H1348" s="14"/>
      <c r="I1348" s="14"/>
      <c r="J1348" s="14"/>
      <c r="K1348" s="14"/>
      <c r="L1348" s="14"/>
      <c r="M1348" s="14"/>
      <c r="N1348" s="14"/>
      <c r="O1348" s="14"/>
      <c r="P1348" s="14"/>
      <c r="Q1348" s="14"/>
      <c r="R1348" s="14"/>
      <c r="S1348" s="14"/>
      <c r="T1348" s="14"/>
      <c r="U1348" s="14"/>
      <c r="V1348" s="14"/>
      <c r="W1348" s="14"/>
      <c r="X1348" s="14"/>
      <c r="Y1348" s="14"/>
      <c r="Z1348" s="14"/>
      <c r="AA1348" s="14"/>
      <c r="AB1348" s="14"/>
      <c r="AC1348" s="14"/>
      <c r="AD1348" s="14"/>
      <c r="AE1348" s="14"/>
      <c r="AF1348" s="14"/>
      <c r="AG1348" s="14"/>
      <c r="AH1348" s="14"/>
      <c r="AI1348" s="14"/>
      <c r="AJ1348" s="14"/>
      <c r="AK1348" s="14"/>
      <c r="AL1348" s="14"/>
      <c r="AM1348" s="14"/>
    </row>
    <row r="1349" spans="1:39" x14ac:dyDescent="0.3">
      <c r="A1349" s="14"/>
      <c r="B1349" s="14"/>
      <c r="C1349" s="14"/>
      <c r="D1349" s="14"/>
      <c r="E1349" s="14"/>
      <c r="F1349" s="14"/>
      <c r="G1349" s="14"/>
      <c r="H1349" s="14"/>
      <c r="I1349" s="14"/>
      <c r="J1349" s="14"/>
      <c r="K1349" s="14"/>
      <c r="L1349" s="14"/>
      <c r="M1349" s="14"/>
      <c r="N1349" s="14"/>
      <c r="O1349" s="14"/>
      <c r="P1349" s="14"/>
      <c r="Q1349" s="14"/>
      <c r="R1349" s="14"/>
      <c r="S1349" s="14"/>
      <c r="T1349" s="14"/>
      <c r="U1349" s="14"/>
      <c r="V1349" s="14"/>
      <c r="W1349" s="14"/>
      <c r="X1349" s="14"/>
      <c r="Y1349" s="14"/>
      <c r="Z1349" s="14"/>
      <c r="AA1349" s="14"/>
      <c r="AB1349" s="14"/>
      <c r="AC1349" s="14"/>
      <c r="AD1349" s="14"/>
      <c r="AE1349" s="14"/>
      <c r="AF1349" s="14"/>
      <c r="AG1349" s="14"/>
      <c r="AH1349" s="14"/>
      <c r="AI1349" s="14"/>
      <c r="AJ1349" s="14"/>
      <c r="AK1349" s="14"/>
      <c r="AL1349" s="14"/>
      <c r="AM1349" s="14"/>
    </row>
    <row r="1350" spans="1:39" x14ac:dyDescent="0.3">
      <c r="A1350" s="14"/>
      <c r="B1350" s="14"/>
      <c r="C1350" s="14"/>
      <c r="D1350" s="14"/>
      <c r="E1350" s="14"/>
      <c r="F1350" s="14"/>
      <c r="G1350" s="14"/>
      <c r="H1350" s="14"/>
      <c r="I1350" s="14"/>
      <c r="J1350" s="14"/>
      <c r="K1350" s="14"/>
      <c r="L1350" s="14"/>
      <c r="M1350" s="14"/>
      <c r="N1350" s="14"/>
      <c r="O1350" s="14"/>
      <c r="P1350" s="14"/>
      <c r="Q1350" s="14"/>
      <c r="R1350" s="14"/>
      <c r="S1350" s="14"/>
      <c r="T1350" s="14"/>
      <c r="U1350" s="14"/>
      <c r="V1350" s="14"/>
      <c r="W1350" s="14"/>
      <c r="X1350" s="14"/>
      <c r="Y1350" s="14"/>
      <c r="Z1350" s="14"/>
      <c r="AA1350" s="14"/>
      <c r="AB1350" s="14"/>
      <c r="AC1350" s="14"/>
      <c r="AD1350" s="14"/>
      <c r="AE1350" s="14"/>
      <c r="AF1350" s="14"/>
      <c r="AG1350" s="14"/>
      <c r="AH1350" s="14"/>
      <c r="AI1350" s="14"/>
      <c r="AJ1350" s="14"/>
      <c r="AK1350" s="14"/>
      <c r="AL1350" s="14"/>
      <c r="AM1350" s="14"/>
    </row>
    <row r="1351" spans="1:39" x14ac:dyDescent="0.3">
      <c r="A1351" s="14"/>
      <c r="B1351" s="14"/>
      <c r="C1351" s="14"/>
      <c r="D1351" s="14"/>
      <c r="E1351" s="14"/>
      <c r="F1351" s="14"/>
      <c r="G1351" s="14"/>
      <c r="H1351" s="14"/>
      <c r="I1351" s="14"/>
      <c r="J1351" s="14"/>
      <c r="K1351" s="14"/>
      <c r="L1351" s="14"/>
      <c r="M1351" s="14"/>
      <c r="N1351" s="14"/>
      <c r="O1351" s="14"/>
      <c r="P1351" s="14"/>
      <c r="Q1351" s="14"/>
      <c r="R1351" s="14"/>
      <c r="S1351" s="14"/>
      <c r="T1351" s="14"/>
      <c r="U1351" s="14"/>
      <c r="V1351" s="14"/>
      <c r="W1351" s="14"/>
      <c r="X1351" s="14"/>
      <c r="Y1351" s="14"/>
      <c r="Z1351" s="14"/>
      <c r="AA1351" s="14"/>
      <c r="AB1351" s="14"/>
      <c r="AC1351" s="14"/>
      <c r="AD1351" s="14"/>
      <c r="AE1351" s="14"/>
      <c r="AF1351" s="14"/>
      <c r="AG1351" s="14"/>
      <c r="AH1351" s="14"/>
      <c r="AI1351" s="14"/>
      <c r="AJ1351" s="14"/>
      <c r="AK1351" s="14"/>
      <c r="AL1351" s="14"/>
      <c r="AM1351" s="14"/>
    </row>
    <row r="1352" spans="1:39" x14ac:dyDescent="0.3">
      <c r="A1352" s="14"/>
      <c r="B1352" s="14"/>
      <c r="C1352" s="14"/>
      <c r="D1352" s="14"/>
      <c r="E1352" s="14"/>
      <c r="F1352" s="14"/>
      <c r="G1352" s="14"/>
      <c r="H1352" s="14"/>
      <c r="I1352" s="14"/>
      <c r="J1352" s="14"/>
      <c r="K1352" s="14"/>
      <c r="L1352" s="14"/>
      <c r="M1352" s="14"/>
      <c r="N1352" s="14"/>
      <c r="O1352" s="14"/>
      <c r="P1352" s="14"/>
      <c r="Q1352" s="14"/>
      <c r="R1352" s="14"/>
      <c r="S1352" s="14"/>
      <c r="T1352" s="14"/>
      <c r="U1352" s="14"/>
      <c r="V1352" s="14"/>
      <c r="W1352" s="14"/>
      <c r="X1352" s="14"/>
      <c r="Y1352" s="14"/>
      <c r="Z1352" s="14"/>
      <c r="AA1352" s="14"/>
      <c r="AB1352" s="14"/>
      <c r="AC1352" s="14"/>
      <c r="AD1352" s="14"/>
      <c r="AE1352" s="14"/>
      <c r="AF1352" s="14"/>
      <c r="AG1352" s="14"/>
      <c r="AH1352" s="14"/>
      <c r="AI1352" s="14"/>
      <c r="AJ1352" s="14"/>
      <c r="AK1352" s="14"/>
      <c r="AL1352" s="14"/>
      <c r="AM1352" s="14"/>
    </row>
    <row r="1353" spans="1:39" x14ac:dyDescent="0.3">
      <c r="A1353" s="14"/>
      <c r="B1353" s="14"/>
      <c r="C1353" s="14"/>
      <c r="D1353" s="14"/>
      <c r="E1353" s="14"/>
      <c r="F1353" s="14"/>
      <c r="G1353" s="14"/>
      <c r="H1353" s="14"/>
      <c r="I1353" s="14"/>
      <c r="J1353" s="14"/>
      <c r="K1353" s="14"/>
      <c r="L1353" s="14"/>
      <c r="M1353" s="14"/>
      <c r="N1353" s="14"/>
      <c r="O1353" s="14"/>
      <c r="P1353" s="14"/>
      <c r="Q1353" s="14"/>
      <c r="R1353" s="14"/>
      <c r="S1353" s="14"/>
      <c r="T1353" s="14"/>
      <c r="U1353" s="14"/>
      <c r="V1353" s="14"/>
      <c r="W1353" s="14"/>
      <c r="X1353" s="14"/>
      <c r="Y1353" s="14"/>
      <c r="Z1353" s="14"/>
      <c r="AA1353" s="14"/>
      <c r="AB1353" s="14"/>
      <c r="AC1353" s="14"/>
      <c r="AD1353" s="14"/>
      <c r="AE1353" s="14"/>
      <c r="AF1353" s="14"/>
      <c r="AG1353" s="14"/>
      <c r="AH1353" s="14"/>
      <c r="AI1353" s="14"/>
      <c r="AJ1353" s="14"/>
      <c r="AK1353" s="14"/>
      <c r="AL1353" s="14"/>
      <c r="AM1353" s="14"/>
    </row>
    <row r="1354" spans="1:39" x14ac:dyDescent="0.3">
      <c r="A1354" s="14"/>
      <c r="B1354" s="14"/>
      <c r="C1354" s="14"/>
      <c r="D1354" s="14"/>
      <c r="E1354" s="14"/>
      <c r="F1354" s="14"/>
      <c r="G1354" s="14"/>
      <c r="H1354" s="14"/>
      <c r="I1354" s="14"/>
      <c r="J1354" s="14"/>
      <c r="K1354" s="14"/>
      <c r="L1354" s="14"/>
      <c r="M1354" s="14"/>
      <c r="N1354" s="14"/>
      <c r="O1354" s="14"/>
      <c r="P1354" s="14"/>
      <c r="Q1354" s="14"/>
      <c r="R1354" s="14"/>
      <c r="S1354" s="14"/>
      <c r="T1354" s="14"/>
      <c r="U1354" s="14"/>
      <c r="V1354" s="14"/>
      <c r="W1354" s="14"/>
      <c r="X1354" s="14"/>
      <c r="Y1354" s="14"/>
      <c r="Z1354" s="14"/>
      <c r="AA1354" s="14"/>
      <c r="AB1354" s="14"/>
      <c r="AC1354" s="14"/>
      <c r="AD1354" s="14"/>
      <c r="AE1354" s="14"/>
      <c r="AF1354" s="14"/>
      <c r="AG1354" s="14"/>
      <c r="AH1354" s="14"/>
      <c r="AI1354" s="14"/>
      <c r="AJ1354" s="14"/>
      <c r="AK1354" s="14"/>
      <c r="AL1354" s="14"/>
      <c r="AM1354" s="14"/>
    </row>
    <row r="1355" spans="1:39" x14ac:dyDescent="0.3">
      <c r="A1355" s="14"/>
      <c r="B1355" s="14"/>
      <c r="C1355" s="14"/>
      <c r="D1355" s="14"/>
      <c r="E1355" s="14"/>
      <c r="F1355" s="14"/>
      <c r="G1355" s="14"/>
      <c r="H1355" s="14"/>
      <c r="I1355" s="14"/>
      <c r="J1355" s="14"/>
      <c r="K1355" s="14"/>
      <c r="L1355" s="14"/>
      <c r="M1355" s="14"/>
      <c r="N1355" s="14"/>
      <c r="O1355" s="14"/>
      <c r="P1355" s="14"/>
      <c r="Q1355" s="14"/>
      <c r="R1355" s="14"/>
      <c r="S1355" s="14"/>
      <c r="T1355" s="14"/>
      <c r="U1355" s="14"/>
      <c r="V1355" s="14"/>
      <c r="W1355" s="14"/>
      <c r="X1355" s="14"/>
      <c r="Y1355" s="14"/>
      <c r="Z1355" s="14"/>
      <c r="AA1355" s="14"/>
      <c r="AB1355" s="14"/>
      <c r="AC1355" s="14"/>
      <c r="AD1355" s="14"/>
      <c r="AE1355" s="14"/>
      <c r="AF1355" s="14"/>
      <c r="AG1355" s="14"/>
      <c r="AH1355" s="14"/>
      <c r="AI1355" s="14"/>
      <c r="AJ1355" s="14"/>
      <c r="AK1355" s="14"/>
      <c r="AL1355" s="14"/>
      <c r="AM1355" s="14"/>
    </row>
    <row r="1356" spans="1:39" x14ac:dyDescent="0.3">
      <c r="A1356" s="14"/>
      <c r="B1356" s="14"/>
      <c r="C1356" s="14"/>
      <c r="D1356" s="14"/>
      <c r="E1356" s="14"/>
      <c r="F1356" s="14"/>
      <c r="G1356" s="14"/>
      <c r="H1356" s="14"/>
      <c r="I1356" s="14"/>
      <c r="J1356" s="14"/>
      <c r="K1356" s="14"/>
      <c r="L1356" s="14"/>
      <c r="M1356" s="14"/>
      <c r="N1356" s="14"/>
      <c r="O1356" s="14"/>
      <c r="P1356" s="14"/>
      <c r="Q1356" s="14"/>
      <c r="R1356" s="14"/>
      <c r="S1356" s="14"/>
      <c r="T1356" s="14"/>
      <c r="U1356" s="14"/>
      <c r="V1356" s="14"/>
      <c r="W1356" s="14"/>
      <c r="X1356" s="14"/>
      <c r="Y1356" s="14"/>
      <c r="Z1356" s="14"/>
      <c r="AA1356" s="14"/>
      <c r="AB1356" s="14"/>
      <c r="AC1356" s="14"/>
      <c r="AD1356" s="14"/>
      <c r="AE1356" s="14"/>
      <c r="AF1356" s="14"/>
      <c r="AG1356" s="14"/>
      <c r="AH1356" s="14"/>
      <c r="AI1356" s="14"/>
      <c r="AJ1356" s="14"/>
      <c r="AK1356" s="14"/>
      <c r="AL1356" s="14"/>
      <c r="AM1356" s="14"/>
    </row>
    <row r="1357" spans="1:39" x14ac:dyDescent="0.3">
      <c r="A1357" s="14"/>
      <c r="B1357" s="14"/>
      <c r="C1357" s="14"/>
      <c r="D1357" s="14"/>
      <c r="E1357" s="14"/>
      <c r="F1357" s="14"/>
      <c r="G1357" s="14"/>
      <c r="H1357" s="14"/>
      <c r="I1357" s="14"/>
      <c r="J1357" s="14"/>
      <c r="K1357" s="14"/>
      <c r="L1357" s="14"/>
      <c r="M1357" s="14"/>
      <c r="N1357" s="14"/>
      <c r="O1357" s="14"/>
      <c r="P1357" s="14"/>
      <c r="Q1357" s="14"/>
      <c r="R1357" s="14"/>
      <c r="S1357" s="14"/>
      <c r="T1357" s="14"/>
      <c r="U1357" s="14"/>
      <c r="V1357" s="14"/>
      <c r="W1357" s="14"/>
      <c r="X1357" s="14"/>
      <c r="Y1357" s="14"/>
      <c r="Z1357" s="14"/>
      <c r="AA1357" s="14"/>
      <c r="AB1357" s="14"/>
      <c r="AC1357" s="14"/>
      <c r="AD1357" s="14"/>
      <c r="AE1357" s="14"/>
      <c r="AF1357" s="14"/>
      <c r="AG1357" s="14"/>
      <c r="AH1357" s="14"/>
      <c r="AI1357" s="14"/>
      <c r="AJ1357" s="14"/>
      <c r="AK1357" s="14"/>
      <c r="AL1357" s="14"/>
      <c r="AM1357" s="14"/>
    </row>
    <row r="1358" spans="1:39" x14ac:dyDescent="0.3">
      <c r="A1358" s="14"/>
      <c r="B1358" s="14"/>
      <c r="C1358" s="14"/>
      <c r="D1358" s="14"/>
      <c r="E1358" s="14"/>
      <c r="F1358" s="14"/>
      <c r="G1358" s="14"/>
      <c r="H1358" s="14"/>
      <c r="I1358" s="14"/>
      <c r="J1358" s="14"/>
      <c r="K1358" s="14"/>
      <c r="L1358" s="14"/>
      <c r="M1358" s="14"/>
      <c r="N1358" s="14"/>
      <c r="O1358" s="14"/>
      <c r="P1358" s="14"/>
      <c r="Q1358" s="14"/>
      <c r="R1358" s="14"/>
      <c r="S1358" s="14"/>
      <c r="T1358" s="14"/>
      <c r="U1358" s="14"/>
      <c r="V1358" s="14"/>
      <c r="W1358" s="14"/>
      <c r="X1358" s="14"/>
      <c r="Y1358" s="14"/>
      <c r="Z1358" s="14"/>
      <c r="AA1358" s="14"/>
      <c r="AB1358" s="14"/>
      <c r="AC1358" s="14"/>
      <c r="AD1358" s="14"/>
      <c r="AE1358" s="14"/>
      <c r="AF1358" s="14"/>
      <c r="AG1358" s="14"/>
      <c r="AH1358" s="14"/>
      <c r="AI1358" s="14"/>
      <c r="AJ1358" s="14"/>
      <c r="AK1358" s="14"/>
      <c r="AL1358" s="14"/>
      <c r="AM1358" s="14"/>
    </row>
    <row r="1359" spans="1:39" x14ac:dyDescent="0.3">
      <c r="A1359" s="14"/>
      <c r="B1359" s="14"/>
      <c r="C1359" s="14"/>
      <c r="D1359" s="14"/>
      <c r="E1359" s="14"/>
      <c r="F1359" s="14"/>
      <c r="G1359" s="14"/>
      <c r="H1359" s="14"/>
      <c r="I1359" s="14"/>
      <c r="J1359" s="14"/>
      <c r="K1359" s="14"/>
      <c r="L1359" s="14"/>
      <c r="M1359" s="14"/>
      <c r="N1359" s="14"/>
      <c r="O1359" s="14"/>
      <c r="P1359" s="14"/>
      <c r="Q1359" s="14"/>
      <c r="R1359" s="14"/>
      <c r="S1359" s="14"/>
      <c r="T1359" s="14"/>
      <c r="U1359" s="14"/>
      <c r="V1359" s="14"/>
      <c r="W1359" s="14"/>
      <c r="X1359" s="14"/>
      <c r="Y1359" s="14"/>
      <c r="Z1359" s="14"/>
      <c r="AA1359" s="14"/>
      <c r="AB1359" s="14"/>
      <c r="AC1359" s="14"/>
      <c r="AD1359" s="14"/>
      <c r="AE1359" s="14"/>
      <c r="AF1359" s="14"/>
      <c r="AG1359" s="14"/>
      <c r="AH1359" s="14"/>
      <c r="AI1359" s="14"/>
      <c r="AJ1359" s="14"/>
      <c r="AK1359" s="14"/>
      <c r="AL1359" s="14"/>
      <c r="AM1359" s="14"/>
    </row>
    <row r="1360" spans="1:39" x14ac:dyDescent="0.3">
      <c r="A1360" s="14"/>
      <c r="B1360" s="14"/>
      <c r="C1360" s="14"/>
      <c r="D1360" s="14"/>
      <c r="E1360" s="14"/>
      <c r="F1360" s="14"/>
      <c r="G1360" s="14"/>
      <c r="H1360" s="14"/>
      <c r="I1360" s="14"/>
      <c r="J1360" s="14"/>
      <c r="K1360" s="14"/>
      <c r="L1360" s="14"/>
      <c r="M1360" s="14"/>
      <c r="N1360" s="14"/>
      <c r="O1360" s="14"/>
      <c r="P1360" s="14"/>
      <c r="Q1360" s="14"/>
      <c r="R1360" s="14"/>
      <c r="S1360" s="14"/>
      <c r="T1360" s="14"/>
      <c r="U1360" s="14"/>
      <c r="V1360" s="14"/>
      <c r="W1360" s="14"/>
      <c r="X1360" s="14"/>
      <c r="Y1360" s="14"/>
      <c r="Z1360" s="14"/>
      <c r="AA1360" s="14"/>
      <c r="AB1360" s="14"/>
      <c r="AC1360" s="14"/>
      <c r="AD1360" s="14"/>
      <c r="AE1360" s="14"/>
      <c r="AF1360" s="14"/>
      <c r="AG1360" s="14"/>
      <c r="AH1360" s="14"/>
      <c r="AI1360" s="14"/>
      <c r="AJ1360" s="14"/>
      <c r="AK1360" s="14"/>
      <c r="AL1360" s="14"/>
      <c r="AM1360" s="14"/>
    </row>
    <row r="1361" spans="1:39" x14ac:dyDescent="0.3">
      <c r="A1361" s="14"/>
      <c r="B1361" s="14"/>
      <c r="C1361" s="14"/>
      <c r="D1361" s="14"/>
      <c r="E1361" s="14"/>
      <c r="F1361" s="14"/>
      <c r="G1361" s="14"/>
      <c r="H1361" s="14"/>
      <c r="I1361" s="14"/>
      <c r="J1361" s="14"/>
      <c r="K1361" s="14"/>
      <c r="L1361" s="14"/>
      <c r="M1361" s="14"/>
      <c r="N1361" s="14"/>
      <c r="O1361" s="14"/>
      <c r="P1361" s="14"/>
      <c r="Q1361" s="14"/>
      <c r="R1361" s="14"/>
      <c r="S1361" s="14"/>
      <c r="T1361" s="14"/>
      <c r="U1361" s="14"/>
      <c r="V1361" s="14"/>
      <c r="W1361" s="14"/>
      <c r="X1361" s="14"/>
      <c r="Y1361" s="14"/>
      <c r="Z1361" s="14"/>
      <c r="AA1361" s="14"/>
      <c r="AB1361" s="14"/>
      <c r="AC1361" s="14"/>
      <c r="AD1361" s="14"/>
      <c r="AE1361" s="14"/>
      <c r="AF1361" s="14"/>
      <c r="AG1361" s="14"/>
      <c r="AH1361" s="14"/>
      <c r="AI1361" s="14"/>
      <c r="AJ1361" s="14"/>
      <c r="AK1361" s="14"/>
      <c r="AL1361" s="14"/>
      <c r="AM1361" s="14"/>
    </row>
    <row r="1362" spans="1:39" x14ac:dyDescent="0.3">
      <c r="A1362" s="14"/>
      <c r="B1362" s="14"/>
      <c r="C1362" s="14"/>
      <c r="D1362" s="14"/>
      <c r="E1362" s="14"/>
      <c r="F1362" s="14"/>
      <c r="G1362" s="14"/>
      <c r="H1362" s="14"/>
      <c r="I1362" s="14"/>
      <c r="J1362" s="14"/>
      <c r="K1362" s="14"/>
      <c r="L1362" s="14"/>
      <c r="M1362" s="14"/>
      <c r="N1362" s="14"/>
      <c r="O1362" s="14"/>
      <c r="P1362" s="14"/>
      <c r="Q1362" s="14"/>
      <c r="R1362" s="14"/>
      <c r="S1362" s="14"/>
      <c r="T1362" s="14"/>
      <c r="U1362" s="14"/>
      <c r="V1362" s="14"/>
      <c r="W1362" s="14"/>
      <c r="X1362" s="14"/>
      <c r="Y1362" s="14"/>
      <c r="Z1362" s="14"/>
      <c r="AA1362" s="14"/>
      <c r="AB1362" s="14"/>
      <c r="AC1362" s="14"/>
      <c r="AD1362" s="14"/>
      <c r="AE1362" s="14"/>
      <c r="AF1362" s="14"/>
      <c r="AG1362" s="14"/>
      <c r="AH1362" s="14"/>
      <c r="AI1362" s="14"/>
      <c r="AJ1362" s="14"/>
      <c r="AK1362" s="14"/>
      <c r="AL1362" s="14"/>
      <c r="AM1362" s="14"/>
    </row>
    <row r="1363" spans="1:39" x14ac:dyDescent="0.3">
      <c r="A1363" s="14"/>
      <c r="B1363" s="14"/>
      <c r="C1363" s="14"/>
      <c r="D1363" s="14"/>
      <c r="E1363" s="14"/>
      <c r="F1363" s="14"/>
      <c r="G1363" s="14"/>
      <c r="H1363" s="14"/>
      <c r="I1363" s="14"/>
      <c r="J1363" s="14"/>
      <c r="K1363" s="14"/>
      <c r="L1363" s="14"/>
      <c r="M1363" s="14"/>
      <c r="N1363" s="14"/>
      <c r="O1363" s="14"/>
      <c r="P1363" s="14"/>
      <c r="Q1363" s="14"/>
      <c r="R1363" s="14"/>
      <c r="S1363" s="14"/>
      <c r="T1363" s="14"/>
      <c r="U1363" s="14"/>
      <c r="V1363" s="14"/>
      <c r="W1363" s="14"/>
      <c r="X1363" s="14"/>
      <c r="Y1363" s="14"/>
      <c r="Z1363" s="14"/>
      <c r="AA1363" s="14"/>
      <c r="AB1363" s="14"/>
      <c r="AC1363" s="14"/>
      <c r="AD1363" s="14"/>
      <c r="AE1363" s="14"/>
      <c r="AF1363" s="14"/>
      <c r="AG1363" s="14"/>
      <c r="AH1363" s="14"/>
      <c r="AI1363" s="14"/>
      <c r="AJ1363" s="14"/>
      <c r="AK1363" s="14"/>
      <c r="AL1363" s="14"/>
      <c r="AM1363" s="14"/>
    </row>
    <row r="1364" spans="1:39" x14ac:dyDescent="0.3">
      <c r="A1364" s="14"/>
      <c r="B1364" s="14"/>
      <c r="C1364" s="14"/>
      <c r="D1364" s="14"/>
      <c r="E1364" s="14"/>
      <c r="F1364" s="14"/>
      <c r="G1364" s="14"/>
      <c r="H1364" s="14"/>
      <c r="I1364" s="14"/>
      <c r="J1364" s="14"/>
      <c r="K1364" s="14"/>
      <c r="L1364" s="14"/>
      <c r="M1364" s="14"/>
      <c r="N1364" s="14"/>
      <c r="O1364" s="14"/>
      <c r="P1364" s="14"/>
      <c r="Q1364" s="14"/>
      <c r="R1364" s="14"/>
      <c r="S1364" s="14"/>
      <c r="T1364" s="14"/>
      <c r="U1364" s="14"/>
      <c r="V1364" s="14"/>
      <c r="W1364" s="14"/>
      <c r="X1364" s="14"/>
      <c r="Y1364" s="14"/>
      <c r="Z1364" s="14"/>
      <c r="AA1364" s="14"/>
      <c r="AB1364" s="14"/>
      <c r="AC1364" s="14"/>
      <c r="AD1364" s="14"/>
      <c r="AE1364" s="14"/>
      <c r="AF1364" s="14"/>
      <c r="AG1364" s="14"/>
      <c r="AH1364" s="14"/>
      <c r="AI1364" s="14"/>
      <c r="AJ1364" s="14"/>
      <c r="AK1364" s="14"/>
      <c r="AL1364" s="14"/>
      <c r="AM1364" s="14"/>
    </row>
    <row r="1365" spans="1:39" x14ac:dyDescent="0.3">
      <c r="A1365" s="14"/>
      <c r="B1365" s="14"/>
      <c r="C1365" s="14"/>
      <c r="D1365" s="14"/>
      <c r="E1365" s="14"/>
      <c r="F1365" s="14"/>
      <c r="G1365" s="14"/>
      <c r="H1365" s="14"/>
      <c r="I1365" s="14"/>
      <c r="J1365" s="14"/>
      <c r="K1365" s="14"/>
      <c r="L1365" s="14"/>
      <c r="M1365" s="14"/>
      <c r="N1365" s="14"/>
      <c r="O1365" s="14"/>
      <c r="P1365" s="14"/>
      <c r="Q1365" s="14"/>
      <c r="R1365" s="14"/>
      <c r="S1365" s="14"/>
      <c r="T1365" s="14"/>
      <c r="U1365" s="14"/>
      <c r="V1365" s="14"/>
      <c r="W1365" s="14"/>
      <c r="X1365" s="14"/>
      <c r="Y1365" s="14"/>
      <c r="Z1365" s="14"/>
      <c r="AA1365" s="14"/>
      <c r="AB1365" s="14"/>
      <c r="AC1365" s="14"/>
      <c r="AD1365" s="14"/>
      <c r="AE1365" s="14"/>
      <c r="AF1365" s="14"/>
      <c r="AG1365" s="14"/>
      <c r="AH1365" s="14"/>
      <c r="AI1365" s="14"/>
      <c r="AJ1365" s="14"/>
      <c r="AK1365" s="14"/>
      <c r="AL1365" s="14"/>
      <c r="AM1365" s="14"/>
    </row>
    <row r="1366" spans="1:39" x14ac:dyDescent="0.3">
      <c r="A1366" s="14"/>
      <c r="B1366" s="14"/>
      <c r="C1366" s="14"/>
      <c r="D1366" s="14"/>
      <c r="E1366" s="14"/>
      <c r="F1366" s="14"/>
      <c r="G1366" s="14"/>
      <c r="H1366" s="14"/>
      <c r="I1366" s="14"/>
      <c r="J1366" s="14"/>
      <c r="K1366" s="14"/>
      <c r="L1366" s="14"/>
      <c r="M1366" s="14"/>
      <c r="N1366" s="14"/>
      <c r="O1366" s="14"/>
      <c r="P1366" s="14"/>
      <c r="Q1366" s="14"/>
      <c r="R1366" s="14"/>
      <c r="S1366" s="14"/>
      <c r="T1366" s="14"/>
      <c r="U1366" s="14"/>
      <c r="V1366" s="14"/>
      <c r="W1366" s="14"/>
      <c r="X1366" s="14"/>
      <c r="Y1366" s="14"/>
      <c r="Z1366" s="14"/>
      <c r="AA1366" s="14"/>
      <c r="AB1366" s="14"/>
      <c r="AC1366" s="14"/>
      <c r="AD1366" s="14"/>
      <c r="AE1366" s="14"/>
      <c r="AF1366" s="14"/>
      <c r="AG1366" s="14"/>
      <c r="AH1366" s="14"/>
      <c r="AI1366" s="14"/>
      <c r="AJ1366" s="14"/>
      <c r="AK1366" s="14"/>
      <c r="AL1366" s="14"/>
      <c r="AM1366" s="14"/>
    </row>
    <row r="1367" spans="1:39" x14ac:dyDescent="0.3">
      <c r="A1367" s="14"/>
      <c r="B1367" s="14"/>
      <c r="C1367" s="14"/>
      <c r="D1367" s="14"/>
      <c r="E1367" s="14"/>
      <c r="F1367" s="14"/>
      <c r="G1367" s="14"/>
      <c r="H1367" s="14"/>
      <c r="I1367" s="14"/>
      <c r="J1367" s="14"/>
      <c r="K1367" s="14"/>
      <c r="L1367" s="14"/>
      <c r="M1367" s="14"/>
      <c r="N1367" s="14"/>
      <c r="O1367" s="14"/>
      <c r="P1367" s="14"/>
      <c r="Q1367" s="14"/>
      <c r="R1367" s="14"/>
      <c r="S1367" s="14"/>
      <c r="T1367" s="14"/>
      <c r="U1367" s="14"/>
      <c r="V1367" s="14"/>
      <c r="W1367" s="14"/>
      <c r="X1367" s="14"/>
      <c r="Y1367" s="14"/>
      <c r="Z1367" s="14"/>
      <c r="AA1367" s="14"/>
      <c r="AB1367" s="14"/>
      <c r="AC1367" s="14"/>
      <c r="AD1367" s="14"/>
      <c r="AE1367" s="14"/>
      <c r="AF1367" s="14"/>
      <c r="AG1367" s="14"/>
      <c r="AH1367" s="14"/>
      <c r="AI1367" s="14"/>
      <c r="AJ1367" s="14"/>
      <c r="AK1367" s="14"/>
      <c r="AL1367" s="14"/>
      <c r="AM1367" s="14"/>
    </row>
    <row r="1368" spans="1:39" x14ac:dyDescent="0.3">
      <c r="A1368" s="14"/>
      <c r="B1368" s="14"/>
      <c r="C1368" s="14"/>
      <c r="D1368" s="14"/>
      <c r="E1368" s="14"/>
      <c r="F1368" s="14"/>
      <c r="G1368" s="14"/>
      <c r="H1368" s="14"/>
      <c r="I1368" s="14"/>
      <c r="J1368" s="14"/>
      <c r="K1368" s="14"/>
      <c r="L1368" s="14"/>
      <c r="M1368" s="14"/>
      <c r="N1368" s="14"/>
      <c r="O1368" s="14"/>
      <c r="P1368" s="14"/>
      <c r="Q1368" s="14"/>
      <c r="R1368" s="14"/>
      <c r="S1368" s="14"/>
      <c r="T1368" s="14"/>
      <c r="U1368" s="14"/>
      <c r="V1368" s="14"/>
      <c r="W1368" s="14"/>
      <c r="X1368" s="14"/>
      <c r="Y1368" s="14"/>
      <c r="Z1368" s="14"/>
      <c r="AA1368" s="14"/>
      <c r="AB1368" s="14"/>
      <c r="AC1368" s="14"/>
      <c r="AD1368" s="14"/>
      <c r="AE1368" s="14"/>
      <c r="AF1368" s="14"/>
      <c r="AG1368" s="14"/>
      <c r="AH1368" s="14"/>
      <c r="AI1368" s="14"/>
      <c r="AJ1368" s="14"/>
      <c r="AK1368" s="14"/>
      <c r="AL1368" s="14"/>
      <c r="AM1368" s="14"/>
    </row>
    <row r="1369" spans="1:39" x14ac:dyDescent="0.3">
      <c r="A1369" s="14"/>
      <c r="B1369" s="14"/>
      <c r="C1369" s="14"/>
      <c r="D1369" s="14"/>
      <c r="E1369" s="14"/>
      <c r="F1369" s="14"/>
      <c r="G1369" s="14"/>
      <c r="H1369" s="14"/>
      <c r="I1369" s="14"/>
      <c r="J1369" s="14"/>
      <c r="K1369" s="14"/>
      <c r="L1369" s="14"/>
      <c r="M1369" s="14"/>
      <c r="N1369" s="14"/>
      <c r="O1369" s="14"/>
      <c r="P1369" s="14"/>
      <c r="Q1369" s="14"/>
      <c r="R1369" s="14"/>
      <c r="S1369" s="14"/>
      <c r="T1369" s="14"/>
      <c r="U1369" s="14"/>
      <c r="V1369" s="14"/>
      <c r="W1369" s="14"/>
      <c r="X1369" s="14"/>
      <c r="Y1369" s="14"/>
      <c r="Z1369" s="14"/>
      <c r="AA1369" s="14"/>
      <c r="AB1369" s="14"/>
      <c r="AC1369" s="14"/>
      <c r="AD1369" s="14"/>
      <c r="AE1369" s="14"/>
      <c r="AF1369" s="14"/>
      <c r="AG1369" s="14"/>
      <c r="AH1369" s="14"/>
      <c r="AI1369" s="14"/>
      <c r="AJ1369" s="14"/>
      <c r="AK1369" s="14"/>
      <c r="AL1369" s="14"/>
      <c r="AM1369" s="14"/>
    </row>
    <row r="1370" spans="1:39" x14ac:dyDescent="0.3">
      <c r="A1370" s="14"/>
      <c r="B1370" s="14"/>
      <c r="C1370" s="14"/>
      <c r="D1370" s="14"/>
      <c r="E1370" s="14"/>
      <c r="F1370" s="14"/>
      <c r="G1370" s="14"/>
      <c r="H1370" s="14"/>
      <c r="I1370" s="14"/>
      <c r="J1370" s="14"/>
      <c r="K1370" s="14"/>
      <c r="L1370" s="14"/>
      <c r="M1370" s="14"/>
      <c r="N1370" s="14"/>
      <c r="O1370" s="14"/>
      <c r="P1370" s="14"/>
      <c r="Q1370" s="14"/>
      <c r="R1370" s="14"/>
      <c r="S1370" s="14"/>
      <c r="T1370" s="14"/>
      <c r="U1370" s="14"/>
      <c r="V1370" s="14"/>
      <c r="W1370" s="14"/>
      <c r="X1370" s="14"/>
      <c r="Y1370" s="14"/>
      <c r="Z1370" s="14"/>
      <c r="AA1370" s="14"/>
      <c r="AB1370" s="14"/>
      <c r="AC1370" s="14"/>
      <c r="AD1370" s="14"/>
      <c r="AE1370" s="14"/>
      <c r="AF1370" s="14"/>
      <c r="AG1370" s="14"/>
      <c r="AH1370" s="14"/>
      <c r="AI1370" s="14"/>
      <c r="AJ1370" s="14"/>
      <c r="AK1370" s="14"/>
      <c r="AL1370" s="14"/>
      <c r="AM1370" s="14"/>
    </row>
    <row r="1371" spans="1:39" x14ac:dyDescent="0.3">
      <c r="A1371" s="14"/>
      <c r="B1371" s="14"/>
      <c r="C1371" s="14"/>
      <c r="D1371" s="14"/>
      <c r="E1371" s="14"/>
      <c r="F1371" s="14"/>
      <c r="G1371" s="14"/>
      <c r="H1371" s="14"/>
      <c r="I1371" s="14"/>
      <c r="J1371" s="14"/>
      <c r="K1371" s="14"/>
      <c r="L1371" s="14"/>
      <c r="M1371" s="14"/>
      <c r="N1371" s="14"/>
      <c r="O1371" s="14"/>
      <c r="P1371" s="14"/>
      <c r="Q1371" s="14"/>
      <c r="R1371" s="14"/>
      <c r="S1371" s="14"/>
      <c r="T1371" s="14"/>
      <c r="U1371" s="14"/>
      <c r="V1371" s="14"/>
      <c r="W1371" s="14"/>
      <c r="X1371" s="14"/>
      <c r="Y1371" s="14"/>
      <c r="Z1371" s="14"/>
      <c r="AA1371" s="14"/>
      <c r="AB1371" s="14"/>
      <c r="AC1371" s="14"/>
      <c r="AD1371" s="14"/>
      <c r="AE1371" s="14"/>
      <c r="AF1371" s="14"/>
      <c r="AG1371" s="14"/>
      <c r="AH1371" s="14"/>
      <c r="AI1371" s="14"/>
      <c r="AJ1371" s="14"/>
      <c r="AK1371" s="14"/>
      <c r="AL1371" s="14"/>
      <c r="AM1371" s="14"/>
    </row>
    <row r="1372" spans="1:39" x14ac:dyDescent="0.3">
      <c r="A1372" s="14"/>
      <c r="B1372" s="14"/>
      <c r="C1372" s="14"/>
      <c r="D1372" s="14"/>
      <c r="E1372" s="14"/>
      <c r="F1372" s="14"/>
      <c r="G1372" s="14"/>
      <c r="H1372" s="14"/>
      <c r="I1372" s="14"/>
      <c r="J1372" s="14"/>
      <c r="K1372" s="14"/>
      <c r="L1372" s="14"/>
      <c r="M1372" s="14"/>
      <c r="N1372" s="14"/>
      <c r="O1372" s="14"/>
      <c r="P1372" s="14"/>
      <c r="Q1372" s="14"/>
      <c r="R1372" s="14"/>
      <c r="S1372" s="14"/>
      <c r="T1372" s="14"/>
      <c r="U1372" s="14"/>
      <c r="V1372" s="14"/>
      <c r="W1372" s="14"/>
      <c r="X1372" s="14"/>
      <c r="Y1372" s="14"/>
      <c r="Z1372" s="14"/>
      <c r="AA1372" s="14"/>
      <c r="AB1372" s="14"/>
      <c r="AC1372" s="14"/>
      <c r="AD1372" s="14"/>
      <c r="AE1372" s="14"/>
      <c r="AF1372" s="14"/>
      <c r="AG1372" s="14"/>
      <c r="AH1372" s="14"/>
      <c r="AI1372" s="14"/>
      <c r="AJ1372" s="14"/>
      <c r="AK1372" s="14"/>
      <c r="AL1372" s="14"/>
      <c r="AM1372" s="14"/>
    </row>
    <row r="1373" spans="1:39" x14ac:dyDescent="0.3">
      <c r="A1373" s="14"/>
      <c r="B1373" s="14"/>
      <c r="C1373" s="14"/>
      <c r="D1373" s="14"/>
      <c r="E1373" s="14"/>
      <c r="F1373" s="14"/>
      <c r="G1373" s="14"/>
      <c r="H1373" s="14"/>
      <c r="I1373" s="14"/>
      <c r="J1373" s="14"/>
      <c r="K1373" s="14"/>
      <c r="L1373" s="14"/>
      <c r="M1373" s="14"/>
      <c r="N1373" s="14"/>
      <c r="O1373" s="14"/>
      <c r="P1373" s="14"/>
      <c r="Q1373" s="14"/>
      <c r="R1373" s="14"/>
      <c r="S1373" s="14"/>
      <c r="T1373" s="14"/>
      <c r="U1373" s="14"/>
      <c r="V1373" s="14"/>
      <c r="W1373" s="14"/>
      <c r="X1373" s="14"/>
      <c r="Y1373" s="14"/>
      <c r="Z1373" s="14"/>
      <c r="AA1373" s="14"/>
      <c r="AB1373" s="14"/>
      <c r="AC1373" s="14"/>
      <c r="AD1373" s="14"/>
      <c r="AE1373" s="14"/>
      <c r="AF1373" s="14"/>
      <c r="AG1373" s="14"/>
      <c r="AH1373" s="14"/>
      <c r="AI1373" s="14"/>
      <c r="AJ1373" s="14"/>
      <c r="AK1373" s="14"/>
      <c r="AL1373" s="14"/>
      <c r="AM1373" s="14"/>
    </row>
    <row r="1374" spans="1:39" x14ac:dyDescent="0.3">
      <c r="A1374" s="14"/>
      <c r="B1374" s="14"/>
      <c r="C1374" s="14"/>
      <c r="D1374" s="14"/>
      <c r="E1374" s="14"/>
      <c r="F1374" s="14"/>
      <c r="G1374" s="14"/>
      <c r="H1374" s="14"/>
      <c r="I1374" s="14"/>
      <c r="J1374" s="14"/>
      <c r="K1374" s="14"/>
      <c r="L1374" s="14"/>
      <c r="M1374" s="14"/>
      <c r="N1374" s="14"/>
      <c r="O1374" s="14"/>
      <c r="P1374" s="14"/>
      <c r="Q1374" s="14"/>
      <c r="R1374" s="14"/>
      <c r="S1374" s="14"/>
      <c r="T1374" s="14"/>
      <c r="U1374" s="14"/>
      <c r="V1374" s="14"/>
      <c r="W1374" s="14"/>
      <c r="X1374" s="14"/>
      <c r="Y1374" s="14"/>
      <c r="Z1374" s="14"/>
      <c r="AA1374" s="14"/>
      <c r="AB1374" s="14"/>
      <c r="AC1374" s="14"/>
      <c r="AD1374" s="14"/>
      <c r="AE1374" s="14"/>
      <c r="AF1374" s="14"/>
      <c r="AG1374" s="14"/>
      <c r="AH1374" s="14"/>
      <c r="AI1374" s="14"/>
      <c r="AJ1374" s="14"/>
      <c r="AK1374" s="14"/>
      <c r="AL1374" s="14"/>
      <c r="AM1374" s="14"/>
    </row>
    <row r="1375" spans="1:39" x14ac:dyDescent="0.3">
      <c r="A1375" s="14"/>
      <c r="B1375" s="14"/>
      <c r="C1375" s="14"/>
      <c r="D1375" s="14"/>
      <c r="E1375" s="14"/>
      <c r="F1375" s="14"/>
      <c r="G1375" s="14"/>
      <c r="H1375" s="14"/>
      <c r="I1375" s="14"/>
      <c r="J1375" s="14"/>
      <c r="K1375" s="14"/>
      <c r="L1375" s="14"/>
      <c r="M1375" s="14"/>
      <c r="N1375" s="14"/>
      <c r="O1375" s="14"/>
      <c r="P1375" s="14"/>
      <c r="Q1375" s="14"/>
      <c r="R1375" s="14"/>
      <c r="S1375" s="14"/>
      <c r="T1375" s="14"/>
      <c r="U1375" s="14"/>
      <c r="V1375" s="14"/>
      <c r="W1375" s="14"/>
      <c r="X1375" s="14"/>
      <c r="Y1375" s="14"/>
      <c r="Z1375" s="14"/>
      <c r="AA1375" s="14"/>
      <c r="AB1375" s="14"/>
      <c r="AC1375" s="14"/>
      <c r="AD1375" s="14"/>
      <c r="AE1375" s="14"/>
      <c r="AF1375" s="14"/>
      <c r="AG1375" s="14"/>
      <c r="AH1375" s="14"/>
      <c r="AI1375" s="14"/>
      <c r="AJ1375" s="14"/>
      <c r="AK1375" s="14"/>
      <c r="AL1375" s="14"/>
      <c r="AM1375" s="14"/>
    </row>
    <row r="1376" spans="1:39" x14ac:dyDescent="0.3">
      <c r="A1376" s="14"/>
      <c r="B1376" s="14"/>
      <c r="C1376" s="14"/>
      <c r="D1376" s="14"/>
      <c r="E1376" s="14"/>
      <c r="F1376" s="14"/>
      <c r="G1376" s="14"/>
      <c r="H1376" s="14"/>
      <c r="I1376" s="14"/>
      <c r="J1376" s="14"/>
      <c r="K1376" s="14"/>
      <c r="L1376" s="14"/>
      <c r="M1376" s="14"/>
      <c r="N1376" s="14"/>
      <c r="O1376" s="14"/>
      <c r="P1376" s="14"/>
      <c r="Q1376" s="14"/>
      <c r="R1376" s="14"/>
      <c r="S1376" s="14"/>
      <c r="T1376" s="14"/>
      <c r="U1376" s="14"/>
      <c r="V1376" s="14"/>
      <c r="W1376" s="14"/>
      <c r="X1376" s="14"/>
      <c r="Y1376" s="14"/>
      <c r="Z1376" s="14"/>
      <c r="AA1376" s="14"/>
      <c r="AB1376" s="14"/>
      <c r="AC1376" s="14"/>
      <c r="AD1376" s="14"/>
      <c r="AE1376" s="14"/>
      <c r="AF1376" s="14"/>
      <c r="AG1376" s="14"/>
      <c r="AH1376" s="14"/>
      <c r="AI1376" s="14"/>
      <c r="AJ1376" s="14"/>
      <c r="AK1376" s="14"/>
      <c r="AL1376" s="14"/>
      <c r="AM1376" s="14"/>
    </row>
    <row r="1377" spans="1:39" x14ac:dyDescent="0.3">
      <c r="A1377" s="14"/>
      <c r="B1377" s="14"/>
      <c r="C1377" s="14"/>
      <c r="D1377" s="14"/>
      <c r="E1377" s="14"/>
      <c r="F1377" s="14"/>
      <c r="G1377" s="14"/>
      <c r="H1377" s="14"/>
      <c r="I1377" s="14"/>
      <c r="J1377" s="14"/>
      <c r="K1377" s="14"/>
      <c r="L1377" s="14"/>
      <c r="M1377" s="14"/>
      <c r="N1377" s="14"/>
      <c r="O1377" s="14"/>
      <c r="P1377" s="14"/>
      <c r="Q1377" s="14"/>
      <c r="R1377" s="14"/>
      <c r="S1377" s="14"/>
      <c r="T1377" s="14"/>
      <c r="U1377" s="14"/>
      <c r="V1377" s="14"/>
      <c r="W1377" s="14"/>
      <c r="X1377" s="14"/>
      <c r="Y1377" s="14"/>
      <c r="Z1377" s="14"/>
      <c r="AA1377" s="14"/>
      <c r="AB1377" s="14"/>
      <c r="AC1377" s="14"/>
      <c r="AD1377" s="14"/>
      <c r="AE1377" s="14"/>
      <c r="AF1377" s="14"/>
      <c r="AG1377" s="14"/>
      <c r="AH1377" s="14"/>
      <c r="AI1377" s="14"/>
      <c r="AJ1377" s="14"/>
      <c r="AK1377" s="14"/>
      <c r="AL1377" s="14"/>
      <c r="AM1377" s="14"/>
    </row>
    <row r="1378" spans="1:39" x14ac:dyDescent="0.3">
      <c r="A1378" s="14"/>
      <c r="B1378" s="14"/>
      <c r="C1378" s="14"/>
      <c r="D1378" s="14"/>
      <c r="E1378" s="14"/>
      <c r="F1378" s="14"/>
      <c r="G1378" s="14"/>
      <c r="H1378" s="14"/>
      <c r="I1378" s="14"/>
      <c r="J1378" s="14"/>
      <c r="K1378" s="14"/>
      <c r="L1378" s="14"/>
      <c r="M1378" s="14"/>
      <c r="N1378" s="14"/>
      <c r="O1378" s="14"/>
      <c r="P1378" s="14"/>
      <c r="Q1378" s="14"/>
      <c r="R1378" s="14"/>
      <c r="S1378" s="14"/>
      <c r="T1378" s="14"/>
      <c r="U1378" s="14"/>
      <c r="V1378" s="14"/>
      <c r="W1378" s="14"/>
      <c r="X1378" s="14"/>
      <c r="Y1378" s="14"/>
      <c r="Z1378" s="14"/>
      <c r="AA1378" s="14"/>
      <c r="AB1378" s="14"/>
      <c r="AC1378" s="14"/>
      <c r="AD1378" s="14"/>
      <c r="AE1378" s="14"/>
      <c r="AF1378" s="14"/>
      <c r="AG1378" s="14"/>
      <c r="AH1378" s="14"/>
      <c r="AI1378" s="14"/>
      <c r="AJ1378" s="14"/>
      <c r="AK1378" s="14"/>
      <c r="AL1378" s="14"/>
      <c r="AM1378" s="14"/>
    </row>
    <row r="1379" spans="1:39" x14ac:dyDescent="0.3">
      <c r="A1379" s="14"/>
      <c r="B1379" s="14"/>
      <c r="C1379" s="14"/>
      <c r="D1379" s="14"/>
      <c r="E1379" s="14"/>
      <c r="F1379" s="14"/>
      <c r="G1379" s="14"/>
      <c r="H1379" s="14"/>
      <c r="I1379" s="14"/>
      <c r="J1379" s="14"/>
      <c r="K1379" s="14"/>
      <c r="L1379" s="14"/>
      <c r="M1379" s="14"/>
      <c r="N1379" s="14"/>
      <c r="O1379" s="14"/>
      <c r="P1379" s="14"/>
      <c r="Q1379" s="14"/>
      <c r="R1379" s="14"/>
      <c r="S1379" s="14"/>
      <c r="T1379" s="14"/>
      <c r="U1379" s="14"/>
      <c r="V1379" s="14"/>
      <c r="W1379" s="14"/>
      <c r="X1379" s="14"/>
      <c r="Y1379" s="14"/>
      <c r="Z1379" s="14"/>
      <c r="AA1379" s="14"/>
      <c r="AB1379" s="14"/>
      <c r="AC1379" s="14"/>
      <c r="AD1379" s="14"/>
      <c r="AE1379" s="14"/>
      <c r="AF1379" s="14"/>
      <c r="AG1379" s="14"/>
      <c r="AH1379" s="14"/>
      <c r="AI1379" s="14"/>
      <c r="AJ1379" s="14"/>
      <c r="AK1379" s="14"/>
      <c r="AL1379" s="14"/>
      <c r="AM1379" s="14"/>
    </row>
    <row r="1380" spans="1:39" x14ac:dyDescent="0.3">
      <c r="A1380" s="14"/>
      <c r="B1380" s="14"/>
      <c r="C1380" s="14"/>
      <c r="D1380" s="14"/>
      <c r="E1380" s="14"/>
      <c r="F1380" s="14"/>
      <c r="G1380" s="14"/>
      <c r="H1380" s="14"/>
      <c r="I1380" s="14"/>
      <c r="J1380" s="14"/>
      <c r="K1380" s="14"/>
      <c r="L1380" s="14"/>
      <c r="M1380" s="14"/>
      <c r="N1380" s="14"/>
      <c r="O1380" s="14"/>
      <c r="P1380" s="14"/>
      <c r="Q1380" s="14"/>
      <c r="R1380" s="14"/>
      <c r="S1380" s="14"/>
      <c r="T1380" s="14"/>
      <c r="U1380" s="14"/>
      <c r="V1380" s="14"/>
      <c r="W1380" s="14"/>
      <c r="X1380" s="14"/>
      <c r="Y1380" s="14"/>
      <c r="Z1380" s="14"/>
      <c r="AA1380" s="14"/>
      <c r="AB1380" s="14"/>
      <c r="AC1380" s="14"/>
      <c r="AD1380" s="14"/>
      <c r="AE1380" s="14"/>
      <c r="AF1380" s="14"/>
      <c r="AG1380" s="14"/>
      <c r="AH1380" s="14"/>
      <c r="AI1380" s="14"/>
      <c r="AJ1380" s="14"/>
      <c r="AK1380" s="14"/>
      <c r="AL1380" s="14"/>
      <c r="AM1380" s="14"/>
    </row>
    <row r="1381" spans="1:39" x14ac:dyDescent="0.3">
      <c r="A1381" s="14"/>
      <c r="B1381" s="14"/>
      <c r="C1381" s="14"/>
      <c r="D1381" s="14"/>
      <c r="E1381" s="14"/>
      <c r="F1381" s="14"/>
      <c r="G1381" s="14"/>
      <c r="H1381" s="14"/>
      <c r="I1381" s="14"/>
      <c r="J1381" s="14"/>
      <c r="K1381" s="14"/>
      <c r="L1381" s="14"/>
      <c r="M1381" s="14"/>
      <c r="N1381" s="14"/>
      <c r="O1381" s="14"/>
      <c r="P1381" s="14"/>
      <c r="Q1381" s="14"/>
      <c r="R1381" s="14"/>
      <c r="S1381" s="14"/>
      <c r="T1381" s="14"/>
      <c r="U1381" s="14"/>
      <c r="V1381" s="14"/>
      <c r="W1381" s="14"/>
      <c r="X1381" s="14"/>
      <c r="Y1381" s="14"/>
      <c r="Z1381" s="14"/>
      <c r="AA1381" s="14"/>
      <c r="AB1381" s="14"/>
      <c r="AC1381" s="14"/>
      <c r="AD1381" s="14"/>
      <c r="AE1381" s="14"/>
      <c r="AF1381" s="14"/>
      <c r="AG1381" s="14"/>
      <c r="AH1381" s="14"/>
      <c r="AI1381" s="14"/>
      <c r="AJ1381" s="14"/>
      <c r="AK1381" s="14"/>
      <c r="AL1381" s="14"/>
      <c r="AM1381" s="14"/>
    </row>
    <row r="1382" spans="1:39" x14ac:dyDescent="0.3">
      <c r="A1382" s="14"/>
      <c r="B1382" s="14"/>
      <c r="C1382" s="14"/>
      <c r="D1382" s="14"/>
      <c r="E1382" s="14"/>
      <c r="F1382" s="14"/>
      <c r="G1382" s="14"/>
      <c r="H1382" s="14"/>
      <c r="I1382" s="14"/>
      <c r="J1382" s="14"/>
      <c r="K1382" s="14"/>
      <c r="L1382" s="14"/>
      <c r="M1382" s="14"/>
      <c r="N1382" s="14"/>
      <c r="O1382" s="14"/>
      <c r="P1382" s="14"/>
      <c r="Q1382" s="14"/>
      <c r="R1382" s="14"/>
      <c r="S1382" s="14"/>
      <c r="T1382" s="14"/>
      <c r="U1382" s="14"/>
      <c r="V1382" s="14"/>
      <c r="W1382" s="14"/>
      <c r="X1382" s="14"/>
      <c r="Y1382" s="14"/>
      <c r="Z1382" s="14"/>
      <c r="AA1382" s="14"/>
      <c r="AB1382" s="14"/>
      <c r="AC1382" s="14"/>
      <c r="AD1382" s="14"/>
      <c r="AE1382" s="14"/>
      <c r="AF1382" s="14"/>
      <c r="AG1382" s="14"/>
      <c r="AH1382" s="14"/>
      <c r="AI1382" s="14"/>
      <c r="AJ1382" s="14"/>
      <c r="AK1382" s="14"/>
      <c r="AL1382" s="14"/>
      <c r="AM1382" s="14"/>
    </row>
    <row r="1383" spans="1:39" x14ac:dyDescent="0.3">
      <c r="A1383" s="14"/>
      <c r="B1383" s="14"/>
      <c r="C1383" s="14"/>
      <c r="D1383" s="14"/>
      <c r="E1383" s="14"/>
      <c r="F1383" s="14"/>
      <c r="G1383" s="14"/>
      <c r="H1383" s="14"/>
      <c r="I1383" s="14"/>
      <c r="J1383" s="14"/>
      <c r="K1383" s="14"/>
      <c r="L1383" s="14"/>
      <c r="M1383" s="14"/>
      <c r="N1383" s="14"/>
      <c r="O1383" s="14"/>
      <c r="P1383" s="14"/>
      <c r="Q1383" s="14"/>
      <c r="R1383" s="14"/>
      <c r="S1383" s="14"/>
      <c r="T1383" s="14"/>
      <c r="U1383" s="14"/>
      <c r="V1383" s="14"/>
      <c r="W1383" s="14"/>
      <c r="X1383" s="14"/>
      <c r="Y1383" s="14"/>
      <c r="Z1383" s="14"/>
      <c r="AA1383" s="14"/>
      <c r="AB1383" s="14"/>
      <c r="AC1383" s="14"/>
      <c r="AD1383" s="14"/>
      <c r="AE1383" s="14"/>
      <c r="AF1383" s="14"/>
      <c r="AG1383" s="14"/>
      <c r="AH1383" s="14"/>
      <c r="AI1383" s="14"/>
      <c r="AJ1383" s="14"/>
      <c r="AK1383" s="14"/>
      <c r="AL1383" s="14"/>
      <c r="AM1383" s="14"/>
    </row>
    <row r="1384" spans="1:39" x14ac:dyDescent="0.3">
      <c r="A1384" s="14"/>
      <c r="B1384" s="14"/>
      <c r="C1384" s="14"/>
      <c r="D1384" s="14"/>
      <c r="E1384" s="14"/>
      <c r="F1384" s="14"/>
      <c r="G1384" s="14"/>
      <c r="H1384" s="14"/>
      <c r="I1384" s="14"/>
      <c r="J1384" s="14"/>
      <c r="K1384" s="14"/>
      <c r="L1384" s="14"/>
      <c r="M1384" s="14"/>
      <c r="N1384" s="14"/>
      <c r="O1384" s="14"/>
      <c r="P1384" s="14"/>
      <c r="Q1384" s="14"/>
      <c r="R1384" s="14"/>
      <c r="S1384" s="14"/>
      <c r="T1384" s="14"/>
      <c r="U1384" s="14"/>
      <c r="V1384" s="14"/>
      <c r="W1384" s="14"/>
      <c r="X1384" s="14"/>
      <c r="Y1384" s="14"/>
      <c r="Z1384" s="14"/>
      <c r="AA1384" s="14"/>
      <c r="AB1384" s="14"/>
      <c r="AC1384" s="14"/>
      <c r="AD1384" s="14"/>
      <c r="AE1384" s="14"/>
      <c r="AF1384" s="14"/>
      <c r="AG1384" s="14"/>
      <c r="AH1384" s="14"/>
      <c r="AI1384" s="14"/>
      <c r="AJ1384" s="14"/>
      <c r="AK1384" s="14"/>
      <c r="AL1384" s="14"/>
      <c r="AM1384" s="14"/>
    </row>
    <row r="1385" spans="1:39" x14ac:dyDescent="0.3">
      <c r="A1385" s="14"/>
      <c r="B1385" s="14"/>
      <c r="C1385" s="14"/>
      <c r="D1385" s="14"/>
      <c r="E1385" s="14"/>
      <c r="F1385" s="14"/>
      <c r="G1385" s="14"/>
      <c r="H1385" s="14"/>
      <c r="I1385" s="14"/>
      <c r="J1385" s="14"/>
      <c r="K1385" s="14"/>
      <c r="L1385" s="14"/>
      <c r="M1385" s="14"/>
      <c r="N1385" s="14"/>
      <c r="O1385" s="14"/>
      <c r="P1385" s="14"/>
      <c r="Q1385" s="14"/>
      <c r="R1385" s="14"/>
      <c r="S1385" s="14"/>
      <c r="T1385" s="14"/>
      <c r="U1385" s="14"/>
      <c r="V1385" s="14"/>
      <c r="W1385" s="14"/>
      <c r="X1385" s="14"/>
      <c r="Y1385" s="14"/>
      <c r="Z1385" s="14"/>
      <c r="AA1385" s="14"/>
      <c r="AB1385" s="14"/>
      <c r="AC1385" s="14"/>
      <c r="AD1385" s="14"/>
      <c r="AE1385" s="14"/>
      <c r="AF1385" s="14"/>
      <c r="AG1385" s="14"/>
      <c r="AH1385" s="14"/>
      <c r="AI1385" s="14"/>
      <c r="AJ1385" s="14"/>
      <c r="AK1385" s="14"/>
      <c r="AL1385" s="14"/>
      <c r="AM1385" s="14"/>
    </row>
    <row r="1386" spans="1:39" x14ac:dyDescent="0.3">
      <c r="A1386" s="14"/>
      <c r="B1386" s="14"/>
      <c r="C1386" s="14"/>
      <c r="D1386" s="14"/>
      <c r="E1386" s="14"/>
      <c r="F1386" s="14"/>
      <c r="G1386" s="14"/>
      <c r="H1386" s="14"/>
      <c r="I1386" s="14"/>
      <c r="J1386" s="14"/>
      <c r="K1386" s="14"/>
      <c r="L1386" s="14"/>
      <c r="M1386" s="14"/>
      <c r="N1386" s="14"/>
      <c r="O1386" s="14"/>
      <c r="P1386" s="14"/>
      <c r="Q1386" s="14"/>
      <c r="R1386" s="14"/>
      <c r="S1386" s="14"/>
      <c r="T1386" s="14"/>
      <c r="U1386" s="14"/>
      <c r="V1386" s="14"/>
      <c r="W1386" s="14"/>
      <c r="X1386" s="14"/>
      <c r="Y1386" s="14"/>
      <c r="Z1386" s="14"/>
      <c r="AA1386" s="14"/>
      <c r="AB1386" s="14"/>
      <c r="AC1386" s="14"/>
      <c r="AD1386" s="14"/>
      <c r="AE1386" s="14"/>
      <c r="AF1386" s="14"/>
      <c r="AG1386" s="14"/>
      <c r="AH1386" s="14"/>
      <c r="AI1386" s="14"/>
      <c r="AJ1386" s="14"/>
      <c r="AK1386" s="14"/>
      <c r="AL1386" s="14"/>
      <c r="AM1386" s="14"/>
    </row>
    <row r="1387" spans="1:39" x14ac:dyDescent="0.3">
      <c r="A1387" s="14"/>
      <c r="B1387" s="14"/>
      <c r="C1387" s="14"/>
      <c r="D1387" s="14"/>
      <c r="E1387" s="14"/>
      <c r="F1387" s="14"/>
      <c r="G1387" s="14"/>
      <c r="H1387" s="14"/>
      <c r="I1387" s="14"/>
      <c r="J1387" s="14"/>
      <c r="K1387" s="14"/>
      <c r="L1387" s="14"/>
      <c r="M1387" s="14"/>
      <c r="N1387" s="14"/>
      <c r="O1387" s="14"/>
      <c r="P1387" s="14"/>
      <c r="Q1387" s="14"/>
      <c r="R1387" s="14"/>
      <c r="S1387" s="14"/>
      <c r="T1387" s="14"/>
      <c r="U1387" s="14"/>
      <c r="V1387" s="14"/>
      <c r="W1387" s="14"/>
      <c r="X1387" s="14"/>
      <c r="Y1387" s="14"/>
      <c r="Z1387" s="14"/>
      <c r="AA1387" s="14"/>
      <c r="AB1387" s="14"/>
      <c r="AC1387" s="14"/>
      <c r="AD1387" s="14"/>
      <c r="AE1387" s="14"/>
      <c r="AF1387" s="14"/>
      <c r="AG1387" s="14"/>
      <c r="AH1387" s="14"/>
      <c r="AI1387" s="14"/>
      <c r="AJ1387" s="14"/>
      <c r="AK1387" s="14"/>
      <c r="AL1387" s="14"/>
      <c r="AM1387" s="14"/>
    </row>
    <row r="1388" spans="1:39" x14ac:dyDescent="0.3">
      <c r="A1388" s="14"/>
      <c r="B1388" s="14"/>
      <c r="C1388" s="14"/>
      <c r="D1388" s="14"/>
      <c r="E1388" s="14"/>
      <c r="F1388" s="14"/>
      <c r="G1388" s="14"/>
      <c r="H1388" s="14"/>
      <c r="I1388" s="14"/>
      <c r="J1388" s="14"/>
      <c r="K1388" s="14"/>
      <c r="L1388" s="14"/>
      <c r="M1388" s="14"/>
      <c r="N1388" s="14"/>
      <c r="O1388" s="14"/>
      <c r="P1388" s="14"/>
      <c r="Q1388" s="14"/>
      <c r="R1388" s="14"/>
      <c r="S1388" s="14"/>
      <c r="T1388" s="14"/>
      <c r="U1388" s="14"/>
      <c r="V1388" s="14"/>
      <c r="W1388" s="14"/>
      <c r="X1388" s="14"/>
      <c r="Y1388" s="14"/>
      <c r="Z1388" s="14"/>
      <c r="AA1388" s="14"/>
      <c r="AB1388" s="14"/>
      <c r="AC1388" s="14"/>
      <c r="AD1388" s="14"/>
      <c r="AE1388" s="14"/>
      <c r="AF1388" s="14"/>
      <c r="AG1388" s="14"/>
      <c r="AH1388" s="14"/>
      <c r="AI1388" s="14"/>
      <c r="AJ1388" s="14"/>
      <c r="AK1388" s="14"/>
      <c r="AL1388" s="14"/>
      <c r="AM1388" s="14"/>
    </row>
    <row r="1389" spans="1:39" x14ac:dyDescent="0.3">
      <c r="A1389" s="14"/>
      <c r="B1389" s="14"/>
      <c r="C1389" s="14"/>
      <c r="D1389" s="14"/>
      <c r="E1389" s="14"/>
      <c r="F1389" s="14"/>
      <c r="G1389" s="14"/>
      <c r="H1389" s="14"/>
      <c r="I1389" s="14"/>
      <c r="J1389" s="14"/>
      <c r="K1389" s="14"/>
      <c r="L1389" s="14"/>
      <c r="M1389" s="14"/>
      <c r="N1389" s="14"/>
      <c r="O1389" s="14"/>
      <c r="P1389" s="14"/>
      <c r="Q1389" s="14"/>
      <c r="R1389" s="14"/>
      <c r="S1389" s="14"/>
      <c r="T1389" s="14"/>
      <c r="U1389" s="14"/>
      <c r="V1389" s="14"/>
      <c r="W1389" s="14"/>
      <c r="X1389" s="14"/>
      <c r="Y1389" s="14"/>
      <c r="Z1389" s="14"/>
      <c r="AA1389" s="14"/>
      <c r="AB1389" s="14"/>
      <c r="AC1389" s="14"/>
      <c r="AD1389" s="14"/>
      <c r="AE1389" s="14"/>
      <c r="AF1389" s="14"/>
      <c r="AG1389" s="14"/>
      <c r="AH1389" s="14"/>
      <c r="AI1389" s="14"/>
      <c r="AJ1389" s="14"/>
      <c r="AK1389" s="14"/>
      <c r="AL1389" s="14"/>
      <c r="AM1389" s="14"/>
    </row>
    <row r="1390" spans="1:39" x14ac:dyDescent="0.3">
      <c r="A1390" s="14"/>
      <c r="B1390" s="14"/>
      <c r="C1390" s="14"/>
      <c r="D1390" s="14"/>
      <c r="E1390" s="14"/>
      <c r="F1390" s="14"/>
      <c r="G1390" s="14"/>
      <c r="H1390" s="14"/>
      <c r="I1390" s="14"/>
      <c r="J1390" s="14"/>
      <c r="K1390" s="14"/>
      <c r="L1390" s="14"/>
      <c r="M1390" s="14"/>
      <c r="N1390" s="14"/>
      <c r="O1390" s="14"/>
      <c r="P1390" s="14"/>
      <c r="Q1390" s="14"/>
      <c r="R1390" s="14"/>
      <c r="S1390" s="14"/>
      <c r="T1390" s="14"/>
      <c r="U1390" s="14"/>
      <c r="V1390" s="14"/>
      <c r="W1390" s="14"/>
      <c r="X1390" s="14"/>
      <c r="Y1390" s="14"/>
      <c r="Z1390" s="14"/>
      <c r="AA1390" s="14"/>
      <c r="AB1390" s="14"/>
      <c r="AC1390" s="14"/>
      <c r="AD1390" s="14"/>
      <c r="AE1390" s="14"/>
      <c r="AF1390" s="14"/>
      <c r="AG1390" s="14"/>
      <c r="AH1390" s="14"/>
      <c r="AI1390" s="14"/>
      <c r="AJ1390" s="14"/>
      <c r="AK1390" s="14"/>
      <c r="AL1390" s="14"/>
      <c r="AM1390" s="14"/>
    </row>
    <row r="1391" spans="1:39" x14ac:dyDescent="0.3">
      <c r="A1391" s="14"/>
      <c r="B1391" s="14"/>
      <c r="C1391" s="14"/>
      <c r="D1391" s="14"/>
      <c r="E1391" s="14"/>
      <c r="F1391" s="14"/>
      <c r="G1391" s="14"/>
      <c r="H1391" s="14"/>
      <c r="I1391" s="14"/>
      <c r="J1391" s="14"/>
      <c r="K1391" s="14"/>
      <c r="L1391" s="14"/>
      <c r="M1391" s="14"/>
      <c r="N1391" s="14"/>
      <c r="O1391" s="14"/>
      <c r="P1391" s="14"/>
      <c r="Q1391" s="14"/>
      <c r="R1391" s="14"/>
      <c r="S1391" s="14"/>
      <c r="T1391" s="14"/>
      <c r="U1391" s="14"/>
      <c r="V1391" s="14"/>
      <c r="W1391" s="14"/>
      <c r="X1391" s="14"/>
      <c r="Y1391" s="14"/>
      <c r="Z1391" s="14"/>
      <c r="AA1391" s="14"/>
      <c r="AB1391" s="14"/>
      <c r="AC1391" s="14"/>
      <c r="AD1391" s="14"/>
      <c r="AE1391" s="14"/>
      <c r="AF1391" s="14"/>
      <c r="AG1391" s="14"/>
      <c r="AH1391" s="14"/>
      <c r="AI1391" s="14"/>
      <c r="AJ1391" s="14"/>
      <c r="AK1391" s="14"/>
      <c r="AL1391" s="14"/>
      <c r="AM1391" s="14"/>
    </row>
    <row r="1392" spans="1:39" x14ac:dyDescent="0.3">
      <c r="A1392" s="14"/>
      <c r="B1392" s="14"/>
      <c r="C1392" s="14"/>
      <c r="D1392" s="14"/>
      <c r="E1392" s="14"/>
      <c r="F1392" s="14"/>
      <c r="G1392" s="14"/>
      <c r="H1392" s="14"/>
      <c r="I1392" s="14"/>
      <c r="J1392" s="14"/>
      <c r="K1392" s="14"/>
      <c r="L1392" s="14"/>
      <c r="M1392" s="14"/>
      <c r="N1392" s="14"/>
      <c r="O1392" s="14"/>
      <c r="P1392" s="14"/>
      <c r="Q1392" s="14"/>
      <c r="R1392" s="14"/>
      <c r="S1392" s="14"/>
      <c r="T1392" s="14"/>
      <c r="U1392" s="14"/>
      <c r="V1392" s="14"/>
      <c r="W1392" s="14"/>
      <c r="X1392" s="14"/>
      <c r="Y1392" s="14"/>
      <c r="Z1392" s="14"/>
      <c r="AA1392" s="14"/>
      <c r="AB1392" s="14"/>
      <c r="AC1392" s="14"/>
      <c r="AD1392" s="14"/>
      <c r="AE1392" s="14"/>
      <c r="AF1392" s="14"/>
      <c r="AG1392" s="14"/>
      <c r="AH1392" s="14"/>
      <c r="AI1392" s="14"/>
      <c r="AJ1392" s="14"/>
      <c r="AK1392" s="14"/>
      <c r="AL1392" s="14"/>
      <c r="AM1392" s="14"/>
    </row>
    <row r="1393" spans="1:39" x14ac:dyDescent="0.3">
      <c r="A1393" s="14"/>
      <c r="B1393" s="14"/>
      <c r="C1393" s="14"/>
      <c r="D1393" s="14"/>
      <c r="E1393" s="14"/>
      <c r="F1393" s="14"/>
      <c r="G1393" s="14"/>
      <c r="H1393" s="14"/>
      <c r="I1393" s="14"/>
      <c r="J1393" s="14"/>
      <c r="K1393" s="14"/>
      <c r="L1393" s="14"/>
      <c r="M1393" s="14"/>
      <c r="N1393" s="14"/>
      <c r="O1393" s="14"/>
      <c r="P1393" s="14"/>
      <c r="Q1393" s="14"/>
      <c r="R1393" s="14"/>
      <c r="S1393" s="14"/>
      <c r="T1393" s="14"/>
      <c r="U1393" s="14"/>
      <c r="V1393" s="14"/>
      <c r="W1393" s="14"/>
      <c r="X1393" s="14"/>
      <c r="Y1393" s="14"/>
      <c r="Z1393" s="14"/>
      <c r="AA1393" s="14"/>
      <c r="AB1393" s="14"/>
      <c r="AC1393" s="14"/>
      <c r="AD1393" s="14"/>
      <c r="AE1393" s="14"/>
      <c r="AF1393" s="14"/>
      <c r="AG1393" s="14"/>
      <c r="AH1393" s="14"/>
      <c r="AI1393" s="14"/>
      <c r="AJ1393" s="14"/>
      <c r="AK1393" s="14"/>
      <c r="AL1393" s="14"/>
      <c r="AM1393" s="14"/>
    </row>
    <row r="1394" spans="1:39" x14ac:dyDescent="0.3">
      <c r="A1394" s="14"/>
      <c r="B1394" s="14"/>
      <c r="C1394" s="14"/>
      <c r="D1394" s="14"/>
      <c r="E1394" s="14"/>
      <c r="F1394" s="14"/>
      <c r="G1394" s="14"/>
      <c r="H1394" s="14"/>
      <c r="I1394" s="14"/>
      <c r="J1394" s="14"/>
      <c r="K1394" s="14"/>
      <c r="L1394" s="14"/>
      <c r="M1394" s="14"/>
      <c r="N1394" s="14"/>
      <c r="O1394" s="14"/>
      <c r="P1394" s="14"/>
      <c r="Q1394" s="14"/>
      <c r="R1394" s="14"/>
      <c r="S1394" s="14"/>
      <c r="T1394" s="14"/>
      <c r="U1394" s="14"/>
      <c r="V1394" s="14"/>
      <c r="W1394" s="14"/>
      <c r="X1394" s="14"/>
      <c r="Y1394" s="14"/>
      <c r="Z1394" s="14"/>
      <c r="AA1394" s="14"/>
      <c r="AB1394" s="14"/>
      <c r="AC1394" s="14"/>
      <c r="AD1394" s="14"/>
      <c r="AE1394" s="14"/>
      <c r="AF1394" s="14"/>
      <c r="AG1394" s="14"/>
      <c r="AH1394" s="14"/>
      <c r="AI1394" s="14"/>
      <c r="AJ1394" s="14"/>
      <c r="AK1394" s="14"/>
      <c r="AL1394" s="14"/>
      <c r="AM1394" s="14"/>
    </row>
    <row r="1395" spans="1:39" x14ac:dyDescent="0.3">
      <c r="A1395" s="14"/>
      <c r="B1395" s="14"/>
      <c r="C1395" s="14"/>
      <c r="D1395" s="14"/>
      <c r="E1395" s="14"/>
      <c r="F1395" s="14"/>
      <c r="G1395" s="14"/>
      <c r="H1395" s="14"/>
      <c r="I1395" s="14"/>
      <c r="J1395" s="14"/>
      <c r="K1395" s="14"/>
      <c r="L1395" s="14"/>
      <c r="M1395" s="14"/>
      <c r="N1395" s="14"/>
      <c r="O1395" s="14"/>
      <c r="P1395" s="14"/>
      <c r="Q1395" s="14"/>
      <c r="R1395" s="14"/>
      <c r="S1395" s="14"/>
      <c r="T1395" s="14"/>
      <c r="U1395" s="14"/>
      <c r="V1395" s="14"/>
      <c r="W1395" s="14"/>
      <c r="X1395" s="14"/>
      <c r="Y1395" s="14"/>
      <c r="Z1395" s="14"/>
      <c r="AA1395" s="14"/>
      <c r="AB1395" s="14"/>
      <c r="AC1395" s="14"/>
      <c r="AD1395" s="14"/>
      <c r="AE1395" s="14"/>
      <c r="AF1395" s="14"/>
      <c r="AG1395" s="14"/>
      <c r="AH1395" s="14"/>
      <c r="AI1395" s="14"/>
      <c r="AJ1395" s="14"/>
      <c r="AK1395" s="14"/>
      <c r="AL1395" s="14"/>
      <c r="AM1395" s="14"/>
    </row>
    <row r="1396" spans="1:39" x14ac:dyDescent="0.3">
      <c r="A1396" s="14"/>
      <c r="B1396" s="14"/>
      <c r="C1396" s="14"/>
      <c r="D1396" s="14"/>
      <c r="E1396" s="14"/>
      <c r="F1396" s="14"/>
      <c r="G1396" s="14"/>
      <c r="H1396" s="14"/>
      <c r="I1396" s="14"/>
      <c r="J1396" s="14"/>
      <c r="K1396" s="14"/>
      <c r="L1396" s="14"/>
      <c r="M1396" s="14"/>
      <c r="N1396" s="14"/>
      <c r="O1396" s="14"/>
      <c r="P1396" s="14"/>
      <c r="Q1396" s="14"/>
      <c r="R1396" s="14"/>
      <c r="S1396" s="14"/>
      <c r="T1396" s="14"/>
      <c r="U1396" s="14"/>
      <c r="V1396" s="14"/>
      <c r="W1396" s="14"/>
      <c r="X1396" s="14"/>
      <c r="Y1396" s="14"/>
      <c r="Z1396" s="14"/>
      <c r="AA1396" s="14"/>
      <c r="AB1396" s="14"/>
      <c r="AC1396" s="14"/>
      <c r="AD1396" s="14"/>
      <c r="AE1396" s="14"/>
      <c r="AF1396" s="14"/>
      <c r="AG1396" s="14"/>
      <c r="AH1396" s="14"/>
      <c r="AI1396" s="14"/>
      <c r="AJ1396" s="14"/>
      <c r="AK1396" s="14"/>
      <c r="AL1396" s="14"/>
      <c r="AM1396" s="14"/>
    </row>
    <row r="1397" spans="1:39" x14ac:dyDescent="0.3">
      <c r="A1397" s="14"/>
      <c r="B1397" s="14"/>
      <c r="C1397" s="14"/>
      <c r="D1397" s="14"/>
      <c r="E1397" s="14"/>
      <c r="F1397" s="14"/>
      <c r="G1397" s="14"/>
      <c r="H1397" s="14"/>
      <c r="I1397" s="14"/>
      <c r="J1397" s="14"/>
      <c r="K1397" s="14"/>
      <c r="L1397" s="14"/>
      <c r="M1397" s="14"/>
      <c r="N1397" s="14"/>
      <c r="O1397" s="14"/>
      <c r="P1397" s="14"/>
      <c r="Q1397" s="14"/>
      <c r="R1397" s="14"/>
      <c r="S1397" s="14"/>
      <c r="T1397" s="14"/>
      <c r="U1397" s="14"/>
      <c r="V1397" s="14"/>
      <c r="W1397" s="14"/>
      <c r="X1397" s="14"/>
      <c r="Y1397" s="14"/>
      <c r="Z1397" s="14"/>
      <c r="AA1397" s="14"/>
      <c r="AB1397" s="14"/>
      <c r="AC1397" s="14"/>
      <c r="AD1397" s="14"/>
      <c r="AE1397" s="14"/>
      <c r="AF1397" s="14"/>
      <c r="AG1397" s="14"/>
      <c r="AH1397" s="14"/>
      <c r="AI1397" s="14"/>
      <c r="AJ1397" s="14"/>
      <c r="AK1397" s="14"/>
      <c r="AL1397" s="14"/>
      <c r="AM1397" s="14"/>
    </row>
    <row r="1398" spans="1:39" x14ac:dyDescent="0.3">
      <c r="A1398" s="14"/>
      <c r="B1398" s="14"/>
      <c r="C1398" s="14"/>
      <c r="D1398" s="14"/>
      <c r="E1398" s="14"/>
      <c r="F1398" s="14"/>
      <c r="G1398" s="14"/>
      <c r="H1398" s="14"/>
      <c r="I1398" s="14"/>
      <c r="J1398" s="14"/>
      <c r="K1398" s="14"/>
      <c r="L1398" s="14"/>
      <c r="M1398" s="14"/>
      <c r="N1398" s="14"/>
      <c r="O1398" s="14"/>
      <c r="P1398" s="14"/>
      <c r="Q1398" s="14"/>
      <c r="R1398" s="14"/>
      <c r="S1398" s="14"/>
      <c r="T1398" s="14"/>
      <c r="U1398" s="14"/>
      <c r="V1398" s="14"/>
      <c r="W1398" s="14"/>
      <c r="X1398" s="14"/>
      <c r="Y1398" s="14"/>
      <c r="Z1398" s="14"/>
      <c r="AA1398" s="14"/>
      <c r="AB1398" s="14"/>
      <c r="AC1398" s="14"/>
      <c r="AD1398" s="14"/>
      <c r="AE1398" s="14"/>
      <c r="AF1398" s="14"/>
      <c r="AG1398" s="14"/>
      <c r="AH1398" s="14"/>
      <c r="AI1398" s="14"/>
      <c r="AJ1398" s="14"/>
      <c r="AK1398" s="14"/>
      <c r="AL1398" s="14"/>
      <c r="AM1398" s="14"/>
    </row>
    <row r="1399" spans="1:39" x14ac:dyDescent="0.3">
      <c r="A1399" s="14"/>
      <c r="B1399" s="14"/>
      <c r="C1399" s="14"/>
      <c r="D1399" s="14"/>
      <c r="E1399" s="14"/>
      <c r="F1399" s="14"/>
      <c r="G1399" s="14"/>
      <c r="H1399" s="14"/>
      <c r="I1399" s="14"/>
      <c r="J1399" s="14"/>
      <c r="K1399" s="14"/>
      <c r="L1399" s="14"/>
      <c r="M1399" s="14"/>
      <c r="N1399" s="14"/>
      <c r="O1399" s="14"/>
      <c r="P1399" s="14"/>
      <c r="Q1399" s="14"/>
      <c r="R1399" s="14"/>
      <c r="S1399" s="14"/>
      <c r="T1399" s="14"/>
      <c r="U1399" s="14"/>
      <c r="V1399" s="14"/>
      <c r="W1399" s="14"/>
      <c r="X1399" s="14"/>
      <c r="Y1399" s="14"/>
      <c r="Z1399" s="14"/>
      <c r="AA1399" s="14"/>
      <c r="AB1399" s="14"/>
      <c r="AC1399" s="14"/>
      <c r="AD1399" s="14"/>
      <c r="AE1399" s="14"/>
      <c r="AF1399" s="14"/>
      <c r="AG1399" s="14"/>
      <c r="AH1399" s="14"/>
      <c r="AI1399" s="14"/>
      <c r="AJ1399" s="14"/>
      <c r="AK1399" s="14"/>
      <c r="AL1399" s="14"/>
      <c r="AM1399" s="14"/>
    </row>
    <row r="1400" spans="1:39" x14ac:dyDescent="0.3">
      <c r="A1400" s="14"/>
      <c r="B1400" s="14"/>
      <c r="C1400" s="14"/>
      <c r="D1400" s="14"/>
      <c r="E1400" s="14"/>
      <c r="F1400" s="14"/>
      <c r="G1400" s="14"/>
      <c r="H1400" s="14"/>
      <c r="I1400" s="14"/>
      <c r="J1400" s="14"/>
      <c r="K1400" s="14"/>
      <c r="L1400" s="14"/>
      <c r="M1400" s="14"/>
      <c r="N1400" s="14"/>
      <c r="O1400" s="14"/>
      <c r="P1400" s="14"/>
      <c r="Q1400" s="14"/>
      <c r="R1400" s="14"/>
      <c r="S1400" s="14"/>
      <c r="T1400" s="14"/>
      <c r="U1400" s="14"/>
      <c r="V1400" s="14"/>
      <c r="W1400" s="14"/>
      <c r="X1400" s="14"/>
      <c r="Y1400" s="14"/>
      <c r="Z1400" s="14"/>
      <c r="AA1400" s="14"/>
      <c r="AB1400" s="14"/>
      <c r="AC1400" s="14"/>
      <c r="AD1400" s="14"/>
      <c r="AE1400" s="14"/>
      <c r="AF1400" s="14"/>
      <c r="AG1400" s="14"/>
      <c r="AH1400" s="14"/>
      <c r="AI1400" s="14"/>
      <c r="AJ1400" s="14"/>
      <c r="AK1400" s="14"/>
      <c r="AL1400" s="14"/>
      <c r="AM1400" s="14"/>
    </row>
    <row r="1401" spans="1:39" x14ac:dyDescent="0.3">
      <c r="A1401" s="14"/>
      <c r="B1401" s="14"/>
      <c r="C1401" s="14"/>
      <c r="D1401" s="14"/>
      <c r="E1401" s="14"/>
      <c r="F1401" s="14"/>
      <c r="G1401" s="14"/>
      <c r="H1401" s="14"/>
      <c r="I1401" s="14"/>
      <c r="J1401" s="14"/>
      <c r="K1401" s="14"/>
      <c r="L1401" s="14"/>
      <c r="M1401" s="14"/>
      <c r="N1401" s="14"/>
      <c r="O1401" s="14"/>
      <c r="P1401" s="14"/>
      <c r="Q1401" s="14"/>
      <c r="R1401" s="14"/>
      <c r="S1401" s="14"/>
      <c r="T1401" s="14"/>
      <c r="U1401" s="14"/>
      <c r="V1401" s="14"/>
      <c r="W1401" s="14"/>
      <c r="X1401" s="14"/>
      <c r="Y1401" s="14"/>
      <c r="Z1401" s="14"/>
      <c r="AA1401" s="14"/>
      <c r="AB1401" s="14"/>
      <c r="AC1401" s="14"/>
      <c r="AD1401" s="14"/>
      <c r="AE1401" s="14"/>
      <c r="AF1401" s="14"/>
      <c r="AG1401" s="14"/>
      <c r="AH1401" s="14"/>
      <c r="AI1401" s="14"/>
      <c r="AJ1401" s="14"/>
      <c r="AK1401" s="14"/>
      <c r="AL1401" s="14"/>
      <c r="AM1401" s="14"/>
    </row>
    <row r="1402" spans="1:39" x14ac:dyDescent="0.3">
      <c r="A1402" s="14"/>
      <c r="B1402" s="14"/>
      <c r="C1402" s="14"/>
      <c r="D1402" s="14"/>
      <c r="E1402" s="14"/>
      <c r="F1402" s="14"/>
      <c r="G1402" s="14"/>
      <c r="H1402" s="14"/>
      <c r="I1402" s="14"/>
      <c r="J1402" s="14"/>
      <c r="K1402" s="14"/>
      <c r="L1402" s="14"/>
      <c r="M1402" s="14"/>
      <c r="N1402" s="14"/>
      <c r="O1402" s="14"/>
      <c r="P1402" s="14"/>
      <c r="Q1402" s="14"/>
      <c r="R1402" s="14"/>
      <c r="S1402" s="14"/>
      <c r="T1402" s="14"/>
      <c r="U1402" s="14"/>
      <c r="V1402" s="14"/>
      <c r="W1402" s="14"/>
      <c r="X1402" s="14"/>
      <c r="Y1402" s="14"/>
      <c r="Z1402" s="14"/>
      <c r="AA1402" s="14"/>
      <c r="AB1402" s="14"/>
      <c r="AC1402" s="14"/>
      <c r="AD1402" s="14"/>
      <c r="AE1402" s="14"/>
      <c r="AF1402" s="14"/>
      <c r="AG1402" s="14"/>
      <c r="AH1402" s="14"/>
      <c r="AI1402" s="14"/>
      <c r="AJ1402" s="14"/>
      <c r="AK1402" s="14"/>
      <c r="AL1402" s="14"/>
      <c r="AM1402" s="14"/>
    </row>
    <row r="1403" spans="1:39" x14ac:dyDescent="0.3">
      <c r="A1403" s="14"/>
      <c r="B1403" s="14"/>
      <c r="C1403" s="14"/>
      <c r="D1403" s="14"/>
      <c r="E1403" s="14"/>
      <c r="F1403" s="14"/>
      <c r="G1403" s="14"/>
      <c r="H1403" s="14"/>
      <c r="I1403" s="14"/>
      <c r="J1403" s="14"/>
      <c r="K1403" s="14"/>
      <c r="L1403" s="14"/>
      <c r="M1403" s="14"/>
      <c r="N1403" s="14"/>
      <c r="O1403" s="14"/>
      <c r="P1403" s="14"/>
      <c r="Q1403" s="14"/>
      <c r="R1403" s="14"/>
      <c r="S1403" s="14"/>
      <c r="T1403" s="14"/>
      <c r="U1403" s="14"/>
      <c r="V1403" s="14"/>
      <c r="W1403" s="14"/>
      <c r="X1403" s="14"/>
      <c r="Y1403" s="14"/>
      <c r="Z1403" s="14"/>
      <c r="AA1403" s="14"/>
      <c r="AB1403" s="14"/>
      <c r="AC1403" s="14"/>
      <c r="AD1403" s="14"/>
      <c r="AE1403" s="14"/>
      <c r="AF1403" s="14"/>
      <c r="AG1403" s="14"/>
      <c r="AH1403" s="14"/>
      <c r="AI1403" s="14"/>
      <c r="AJ1403" s="14"/>
      <c r="AK1403" s="14"/>
      <c r="AL1403" s="14"/>
      <c r="AM1403" s="14"/>
    </row>
    <row r="1404" spans="1:39" x14ac:dyDescent="0.3">
      <c r="A1404" s="14"/>
      <c r="B1404" s="14"/>
      <c r="C1404" s="14"/>
      <c r="D1404" s="14"/>
      <c r="E1404" s="14"/>
      <c r="F1404" s="14"/>
      <c r="G1404" s="14"/>
      <c r="H1404" s="14"/>
      <c r="I1404" s="14"/>
      <c r="J1404" s="14"/>
      <c r="K1404" s="14"/>
      <c r="L1404" s="14"/>
      <c r="M1404" s="14"/>
      <c r="N1404" s="14"/>
      <c r="O1404" s="14"/>
      <c r="P1404" s="14"/>
      <c r="Q1404" s="14"/>
      <c r="R1404" s="14"/>
      <c r="S1404" s="14"/>
      <c r="T1404" s="14"/>
      <c r="U1404" s="14"/>
      <c r="V1404" s="14"/>
      <c r="W1404" s="14"/>
      <c r="X1404" s="14"/>
      <c r="Y1404" s="14"/>
      <c r="Z1404" s="14"/>
      <c r="AA1404" s="14"/>
      <c r="AB1404" s="14"/>
      <c r="AC1404" s="14"/>
      <c r="AD1404" s="14"/>
      <c r="AE1404" s="14"/>
      <c r="AF1404" s="14"/>
      <c r="AG1404" s="14"/>
      <c r="AH1404" s="14"/>
      <c r="AI1404" s="14"/>
      <c r="AJ1404" s="14"/>
      <c r="AK1404" s="14"/>
      <c r="AL1404" s="14"/>
      <c r="AM1404" s="14"/>
    </row>
    <row r="1405" spans="1:39" x14ac:dyDescent="0.3">
      <c r="A1405" s="14"/>
      <c r="B1405" s="14"/>
      <c r="C1405" s="14"/>
      <c r="D1405" s="14"/>
      <c r="E1405" s="14"/>
      <c r="F1405" s="14"/>
      <c r="G1405" s="14"/>
      <c r="H1405" s="14"/>
      <c r="I1405" s="14"/>
      <c r="J1405" s="14"/>
      <c r="K1405" s="14"/>
      <c r="L1405" s="14"/>
      <c r="M1405" s="14"/>
      <c r="N1405" s="14"/>
      <c r="O1405" s="14"/>
      <c r="P1405" s="14"/>
      <c r="Q1405" s="14"/>
      <c r="R1405" s="14"/>
      <c r="S1405" s="14"/>
      <c r="T1405" s="14"/>
      <c r="U1405" s="14"/>
      <c r="V1405" s="14"/>
      <c r="W1405" s="14"/>
      <c r="X1405" s="14"/>
      <c r="Y1405" s="14"/>
      <c r="Z1405" s="14"/>
      <c r="AA1405" s="14"/>
      <c r="AB1405" s="14"/>
      <c r="AC1405" s="14"/>
      <c r="AD1405" s="14"/>
      <c r="AE1405" s="14"/>
      <c r="AF1405" s="14"/>
      <c r="AG1405" s="14"/>
      <c r="AH1405" s="14"/>
      <c r="AI1405" s="14"/>
      <c r="AJ1405" s="14"/>
      <c r="AK1405" s="14"/>
      <c r="AL1405" s="14"/>
      <c r="AM1405" s="14"/>
    </row>
    <row r="1406" spans="1:39" x14ac:dyDescent="0.3">
      <c r="A1406" s="14"/>
      <c r="B1406" s="14"/>
      <c r="C1406" s="14"/>
      <c r="D1406" s="14"/>
      <c r="E1406" s="14"/>
      <c r="F1406" s="14"/>
      <c r="G1406" s="14"/>
      <c r="H1406" s="14"/>
      <c r="I1406" s="14"/>
      <c r="J1406" s="14"/>
      <c r="K1406" s="14"/>
      <c r="L1406" s="14"/>
      <c r="M1406" s="14"/>
      <c r="N1406" s="14"/>
      <c r="O1406" s="14"/>
      <c r="P1406" s="14"/>
      <c r="Q1406" s="14"/>
      <c r="R1406" s="14"/>
      <c r="S1406" s="14"/>
      <c r="T1406" s="14"/>
      <c r="U1406" s="14"/>
      <c r="V1406" s="14"/>
      <c r="W1406" s="14"/>
      <c r="X1406" s="14"/>
      <c r="Y1406" s="14"/>
      <c r="Z1406" s="14"/>
      <c r="AA1406" s="14"/>
      <c r="AB1406" s="14"/>
      <c r="AC1406" s="14"/>
      <c r="AD1406" s="14"/>
      <c r="AE1406" s="14"/>
      <c r="AF1406" s="14"/>
      <c r="AG1406" s="14"/>
      <c r="AH1406" s="14"/>
      <c r="AI1406" s="14"/>
      <c r="AJ1406" s="14"/>
      <c r="AK1406" s="14"/>
      <c r="AL1406" s="14"/>
      <c r="AM1406" s="14"/>
    </row>
    <row r="1407" spans="1:39" x14ac:dyDescent="0.3">
      <c r="A1407" s="14"/>
      <c r="B1407" s="14"/>
      <c r="C1407" s="14"/>
      <c r="D1407" s="14"/>
      <c r="E1407" s="14"/>
      <c r="F1407" s="14"/>
      <c r="G1407" s="14"/>
      <c r="H1407" s="14"/>
      <c r="I1407" s="14"/>
      <c r="J1407" s="14"/>
      <c r="K1407" s="14"/>
      <c r="L1407" s="14"/>
      <c r="M1407" s="14"/>
      <c r="N1407" s="14"/>
      <c r="O1407" s="14"/>
      <c r="P1407" s="14"/>
      <c r="Q1407" s="14"/>
      <c r="R1407" s="14"/>
      <c r="S1407" s="14"/>
      <c r="T1407" s="14"/>
      <c r="U1407" s="14"/>
      <c r="V1407" s="14"/>
      <c r="W1407" s="14"/>
      <c r="X1407" s="14"/>
      <c r="Y1407" s="14"/>
      <c r="Z1407" s="14"/>
      <c r="AA1407" s="14"/>
      <c r="AB1407" s="14"/>
      <c r="AC1407" s="14"/>
      <c r="AD1407" s="14"/>
      <c r="AE1407" s="14"/>
      <c r="AF1407" s="14"/>
      <c r="AG1407" s="14"/>
      <c r="AH1407" s="14"/>
      <c r="AI1407" s="14"/>
      <c r="AJ1407" s="14"/>
      <c r="AK1407" s="14"/>
      <c r="AL1407" s="14"/>
      <c r="AM1407" s="14"/>
    </row>
    <row r="1408" spans="1:39" x14ac:dyDescent="0.3">
      <c r="A1408" s="14"/>
      <c r="B1408" s="14"/>
      <c r="C1408" s="14"/>
      <c r="D1408" s="14"/>
      <c r="E1408" s="14"/>
      <c r="F1408" s="14"/>
      <c r="G1408" s="14"/>
      <c r="H1408" s="14"/>
      <c r="I1408" s="14"/>
      <c r="J1408" s="14"/>
      <c r="K1408" s="14"/>
      <c r="L1408" s="14"/>
      <c r="M1408" s="14"/>
      <c r="N1408" s="14"/>
      <c r="O1408" s="14"/>
      <c r="P1408" s="14"/>
      <c r="Q1408" s="14"/>
      <c r="R1408" s="14"/>
      <c r="S1408" s="14"/>
      <c r="T1408" s="14"/>
      <c r="U1408" s="14"/>
      <c r="V1408" s="14"/>
      <c r="W1408" s="14"/>
      <c r="X1408" s="14"/>
      <c r="Y1408" s="14"/>
      <c r="Z1408" s="14"/>
      <c r="AA1408" s="14"/>
      <c r="AB1408" s="14"/>
      <c r="AC1408" s="14"/>
      <c r="AD1408" s="14"/>
      <c r="AE1408" s="14"/>
      <c r="AF1408" s="14"/>
      <c r="AG1408" s="14"/>
      <c r="AH1408" s="14"/>
      <c r="AI1408" s="14"/>
      <c r="AJ1408" s="14"/>
      <c r="AK1408" s="14"/>
      <c r="AL1408" s="14"/>
      <c r="AM1408" s="14"/>
    </row>
    <row r="1409" spans="1:39" x14ac:dyDescent="0.3">
      <c r="A1409" s="14"/>
      <c r="B1409" s="14"/>
      <c r="C1409" s="14"/>
      <c r="D1409" s="14"/>
      <c r="E1409" s="14"/>
      <c r="F1409" s="14"/>
      <c r="G1409" s="14"/>
      <c r="H1409" s="14"/>
      <c r="I1409" s="14"/>
      <c r="J1409" s="14"/>
      <c r="K1409" s="14"/>
      <c r="L1409" s="14"/>
      <c r="M1409" s="14"/>
      <c r="N1409" s="14"/>
      <c r="O1409" s="14"/>
      <c r="P1409" s="14"/>
      <c r="Q1409" s="14"/>
      <c r="R1409" s="14"/>
      <c r="S1409" s="14"/>
      <c r="T1409" s="14"/>
      <c r="U1409" s="14"/>
      <c r="V1409" s="14"/>
      <c r="W1409" s="14"/>
      <c r="X1409" s="14"/>
      <c r="Y1409" s="14"/>
      <c r="Z1409" s="14"/>
      <c r="AA1409" s="14"/>
      <c r="AB1409" s="14"/>
      <c r="AC1409" s="14"/>
      <c r="AD1409" s="14"/>
      <c r="AE1409" s="14"/>
      <c r="AF1409" s="14"/>
      <c r="AG1409" s="14"/>
      <c r="AH1409" s="14"/>
      <c r="AI1409" s="14"/>
      <c r="AJ1409" s="14"/>
      <c r="AK1409" s="14"/>
      <c r="AL1409" s="14"/>
      <c r="AM1409" s="14"/>
    </row>
    <row r="1410" spans="1:39" x14ac:dyDescent="0.3">
      <c r="A1410" s="14"/>
      <c r="B1410" s="14"/>
      <c r="C1410" s="14"/>
      <c r="D1410" s="14"/>
      <c r="E1410" s="14"/>
      <c r="F1410" s="14"/>
      <c r="G1410" s="14"/>
      <c r="H1410" s="14"/>
      <c r="I1410" s="14"/>
      <c r="J1410" s="14"/>
      <c r="K1410" s="14"/>
      <c r="L1410" s="14"/>
      <c r="M1410" s="14"/>
      <c r="N1410" s="14"/>
      <c r="O1410" s="14"/>
      <c r="P1410" s="14"/>
      <c r="Q1410" s="14"/>
      <c r="R1410" s="14"/>
      <c r="S1410" s="14"/>
      <c r="T1410" s="14"/>
      <c r="U1410" s="14"/>
      <c r="V1410" s="14"/>
      <c r="W1410" s="14"/>
      <c r="X1410" s="14"/>
      <c r="Y1410" s="14"/>
      <c r="Z1410" s="14"/>
      <c r="AA1410" s="14"/>
      <c r="AB1410" s="14"/>
      <c r="AC1410" s="14"/>
      <c r="AD1410" s="14"/>
      <c r="AE1410" s="14"/>
      <c r="AF1410" s="14"/>
      <c r="AG1410" s="14"/>
      <c r="AH1410" s="14"/>
      <c r="AI1410" s="14"/>
      <c r="AJ1410" s="14"/>
      <c r="AK1410" s="14"/>
      <c r="AL1410" s="14"/>
      <c r="AM1410" s="14"/>
    </row>
    <row r="1411" spans="1:39" x14ac:dyDescent="0.3">
      <c r="A1411" s="14"/>
      <c r="B1411" s="14"/>
      <c r="C1411" s="14"/>
      <c r="D1411" s="14"/>
      <c r="E1411" s="14"/>
      <c r="F1411" s="14"/>
      <c r="G1411" s="14"/>
      <c r="H1411" s="14"/>
      <c r="I1411" s="14"/>
      <c r="J1411" s="14"/>
      <c r="K1411" s="14"/>
      <c r="L1411" s="14"/>
      <c r="M1411" s="14"/>
      <c r="N1411" s="14"/>
      <c r="O1411" s="14"/>
      <c r="P1411" s="14"/>
      <c r="Q1411" s="14"/>
      <c r="R1411" s="14"/>
      <c r="S1411" s="14"/>
      <c r="T1411" s="14"/>
      <c r="U1411" s="14"/>
      <c r="V1411" s="14"/>
      <c r="W1411" s="14"/>
      <c r="X1411" s="14"/>
      <c r="Y1411" s="14"/>
      <c r="Z1411" s="14"/>
      <c r="AA1411" s="14"/>
      <c r="AB1411" s="14"/>
      <c r="AC1411" s="14"/>
      <c r="AD1411" s="14"/>
      <c r="AE1411" s="14"/>
      <c r="AF1411" s="14"/>
      <c r="AG1411" s="14"/>
      <c r="AH1411" s="14"/>
      <c r="AI1411" s="14"/>
      <c r="AJ1411" s="14"/>
      <c r="AK1411" s="14"/>
      <c r="AL1411" s="14"/>
      <c r="AM1411" s="14"/>
    </row>
    <row r="1412" spans="1:39" x14ac:dyDescent="0.3">
      <c r="A1412" s="14"/>
      <c r="B1412" s="14"/>
      <c r="C1412" s="14"/>
      <c r="D1412" s="14"/>
      <c r="E1412" s="14"/>
      <c r="F1412" s="14"/>
      <c r="G1412" s="14"/>
      <c r="H1412" s="14"/>
      <c r="I1412" s="14"/>
      <c r="J1412" s="14"/>
      <c r="K1412" s="14"/>
      <c r="L1412" s="14"/>
      <c r="M1412" s="14"/>
      <c r="N1412" s="14"/>
      <c r="O1412" s="14"/>
      <c r="P1412" s="14"/>
      <c r="Q1412" s="14"/>
      <c r="R1412" s="14"/>
      <c r="S1412" s="14"/>
      <c r="T1412" s="14"/>
      <c r="U1412" s="14"/>
      <c r="V1412" s="14"/>
      <c r="W1412" s="14"/>
      <c r="X1412" s="14"/>
      <c r="Y1412" s="14"/>
      <c r="Z1412" s="14"/>
      <c r="AA1412" s="14"/>
      <c r="AB1412" s="14"/>
      <c r="AC1412" s="14"/>
      <c r="AD1412" s="14"/>
      <c r="AE1412" s="14"/>
      <c r="AF1412" s="14"/>
      <c r="AG1412" s="14"/>
      <c r="AH1412" s="14"/>
      <c r="AI1412" s="14"/>
      <c r="AJ1412" s="14"/>
      <c r="AK1412" s="14"/>
      <c r="AL1412" s="14"/>
      <c r="AM1412" s="14"/>
    </row>
    <row r="1413" spans="1:39" x14ac:dyDescent="0.3">
      <c r="A1413" s="14"/>
      <c r="B1413" s="14"/>
      <c r="C1413" s="14"/>
      <c r="D1413" s="14"/>
      <c r="E1413" s="14"/>
      <c r="F1413" s="14"/>
      <c r="G1413" s="14"/>
      <c r="H1413" s="14"/>
      <c r="I1413" s="14"/>
      <c r="J1413" s="14"/>
      <c r="K1413" s="14"/>
      <c r="L1413" s="14"/>
      <c r="M1413" s="14"/>
      <c r="N1413" s="14"/>
      <c r="O1413" s="14"/>
      <c r="P1413" s="14"/>
      <c r="Q1413" s="14"/>
      <c r="R1413" s="14"/>
      <c r="S1413" s="14"/>
      <c r="T1413" s="14"/>
      <c r="U1413" s="14"/>
      <c r="V1413" s="14"/>
      <c r="W1413" s="14"/>
      <c r="X1413" s="14"/>
      <c r="Y1413" s="14"/>
      <c r="Z1413" s="14"/>
      <c r="AA1413" s="14"/>
      <c r="AB1413" s="14"/>
      <c r="AC1413" s="14"/>
      <c r="AD1413" s="14"/>
      <c r="AE1413" s="14"/>
      <c r="AF1413" s="14"/>
      <c r="AG1413" s="14"/>
      <c r="AH1413" s="14"/>
      <c r="AI1413" s="14"/>
      <c r="AJ1413" s="14"/>
      <c r="AK1413" s="14"/>
      <c r="AL1413" s="14"/>
      <c r="AM1413" s="14"/>
    </row>
    <row r="1414" spans="1:39" x14ac:dyDescent="0.3">
      <c r="A1414" s="14"/>
      <c r="B1414" s="14"/>
      <c r="C1414" s="14"/>
      <c r="D1414" s="14"/>
      <c r="E1414" s="14"/>
      <c r="F1414" s="14"/>
      <c r="G1414" s="14"/>
      <c r="H1414" s="14"/>
      <c r="I1414" s="14"/>
      <c r="J1414" s="14"/>
      <c r="K1414" s="14"/>
      <c r="L1414" s="14"/>
      <c r="M1414" s="14"/>
      <c r="N1414" s="14"/>
      <c r="O1414" s="14"/>
      <c r="P1414" s="14"/>
      <c r="Q1414" s="14"/>
      <c r="R1414" s="14"/>
      <c r="S1414" s="14"/>
      <c r="T1414" s="14"/>
      <c r="U1414" s="14"/>
      <c r="V1414" s="14"/>
      <c r="W1414" s="14"/>
      <c r="X1414" s="14"/>
      <c r="Y1414" s="14"/>
      <c r="Z1414" s="14"/>
      <c r="AA1414" s="14"/>
      <c r="AB1414" s="14"/>
      <c r="AC1414" s="14"/>
      <c r="AD1414" s="14"/>
      <c r="AE1414" s="14"/>
      <c r="AF1414" s="14"/>
      <c r="AG1414" s="14"/>
      <c r="AH1414" s="14"/>
      <c r="AI1414" s="14"/>
      <c r="AJ1414" s="14"/>
      <c r="AK1414" s="14"/>
      <c r="AL1414" s="14"/>
      <c r="AM1414" s="14"/>
    </row>
    <row r="1415" spans="1:39" x14ac:dyDescent="0.3">
      <c r="A1415" s="14"/>
      <c r="B1415" s="14"/>
      <c r="C1415" s="14"/>
      <c r="D1415" s="14"/>
      <c r="E1415" s="14"/>
      <c r="F1415" s="14"/>
      <c r="G1415" s="14"/>
      <c r="H1415" s="14"/>
      <c r="I1415" s="14"/>
      <c r="J1415" s="14"/>
      <c r="K1415" s="14"/>
      <c r="L1415" s="14"/>
      <c r="M1415" s="14"/>
      <c r="N1415" s="14"/>
      <c r="O1415" s="14"/>
      <c r="P1415" s="14"/>
      <c r="Q1415" s="14"/>
      <c r="R1415" s="14"/>
      <c r="S1415" s="14"/>
      <c r="T1415" s="14"/>
      <c r="U1415" s="14"/>
      <c r="V1415" s="14"/>
      <c r="W1415" s="14"/>
      <c r="X1415" s="14"/>
      <c r="Y1415" s="14"/>
      <c r="Z1415" s="14"/>
      <c r="AA1415" s="14"/>
      <c r="AB1415" s="14"/>
      <c r="AC1415" s="14"/>
      <c r="AD1415" s="14"/>
      <c r="AE1415" s="14"/>
      <c r="AF1415" s="14"/>
      <c r="AG1415" s="14"/>
      <c r="AH1415" s="14"/>
      <c r="AI1415" s="14"/>
      <c r="AJ1415" s="14"/>
      <c r="AK1415" s="14"/>
      <c r="AL1415" s="14"/>
      <c r="AM1415" s="14"/>
    </row>
    <row r="1416" spans="1:39" x14ac:dyDescent="0.3">
      <c r="A1416" s="14"/>
      <c r="B1416" s="14"/>
      <c r="C1416" s="14"/>
      <c r="D1416" s="14"/>
      <c r="E1416" s="14"/>
      <c r="F1416" s="14"/>
      <c r="G1416" s="14"/>
      <c r="H1416" s="14"/>
      <c r="I1416" s="14"/>
      <c r="J1416" s="14"/>
      <c r="K1416" s="14"/>
      <c r="L1416" s="14"/>
      <c r="M1416" s="14"/>
      <c r="N1416" s="14"/>
      <c r="O1416" s="14"/>
      <c r="P1416" s="14"/>
      <c r="Q1416" s="14"/>
      <c r="R1416" s="14"/>
      <c r="S1416" s="14"/>
      <c r="T1416" s="14"/>
      <c r="U1416" s="14"/>
      <c r="V1416" s="14"/>
      <c r="W1416" s="14"/>
      <c r="X1416" s="14"/>
      <c r="Y1416" s="14"/>
      <c r="Z1416" s="14"/>
      <c r="AA1416" s="14"/>
      <c r="AB1416" s="14"/>
      <c r="AC1416" s="14"/>
      <c r="AD1416" s="14"/>
      <c r="AE1416" s="14"/>
      <c r="AF1416" s="14"/>
      <c r="AG1416" s="14"/>
      <c r="AH1416" s="14"/>
      <c r="AI1416" s="14"/>
      <c r="AJ1416" s="14"/>
      <c r="AK1416" s="14"/>
      <c r="AL1416" s="14"/>
      <c r="AM1416" s="14"/>
    </row>
    <row r="1417" spans="1:39" x14ac:dyDescent="0.3">
      <c r="A1417" s="14"/>
      <c r="B1417" s="14"/>
      <c r="C1417" s="14"/>
      <c r="D1417" s="14"/>
      <c r="E1417" s="14"/>
      <c r="F1417" s="14"/>
      <c r="G1417" s="14"/>
      <c r="H1417" s="14"/>
      <c r="I1417" s="14"/>
      <c r="J1417" s="14"/>
      <c r="K1417" s="14"/>
      <c r="L1417" s="14"/>
      <c r="M1417" s="14"/>
      <c r="N1417" s="14"/>
      <c r="O1417" s="14"/>
      <c r="P1417" s="14"/>
      <c r="Q1417" s="14"/>
      <c r="R1417" s="14"/>
      <c r="S1417" s="14"/>
      <c r="T1417" s="14"/>
      <c r="U1417" s="14"/>
      <c r="V1417" s="14"/>
      <c r="W1417" s="14"/>
      <c r="X1417" s="14"/>
      <c r="Y1417" s="14"/>
      <c r="Z1417" s="14"/>
      <c r="AA1417" s="14"/>
      <c r="AB1417" s="14"/>
      <c r="AC1417" s="14"/>
      <c r="AD1417" s="14"/>
      <c r="AE1417" s="14"/>
      <c r="AF1417" s="14"/>
      <c r="AG1417" s="14"/>
      <c r="AH1417" s="14"/>
      <c r="AI1417" s="14"/>
      <c r="AJ1417" s="14"/>
      <c r="AK1417" s="14"/>
      <c r="AL1417" s="14"/>
      <c r="AM1417" s="14"/>
    </row>
    <row r="1418" spans="1:39" x14ac:dyDescent="0.3">
      <c r="A1418" s="14"/>
      <c r="B1418" s="14"/>
      <c r="C1418" s="14"/>
      <c r="D1418" s="14"/>
      <c r="E1418" s="14"/>
      <c r="F1418" s="14"/>
      <c r="G1418" s="14"/>
      <c r="H1418" s="14"/>
      <c r="I1418" s="14"/>
      <c r="J1418" s="14"/>
      <c r="K1418" s="14"/>
      <c r="L1418" s="14"/>
      <c r="M1418" s="14"/>
      <c r="N1418" s="14"/>
      <c r="O1418" s="14"/>
      <c r="P1418" s="14"/>
      <c r="Q1418" s="14"/>
      <c r="R1418" s="14"/>
      <c r="S1418" s="14"/>
      <c r="T1418" s="14"/>
      <c r="U1418" s="14"/>
      <c r="V1418" s="14"/>
      <c r="W1418" s="14"/>
      <c r="X1418" s="14"/>
      <c r="Y1418" s="14"/>
      <c r="Z1418" s="14"/>
      <c r="AA1418" s="14"/>
      <c r="AB1418" s="14"/>
      <c r="AC1418" s="14"/>
      <c r="AD1418" s="14"/>
      <c r="AE1418" s="14"/>
      <c r="AF1418" s="14"/>
      <c r="AG1418" s="14"/>
      <c r="AH1418" s="14"/>
      <c r="AI1418" s="14"/>
      <c r="AJ1418" s="14"/>
      <c r="AK1418" s="14"/>
      <c r="AL1418" s="14"/>
      <c r="AM1418" s="14"/>
    </row>
    <row r="1419" spans="1:39" x14ac:dyDescent="0.3">
      <c r="A1419" s="14"/>
      <c r="B1419" s="14"/>
      <c r="C1419" s="14"/>
      <c r="D1419" s="14"/>
      <c r="E1419" s="14"/>
      <c r="F1419" s="14"/>
      <c r="G1419" s="14"/>
      <c r="H1419" s="14"/>
      <c r="I1419" s="14"/>
      <c r="J1419" s="14"/>
      <c r="K1419" s="14"/>
      <c r="L1419" s="14"/>
      <c r="M1419" s="14"/>
      <c r="N1419" s="14"/>
      <c r="O1419" s="14"/>
      <c r="P1419" s="14"/>
      <c r="Q1419" s="14"/>
      <c r="R1419" s="14"/>
      <c r="S1419" s="14"/>
      <c r="T1419" s="14"/>
      <c r="U1419" s="14"/>
      <c r="V1419" s="14"/>
      <c r="W1419" s="14"/>
      <c r="X1419" s="14"/>
      <c r="Y1419" s="14"/>
      <c r="Z1419" s="14"/>
      <c r="AA1419" s="14"/>
      <c r="AB1419" s="14"/>
      <c r="AC1419" s="14"/>
      <c r="AD1419" s="14"/>
      <c r="AE1419" s="14"/>
      <c r="AF1419" s="14"/>
      <c r="AG1419" s="14"/>
      <c r="AH1419" s="14"/>
      <c r="AI1419" s="14"/>
      <c r="AJ1419" s="14"/>
      <c r="AK1419" s="14"/>
      <c r="AL1419" s="14"/>
      <c r="AM1419" s="14"/>
    </row>
    <row r="1420" spans="1:39" x14ac:dyDescent="0.3">
      <c r="A1420" s="14"/>
      <c r="B1420" s="14"/>
      <c r="C1420" s="14"/>
      <c r="D1420" s="14"/>
      <c r="E1420" s="14"/>
      <c r="F1420" s="14"/>
      <c r="G1420" s="14"/>
      <c r="H1420" s="14"/>
      <c r="I1420" s="14"/>
      <c r="J1420" s="14"/>
      <c r="K1420" s="14"/>
      <c r="L1420" s="14"/>
      <c r="M1420" s="14"/>
      <c r="N1420" s="14"/>
      <c r="O1420" s="14"/>
      <c r="P1420" s="14"/>
      <c r="Q1420" s="14"/>
      <c r="R1420" s="14"/>
      <c r="S1420" s="14"/>
      <c r="T1420" s="14"/>
      <c r="U1420" s="14"/>
      <c r="V1420" s="14"/>
      <c r="W1420" s="14"/>
      <c r="X1420" s="14"/>
      <c r="Y1420" s="14"/>
      <c r="Z1420" s="14"/>
      <c r="AA1420" s="14"/>
      <c r="AB1420" s="14"/>
      <c r="AC1420" s="14"/>
      <c r="AD1420" s="14"/>
      <c r="AE1420" s="14"/>
      <c r="AF1420" s="14"/>
      <c r="AG1420" s="14"/>
      <c r="AH1420" s="14"/>
      <c r="AI1420" s="14"/>
      <c r="AJ1420" s="14"/>
      <c r="AK1420" s="14"/>
      <c r="AL1420" s="14"/>
      <c r="AM1420" s="14"/>
    </row>
    <row r="1421" spans="1:39" x14ac:dyDescent="0.3">
      <c r="A1421" s="14"/>
      <c r="B1421" s="14"/>
      <c r="C1421" s="14"/>
      <c r="D1421" s="14"/>
      <c r="E1421" s="14"/>
      <c r="F1421" s="14"/>
      <c r="G1421" s="14"/>
      <c r="H1421" s="14"/>
      <c r="I1421" s="14"/>
      <c r="J1421" s="14"/>
      <c r="K1421" s="14"/>
      <c r="L1421" s="14"/>
      <c r="M1421" s="14"/>
      <c r="N1421" s="14"/>
      <c r="O1421" s="14"/>
      <c r="P1421" s="14"/>
      <c r="Q1421" s="14"/>
      <c r="R1421" s="14"/>
      <c r="S1421" s="14"/>
      <c r="T1421" s="14"/>
      <c r="U1421" s="14"/>
      <c r="V1421" s="14"/>
      <c r="W1421" s="14"/>
      <c r="X1421" s="14"/>
      <c r="Y1421" s="14"/>
      <c r="Z1421" s="14"/>
      <c r="AA1421" s="14"/>
      <c r="AB1421" s="14"/>
      <c r="AC1421" s="14"/>
      <c r="AD1421" s="14"/>
      <c r="AE1421" s="14"/>
      <c r="AF1421" s="14"/>
      <c r="AG1421" s="14"/>
      <c r="AH1421" s="14"/>
      <c r="AI1421" s="14"/>
      <c r="AJ1421" s="14"/>
      <c r="AK1421" s="14"/>
      <c r="AL1421" s="14"/>
      <c r="AM1421" s="14"/>
    </row>
    <row r="1422" spans="1:39" x14ac:dyDescent="0.3">
      <c r="A1422" s="14"/>
      <c r="B1422" s="14"/>
      <c r="C1422" s="14"/>
      <c r="D1422" s="14"/>
      <c r="E1422" s="14"/>
      <c r="F1422" s="14"/>
      <c r="G1422" s="14"/>
      <c r="H1422" s="14"/>
      <c r="I1422" s="14"/>
      <c r="J1422" s="14"/>
      <c r="K1422" s="14"/>
      <c r="L1422" s="14"/>
      <c r="M1422" s="14"/>
      <c r="N1422" s="14"/>
      <c r="O1422" s="14"/>
      <c r="P1422" s="14"/>
      <c r="Q1422" s="14"/>
      <c r="R1422" s="14"/>
      <c r="S1422" s="14"/>
      <c r="T1422" s="14"/>
      <c r="U1422" s="14"/>
      <c r="V1422" s="14"/>
      <c r="W1422" s="14"/>
      <c r="X1422" s="14"/>
      <c r="Y1422" s="14"/>
      <c r="Z1422" s="14"/>
      <c r="AA1422" s="14"/>
      <c r="AB1422" s="14"/>
      <c r="AC1422" s="14"/>
      <c r="AD1422" s="14"/>
      <c r="AE1422" s="14"/>
      <c r="AF1422" s="14"/>
      <c r="AG1422" s="14"/>
      <c r="AH1422" s="14"/>
      <c r="AI1422" s="14"/>
      <c r="AJ1422" s="14"/>
      <c r="AK1422" s="14"/>
      <c r="AL1422" s="14"/>
      <c r="AM1422" s="14"/>
    </row>
    <row r="1423" spans="1:39" x14ac:dyDescent="0.3">
      <c r="A1423" s="14"/>
      <c r="B1423" s="14"/>
      <c r="C1423" s="14"/>
      <c r="D1423" s="14"/>
      <c r="E1423" s="14"/>
      <c r="F1423" s="14"/>
      <c r="G1423" s="14"/>
      <c r="H1423" s="14"/>
      <c r="I1423" s="14"/>
      <c r="J1423" s="14"/>
      <c r="K1423" s="14"/>
      <c r="L1423" s="14"/>
      <c r="M1423" s="14"/>
      <c r="N1423" s="14"/>
      <c r="O1423" s="14"/>
      <c r="P1423" s="14"/>
      <c r="Q1423" s="14"/>
      <c r="R1423" s="14"/>
      <c r="S1423" s="14"/>
      <c r="T1423" s="14"/>
      <c r="U1423" s="14"/>
      <c r="V1423" s="14"/>
      <c r="W1423" s="14"/>
      <c r="X1423" s="14"/>
      <c r="Y1423" s="14"/>
      <c r="Z1423" s="14"/>
      <c r="AA1423" s="14"/>
      <c r="AB1423" s="14"/>
      <c r="AC1423" s="14"/>
      <c r="AD1423" s="14"/>
      <c r="AE1423" s="14"/>
      <c r="AF1423" s="14"/>
      <c r="AG1423" s="14"/>
      <c r="AH1423" s="14"/>
      <c r="AI1423" s="14"/>
      <c r="AJ1423" s="14"/>
      <c r="AK1423" s="14"/>
      <c r="AL1423" s="14"/>
      <c r="AM1423" s="14"/>
    </row>
    <row r="1424" spans="1:39" x14ac:dyDescent="0.3">
      <c r="A1424" s="14"/>
      <c r="B1424" s="14"/>
      <c r="C1424" s="14"/>
      <c r="D1424" s="14"/>
      <c r="E1424" s="14"/>
      <c r="F1424" s="14"/>
      <c r="G1424" s="14"/>
      <c r="H1424" s="14"/>
      <c r="I1424" s="14"/>
      <c r="J1424" s="14"/>
      <c r="K1424" s="14"/>
      <c r="L1424" s="14"/>
      <c r="M1424" s="14"/>
      <c r="N1424" s="14"/>
      <c r="O1424" s="14"/>
      <c r="P1424" s="14"/>
      <c r="Q1424" s="14"/>
      <c r="R1424" s="14"/>
      <c r="S1424" s="14"/>
      <c r="T1424" s="14"/>
      <c r="U1424" s="14"/>
      <c r="V1424" s="14"/>
      <c r="W1424" s="14"/>
      <c r="X1424" s="14"/>
      <c r="Y1424" s="14"/>
      <c r="Z1424" s="14"/>
      <c r="AA1424" s="14"/>
      <c r="AB1424" s="14"/>
      <c r="AC1424" s="14"/>
      <c r="AD1424" s="14"/>
      <c r="AE1424" s="14"/>
      <c r="AF1424" s="14"/>
      <c r="AG1424" s="14"/>
      <c r="AH1424" s="14"/>
      <c r="AI1424" s="14"/>
      <c r="AJ1424" s="14"/>
      <c r="AK1424" s="14"/>
      <c r="AL1424" s="14"/>
      <c r="AM1424" s="14"/>
    </row>
    <row r="1425" spans="1:39" x14ac:dyDescent="0.3">
      <c r="A1425" s="14"/>
      <c r="B1425" s="14"/>
      <c r="C1425" s="14"/>
      <c r="D1425" s="14"/>
      <c r="E1425" s="14"/>
      <c r="F1425" s="14"/>
      <c r="G1425" s="14"/>
      <c r="H1425" s="14"/>
      <c r="I1425" s="14"/>
      <c r="J1425" s="14"/>
      <c r="K1425" s="14"/>
      <c r="L1425" s="14"/>
      <c r="M1425" s="14"/>
      <c r="N1425" s="14"/>
      <c r="O1425" s="14"/>
      <c r="P1425" s="14"/>
      <c r="Q1425" s="14"/>
      <c r="R1425" s="14"/>
      <c r="S1425" s="14"/>
      <c r="T1425" s="14"/>
      <c r="U1425" s="14"/>
      <c r="V1425" s="14"/>
      <c r="W1425" s="14"/>
      <c r="X1425" s="14"/>
      <c r="Y1425" s="14"/>
      <c r="Z1425" s="14"/>
      <c r="AA1425" s="14"/>
      <c r="AB1425" s="14"/>
      <c r="AC1425" s="14"/>
      <c r="AD1425" s="14"/>
      <c r="AE1425" s="14"/>
      <c r="AF1425" s="14"/>
      <c r="AG1425" s="14"/>
      <c r="AH1425" s="14"/>
      <c r="AI1425" s="14"/>
      <c r="AJ1425" s="14"/>
      <c r="AK1425" s="14"/>
      <c r="AL1425" s="14"/>
      <c r="AM1425" s="14"/>
    </row>
    <row r="1426" spans="1:39" x14ac:dyDescent="0.3">
      <c r="A1426" s="14"/>
      <c r="B1426" s="14"/>
      <c r="C1426" s="14"/>
      <c r="D1426" s="14"/>
      <c r="E1426" s="14"/>
      <c r="F1426" s="14"/>
      <c r="G1426" s="14"/>
      <c r="H1426" s="14"/>
      <c r="I1426" s="14"/>
      <c r="J1426" s="14"/>
      <c r="K1426" s="14"/>
      <c r="L1426" s="14"/>
      <c r="M1426" s="14"/>
      <c r="N1426" s="14"/>
      <c r="O1426" s="14"/>
      <c r="P1426" s="14"/>
      <c r="Q1426" s="14"/>
      <c r="R1426" s="14"/>
      <c r="S1426" s="14"/>
      <c r="T1426" s="14"/>
      <c r="U1426" s="14"/>
      <c r="V1426" s="14"/>
      <c r="W1426" s="14"/>
      <c r="X1426" s="14"/>
      <c r="Y1426" s="14"/>
      <c r="Z1426" s="14"/>
      <c r="AA1426" s="14"/>
      <c r="AB1426" s="14"/>
      <c r="AC1426" s="14"/>
      <c r="AD1426" s="14"/>
      <c r="AE1426" s="14"/>
      <c r="AF1426" s="14"/>
      <c r="AG1426" s="14"/>
      <c r="AH1426" s="14"/>
      <c r="AI1426" s="14"/>
      <c r="AJ1426" s="14"/>
      <c r="AK1426" s="14"/>
      <c r="AL1426" s="14"/>
      <c r="AM1426" s="14"/>
    </row>
    <row r="1427" spans="1:39" x14ac:dyDescent="0.3">
      <c r="A1427" s="14"/>
      <c r="B1427" s="14"/>
      <c r="C1427" s="14"/>
      <c r="D1427" s="14"/>
      <c r="E1427" s="14"/>
      <c r="F1427" s="14"/>
      <c r="G1427" s="14"/>
      <c r="H1427" s="14"/>
      <c r="I1427" s="14"/>
      <c r="J1427" s="14"/>
      <c r="K1427" s="14"/>
      <c r="L1427" s="14"/>
      <c r="M1427" s="14"/>
      <c r="N1427" s="14"/>
      <c r="O1427" s="14"/>
      <c r="P1427" s="14"/>
      <c r="Q1427" s="14"/>
      <c r="R1427" s="14"/>
      <c r="S1427" s="14"/>
      <c r="T1427" s="14"/>
      <c r="U1427" s="14"/>
      <c r="V1427" s="14"/>
      <c r="W1427" s="14"/>
      <c r="X1427" s="14"/>
      <c r="Y1427" s="14"/>
      <c r="Z1427" s="14"/>
      <c r="AA1427" s="14"/>
      <c r="AB1427" s="14"/>
      <c r="AC1427" s="14"/>
      <c r="AD1427" s="14"/>
      <c r="AE1427" s="14"/>
      <c r="AF1427" s="14"/>
      <c r="AG1427" s="14"/>
      <c r="AH1427" s="14"/>
      <c r="AI1427" s="14"/>
      <c r="AJ1427" s="14"/>
      <c r="AK1427" s="14"/>
      <c r="AL1427" s="14"/>
      <c r="AM1427" s="14"/>
    </row>
    <row r="1428" spans="1:39" x14ac:dyDescent="0.3">
      <c r="A1428" s="14"/>
      <c r="B1428" s="14"/>
      <c r="C1428" s="14"/>
      <c r="D1428" s="14"/>
      <c r="E1428" s="14"/>
      <c r="F1428" s="14"/>
      <c r="G1428" s="14"/>
      <c r="H1428" s="14"/>
      <c r="I1428" s="14"/>
      <c r="J1428" s="14"/>
      <c r="K1428" s="14"/>
      <c r="L1428" s="14"/>
      <c r="M1428" s="14"/>
      <c r="N1428" s="14"/>
      <c r="O1428" s="14"/>
      <c r="P1428" s="14"/>
      <c r="Q1428" s="14"/>
      <c r="R1428" s="14"/>
      <c r="S1428" s="14"/>
      <c r="T1428" s="14"/>
      <c r="U1428" s="14"/>
      <c r="V1428" s="14"/>
      <c r="W1428" s="14"/>
      <c r="X1428" s="14"/>
      <c r="Y1428" s="14"/>
      <c r="Z1428" s="14"/>
      <c r="AA1428" s="14"/>
      <c r="AB1428" s="14"/>
      <c r="AC1428" s="14"/>
      <c r="AD1428" s="14"/>
      <c r="AE1428" s="14"/>
      <c r="AF1428" s="14"/>
      <c r="AG1428" s="14"/>
      <c r="AH1428" s="14"/>
      <c r="AI1428" s="14"/>
      <c r="AJ1428" s="14"/>
      <c r="AK1428" s="14"/>
      <c r="AL1428" s="14"/>
      <c r="AM1428" s="14"/>
    </row>
    <row r="1429" spans="1:39" x14ac:dyDescent="0.3">
      <c r="A1429" s="14"/>
      <c r="B1429" s="14"/>
      <c r="C1429" s="14"/>
      <c r="D1429" s="14"/>
      <c r="E1429" s="14"/>
      <c r="F1429" s="14"/>
      <c r="G1429" s="14"/>
      <c r="H1429" s="14"/>
      <c r="I1429" s="14"/>
      <c r="J1429" s="14"/>
      <c r="K1429" s="14"/>
      <c r="L1429" s="14"/>
      <c r="M1429" s="14"/>
      <c r="N1429" s="14"/>
      <c r="O1429" s="14"/>
      <c r="P1429" s="14"/>
      <c r="Q1429" s="14"/>
      <c r="R1429" s="14"/>
      <c r="S1429" s="14"/>
      <c r="T1429" s="14"/>
      <c r="U1429" s="14"/>
      <c r="V1429" s="14"/>
      <c r="W1429" s="14"/>
      <c r="X1429" s="14"/>
      <c r="Y1429" s="14"/>
      <c r="Z1429" s="14"/>
      <c r="AA1429" s="14"/>
      <c r="AB1429" s="14"/>
      <c r="AC1429" s="14"/>
      <c r="AD1429" s="14"/>
      <c r="AE1429" s="14"/>
      <c r="AF1429" s="14"/>
      <c r="AG1429" s="14"/>
      <c r="AH1429" s="14"/>
      <c r="AI1429" s="14"/>
      <c r="AJ1429" s="14"/>
      <c r="AK1429" s="14"/>
      <c r="AL1429" s="14"/>
      <c r="AM1429" s="14"/>
    </row>
    <row r="1430" spans="1:39" x14ac:dyDescent="0.3">
      <c r="A1430" s="14"/>
      <c r="B1430" s="14"/>
      <c r="C1430" s="14"/>
      <c r="D1430" s="14"/>
      <c r="E1430" s="14"/>
      <c r="F1430" s="14"/>
      <c r="G1430" s="14"/>
      <c r="H1430" s="14"/>
      <c r="I1430" s="14"/>
      <c r="J1430" s="14"/>
      <c r="K1430" s="14"/>
      <c r="L1430" s="14"/>
      <c r="M1430" s="14"/>
      <c r="N1430" s="14"/>
      <c r="O1430" s="14"/>
      <c r="P1430" s="14"/>
      <c r="Q1430" s="14"/>
      <c r="R1430" s="14"/>
      <c r="S1430" s="14"/>
      <c r="T1430" s="14"/>
      <c r="U1430" s="14"/>
      <c r="V1430" s="14"/>
      <c r="W1430" s="14"/>
      <c r="X1430" s="14"/>
      <c r="Y1430" s="14"/>
      <c r="Z1430" s="14"/>
      <c r="AA1430" s="14"/>
      <c r="AB1430" s="14"/>
      <c r="AC1430" s="14"/>
      <c r="AD1430" s="14"/>
      <c r="AE1430" s="14"/>
      <c r="AF1430" s="14"/>
      <c r="AG1430" s="14"/>
      <c r="AH1430" s="14"/>
      <c r="AI1430" s="14"/>
      <c r="AJ1430" s="14"/>
      <c r="AK1430" s="14"/>
      <c r="AL1430" s="14"/>
      <c r="AM1430" s="14"/>
    </row>
    <row r="1431" spans="1:39" x14ac:dyDescent="0.3">
      <c r="A1431" s="14"/>
      <c r="B1431" s="14"/>
      <c r="C1431" s="14"/>
      <c r="D1431" s="14"/>
      <c r="E1431" s="14"/>
      <c r="F1431" s="14"/>
      <c r="G1431" s="14"/>
      <c r="H1431" s="14"/>
      <c r="I1431" s="14"/>
      <c r="J1431" s="14"/>
      <c r="K1431" s="14"/>
      <c r="L1431" s="14"/>
      <c r="M1431" s="14"/>
      <c r="N1431" s="14"/>
      <c r="O1431" s="14"/>
      <c r="P1431" s="14"/>
      <c r="Q1431" s="14"/>
      <c r="R1431" s="14"/>
      <c r="S1431" s="14"/>
      <c r="T1431" s="14"/>
      <c r="U1431" s="14"/>
      <c r="V1431" s="14"/>
      <c r="W1431" s="14"/>
      <c r="X1431" s="14"/>
      <c r="Y1431" s="14"/>
      <c r="Z1431" s="14"/>
      <c r="AA1431" s="14"/>
      <c r="AB1431" s="14"/>
      <c r="AC1431" s="14"/>
      <c r="AD1431" s="14"/>
      <c r="AE1431" s="14"/>
      <c r="AF1431" s="14"/>
      <c r="AG1431" s="14"/>
      <c r="AH1431" s="14"/>
      <c r="AI1431" s="14"/>
      <c r="AJ1431" s="14"/>
      <c r="AK1431" s="14"/>
      <c r="AL1431" s="14"/>
      <c r="AM1431" s="14"/>
    </row>
    <row r="1432" spans="1:39" x14ac:dyDescent="0.3">
      <c r="A1432" s="14"/>
      <c r="B1432" s="14"/>
      <c r="C1432" s="14"/>
      <c r="D1432" s="14"/>
      <c r="E1432" s="14"/>
      <c r="F1432" s="14"/>
      <c r="G1432" s="14"/>
      <c r="H1432" s="14"/>
      <c r="I1432" s="14"/>
      <c r="J1432" s="14"/>
      <c r="K1432" s="14"/>
      <c r="L1432" s="14"/>
      <c r="M1432" s="14"/>
      <c r="N1432" s="14"/>
      <c r="O1432" s="14"/>
      <c r="P1432" s="14"/>
      <c r="Q1432" s="14"/>
      <c r="R1432" s="14"/>
      <c r="S1432" s="14"/>
      <c r="T1432" s="14"/>
      <c r="U1432" s="14"/>
      <c r="V1432" s="14"/>
      <c r="W1432" s="14"/>
      <c r="X1432" s="14"/>
      <c r="Y1432" s="14"/>
      <c r="Z1432" s="14"/>
      <c r="AA1432" s="14"/>
      <c r="AB1432" s="14"/>
      <c r="AC1432" s="14"/>
      <c r="AD1432" s="14"/>
      <c r="AE1432" s="14"/>
      <c r="AF1432" s="14"/>
      <c r="AG1432" s="14"/>
      <c r="AH1432" s="14"/>
      <c r="AI1432" s="14"/>
      <c r="AJ1432" s="14"/>
      <c r="AK1432" s="14"/>
      <c r="AL1432" s="14"/>
      <c r="AM1432" s="14"/>
    </row>
    <row r="1433" spans="1:39" x14ac:dyDescent="0.3">
      <c r="A1433" s="14"/>
      <c r="B1433" s="14"/>
      <c r="C1433" s="14"/>
      <c r="D1433" s="14"/>
      <c r="E1433" s="14"/>
      <c r="F1433" s="14"/>
      <c r="G1433" s="14"/>
      <c r="H1433" s="14"/>
      <c r="I1433" s="14"/>
      <c r="J1433" s="14"/>
      <c r="K1433" s="14"/>
      <c r="L1433" s="14"/>
      <c r="M1433" s="14"/>
      <c r="N1433" s="14"/>
      <c r="O1433" s="14"/>
      <c r="P1433" s="14"/>
      <c r="Q1433" s="14"/>
      <c r="R1433" s="14"/>
      <c r="S1433" s="14"/>
      <c r="T1433" s="14"/>
      <c r="U1433" s="14"/>
      <c r="V1433" s="14"/>
      <c r="W1433" s="14"/>
      <c r="X1433" s="14"/>
      <c r="Y1433" s="14"/>
      <c r="Z1433" s="14"/>
      <c r="AA1433" s="14"/>
      <c r="AB1433" s="14"/>
      <c r="AC1433" s="14"/>
      <c r="AD1433" s="14"/>
      <c r="AE1433" s="14"/>
      <c r="AF1433" s="14"/>
      <c r="AG1433" s="14"/>
      <c r="AH1433" s="14"/>
      <c r="AI1433" s="14"/>
      <c r="AJ1433" s="14"/>
      <c r="AK1433" s="14"/>
      <c r="AL1433" s="14"/>
      <c r="AM1433" s="14"/>
    </row>
    <row r="1434" spans="1:39" x14ac:dyDescent="0.3">
      <c r="A1434" s="14"/>
      <c r="B1434" s="14"/>
      <c r="C1434" s="14"/>
      <c r="D1434" s="14"/>
      <c r="E1434" s="14"/>
      <c r="F1434" s="14"/>
      <c r="G1434" s="14"/>
      <c r="H1434" s="14"/>
      <c r="I1434" s="14"/>
      <c r="J1434" s="14"/>
      <c r="K1434" s="14"/>
      <c r="L1434" s="14"/>
      <c r="M1434" s="14"/>
      <c r="N1434" s="14"/>
      <c r="O1434" s="14"/>
      <c r="P1434" s="14"/>
      <c r="Q1434" s="14"/>
      <c r="R1434" s="14"/>
      <c r="S1434" s="14"/>
      <c r="T1434" s="14"/>
      <c r="U1434" s="14"/>
      <c r="V1434" s="14"/>
      <c r="W1434" s="14"/>
      <c r="X1434" s="14"/>
      <c r="Y1434" s="14"/>
      <c r="Z1434" s="14"/>
      <c r="AA1434" s="14"/>
      <c r="AB1434" s="14"/>
      <c r="AC1434" s="14"/>
      <c r="AD1434" s="14"/>
      <c r="AE1434" s="14"/>
      <c r="AF1434" s="14"/>
      <c r="AG1434" s="14"/>
      <c r="AH1434" s="14"/>
      <c r="AI1434" s="14"/>
      <c r="AJ1434" s="14"/>
      <c r="AK1434" s="14"/>
      <c r="AL1434" s="14"/>
      <c r="AM1434" s="14"/>
    </row>
    <row r="1435" spans="1:39" x14ac:dyDescent="0.3">
      <c r="A1435" s="14"/>
      <c r="B1435" s="14"/>
      <c r="C1435" s="14"/>
      <c r="D1435" s="14"/>
      <c r="E1435" s="14"/>
      <c r="F1435" s="14"/>
      <c r="G1435" s="14"/>
      <c r="H1435" s="14"/>
      <c r="I1435" s="14"/>
      <c r="J1435" s="14"/>
      <c r="K1435" s="14"/>
      <c r="L1435" s="14"/>
      <c r="M1435" s="14"/>
      <c r="N1435" s="14"/>
      <c r="O1435" s="14"/>
      <c r="P1435" s="14"/>
      <c r="Q1435" s="14"/>
      <c r="R1435" s="14"/>
      <c r="S1435" s="14"/>
      <c r="T1435" s="14"/>
      <c r="U1435" s="14"/>
      <c r="V1435" s="14"/>
      <c r="W1435" s="14"/>
      <c r="X1435" s="14"/>
      <c r="Y1435" s="14"/>
      <c r="Z1435" s="14"/>
      <c r="AA1435" s="14"/>
      <c r="AB1435" s="14"/>
      <c r="AC1435" s="14"/>
      <c r="AD1435" s="14"/>
      <c r="AE1435" s="14"/>
      <c r="AF1435" s="14"/>
      <c r="AG1435" s="14"/>
      <c r="AH1435" s="14"/>
      <c r="AI1435" s="14"/>
      <c r="AJ1435" s="14"/>
      <c r="AK1435" s="14"/>
      <c r="AL1435" s="14"/>
      <c r="AM1435" s="14"/>
    </row>
    <row r="1436" spans="1:39" x14ac:dyDescent="0.3">
      <c r="A1436" s="14"/>
      <c r="B1436" s="14"/>
      <c r="C1436" s="14"/>
      <c r="D1436" s="14"/>
      <c r="E1436" s="14"/>
      <c r="F1436" s="14"/>
      <c r="G1436" s="14"/>
      <c r="H1436" s="14"/>
      <c r="I1436" s="14"/>
      <c r="J1436" s="14"/>
      <c r="K1436" s="14"/>
      <c r="L1436" s="14"/>
      <c r="M1436" s="14"/>
      <c r="N1436" s="14"/>
      <c r="O1436" s="14"/>
      <c r="P1436" s="14"/>
      <c r="Q1436" s="14"/>
      <c r="R1436" s="14"/>
      <c r="S1436" s="14"/>
      <c r="T1436" s="14"/>
      <c r="U1436" s="14"/>
      <c r="V1436" s="14"/>
      <c r="W1436" s="14"/>
      <c r="X1436" s="14"/>
      <c r="Y1436" s="14"/>
      <c r="Z1436" s="14"/>
      <c r="AA1436" s="14"/>
      <c r="AB1436" s="14"/>
      <c r="AC1436" s="14"/>
      <c r="AD1436" s="14"/>
      <c r="AE1436" s="14"/>
      <c r="AF1436" s="14"/>
      <c r="AG1436" s="14"/>
      <c r="AH1436" s="14"/>
      <c r="AI1436" s="14"/>
      <c r="AJ1436" s="14"/>
      <c r="AK1436" s="14"/>
      <c r="AL1436" s="14"/>
      <c r="AM1436" s="14"/>
    </row>
    <row r="1437" spans="1:39" x14ac:dyDescent="0.3">
      <c r="A1437" s="14"/>
      <c r="B1437" s="14"/>
      <c r="C1437" s="14"/>
      <c r="D1437" s="14"/>
      <c r="E1437" s="14"/>
      <c r="F1437" s="14"/>
      <c r="G1437" s="14"/>
      <c r="H1437" s="14"/>
      <c r="I1437" s="14"/>
      <c r="J1437" s="14"/>
      <c r="K1437" s="14"/>
      <c r="L1437" s="14"/>
      <c r="M1437" s="14"/>
      <c r="N1437" s="14"/>
      <c r="O1437" s="14"/>
      <c r="P1437" s="14"/>
      <c r="Q1437" s="14"/>
      <c r="R1437" s="14"/>
      <c r="S1437" s="14"/>
      <c r="T1437" s="14"/>
      <c r="U1437" s="14"/>
      <c r="V1437" s="14"/>
      <c r="W1437" s="14"/>
      <c r="X1437" s="14"/>
      <c r="Y1437" s="14"/>
      <c r="Z1437" s="14"/>
      <c r="AA1437" s="14"/>
      <c r="AB1437" s="14"/>
      <c r="AC1437" s="14"/>
      <c r="AD1437" s="14"/>
      <c r="AE1437" s="14"/>
      <c r="AF1437" s="14"/>
      <c r="AG1437" s="14"/>
      <c r="AH1437" s="14"/>
      <c r="AI1437" s="14"/>
      <c r="AJ1437" s="14"/>
      <c r="AK1437" s="14"/>
      <c r="AL1437" s="14"/>
      <c r="AM1437" s="14"/>
    </row>
    <row r="1438" spans="1:39" x14ac:dyDescent="0.3">
      <c r="A1438" s="14"/>
      <c r="B1438" s="14"/>
      <c r="C1438" s="14"/>
      <c r="D1438" s="14"/>
      <c r="E1438" s="14"/>
      <c r="F1438" s="14"/>
      <c r="G1438" s="14"/>
      <c r="H1438" s="14"/>
      <c r="I1438" s="14"/>
      <c r="J1438" s="14"/>
      <c r="K1438" s="14"/>
      <c r="L1438" s="14"/>
      <c r="M1438" s="14"/>
      <c r="N1438" s="14"/>
      <c r="O1438" s="14"/>
      <c r="P1438" s="14"/>
      <c r="Q1438" s="14"/>
      <c r="R1438" s="14"/>
      <c r="S1438" s="14"/>
      <c r="T1438" s="14"/>
      <c r="U1438" s="14"/>
      <c r="V1438" s="14"/>
      <c r="W1438" s="14"/>
      <c r="X1438" s="14"/>
      <c r="Y1438" s="14"/>
      <c r="Z1438" s="14"/>
      <c r="AA1438" s="14"/>
      <c r="AB1438" s="14"/>
      <c r="AC1438" s="14"/>
      <c r="AD1438" s="14"/>
      <c r="AE1438" s="14"/>
      <c r="AF1438" s="14"/>
      <c r="AG1438" s="14"/>
      <c r="AH1438" s="14"/>
      <c r="AI1438" s="14"/>
      <c r="AJ1438" s="14"/>
      <c r="AK1438" s="14"/>
      <c r="AL1438" s="14"/>
      <c r="AM1438" s="14"/>
    </row>
    <row r="1439" spans="1:39" x14ac:dyDescent="0.3">
      <c r="A1439" s="14"/>
      <c r="B1439" s="14"/>
      <c r="C1439" s="14"/>
      <c r="D1439" s="14"/>
      <c r="E1439" s="14"/>
      <c r="F1439" s="14"/>
      <c r="G1439" s="14"/>
      <c r="H1439" s="14"/>
      <c r="I1439" s="14"/>
      <c r="J1439" s="14"/>
      <c r="K1439" s="14"/>
      <c r="L1439" s="14"/>
      <c r="M1439" s="14"/>
      <c r="N1439" s="14"/>
      <c r="O1439" s="14"/>
      <c r="P1439" s="14"/>
      <c r="Q1439" s="14"/>
      <c r="R1439" s="14"/>
      <c r="S1439" s="14"/>
      <c r="T1439" s="14"/>
      <c r="U1439" s="14"/>
      <c r="V1439" s="14"/>
      <c r="W1439" s="14"/>
      <c r="X1439" s="14"/>
      <c r="Y1439" s="14"/>
      <c r="Z1439" s="14"/>
      <c r="AA1439" s="14"/>
      <c r="AB1439" s="14"/>
      <c r="AC1439" s="14"/>
      <c r="AD1439" s="14"/>
      <c r="AE1439" s="14"/>
      <c r="AF1439" s="14"/>
      <c r="AG1439" s="14"/>
      <c r="AH1439" s="14"/>
      <c r="AI1439" s="14"/>
      <c r="AJ1439" s="14"/>
      <c r="AK1439" s="14"/>
      <c r="AL1439" s="14"/>
      <c r="AM1439" s="14"/>
    </row>
    <row r="1440" spans="1:39" x14ac:dyDescent="0.3">
      <c r="A1440" s="14"/>
      <c r="B1440" s="14"/>
      <c r="C1440" s="14"/>
      <c r="D1440" s="14"/>
      <c r="E1440" s="14"/>
      <c r="F1440" s="14"/>
      <c r="G1440" s="14"/>
      <c r="H1440" s="14"/>
      <c r="I1440" s="14"/>
      <c r="J1440" s="14"/>
      <c r="K1440" s="14"/>
      <c r="L1440" s="14"/>
      <c r="M1440" s="14"/>
      <c r="N1440" s="14"/>
      <c r="O1440" s="14"/>
      <c r="P1440" s="14"/>
      <c r="Q1440" s="14"/>
      <c r="R1440" s="14"/>
      <c r="S1440" s="14"/>
      <c r="T1440" s="14"/>
      <c r="U1440" s="14"/>
      <c r="V1440" s="14"/>
      <c r="W1440" s="14"/>
      <c r="X1440" s="14"/>
      <c r="Y1440" s="14"/>
      <c r="Z1440" s="14"/>
      <c r="AA1440" s="14"/>
      <c r="AB1440" s="14"/>
      <c r="AC1440" s="14"/>
      <c r="AD1440" s="14"/>
      <c r="AE1440" s="14"/>
      <c r="AF1440" s="14"/>
      <c r="AG1440" s="14"/>
      <c r="AH1440" s="14"/>
      <c r="AI1440" s="14"/>
      <c r="AJ1440" s="14"/>
      <c r="AK1440" s="14"/>
      <c r="AL1440" s="14"/>
      <c r="AM1440" s="14"/>
    </row>
    <row r="1441" spans="1:39" x14ac:dyDescent="0.3">
      <c r="A1441" s="14"/>
      <c r="B1441" s="14"/>
      <c r="C1441" s="14"/>
      <c r="D1441" s="14"/>
      <c r="E1441" s="14"/>
      <c r="F1441" s="14"/>
      <c r="G1441" s="14"/>
      <c r="H1441" s="14"/>
      <c r="I1441" s="14"/>
      <c r="J1441" s="14"/>
      <c r="K1441" s="14"/>
      <c r="L1441" s="14"/>
      <c r="M1441" s="14"/>
      <c r="N1441" s="14"/>
      <c r="O1441" s="14"/>
      <c r="P1441" s="14"/>
      <c r="Q1441" s="14"/>
      <c r="R1441" s="14"/>
      <c r="S1441" s="14"/>
      <c r="T1441" s="14"/>
      <c r="U1441" s="14"/>
      <c r="V1441" s="14"/>
      <c r="W1441" s="14"/>
      <c r="X1441" s="14"/>
      <c r="Y1441" s="14"/>
      <c r="Z1441" s="14"/>
      <c r="AA1441" s="14"/>
      <c r="AB1441" s="14"/>
      <c r="AC1441" s="14"/>
      <c r="AD1441" s="14"/>
      <c r="AE1441" s="14"/>
      <c r="AF1441" s="14"/>
      <c r="AG1441" s="14"/>
      <c r="AH1441" s="14"/>
      <c r="AI1441" s="14"/>
      <c r="AJ1441" s="14"/>
      <c r="AK1441" s="14"/>
      <c r="AL1441" s="14"/>
      <c r="AM1441" s="14"/>
    </row>
    <row r="1442" spans="1:39" x14ac:dyDescent="0.3">
      <c r="A1442" s="14"/>
      <c r="B1442" s="14"/>
      <c r="C1442" s="14"/>
      <c r="D1442" s="14"/>
      <c r="E1442" s="14"/>
      <c r="F1442" s="14"/>
      <c r="G1442" s="14"/>
      <c r="H1442" s="14"/>
      <c r="I1442" s="14"/>
      <c r="J1442" s="14"/>
      <c r="K1442" s="14"/>
      <c r="L1442" s="14"/>
      <c r="M1442" s="14"/>
      <c r="N1442" s="14"/>
      <c r="O1442" s="14"/>
      <c r="P1442" s="14"/>
      <c r="Q1442" s="14"/>
      <c r="R1442" s="14"/>
      <c r="S1442" s="14"/>
      <c r="T1442" s="14"/>
      <c r="U1442" s="14"/>
      <c r="V1442" s="14"/>
      <c r="W1442" s="14"/>
      <c r="X1442" s="14"/>
      <c r="Y1442" s="14"/>
      <c r="Z1442" s="14"/>
      <c r="AA1442" s="14"/>
      <c r="AB1442" s="14"/>
      <c r="AC1442" s="14"/>
      <c r="AD1442" s="14"/>
      <c r="AE1442" s="14"/>
      <c r="AF1442" s="14"/>
      <c r="AG1442" s="14"/>
      <c r="AH1442" s="14"/>
      <c r="AI1442" s="14"/>
      <c r="AJ1442" s="14"/>
      <c r="AK1442" s="14"/>
      <c r="AL1442" s="14"/>
      <c r="AM1442" s="14"/>
    </row>
    <row r="1443" spans="1:39" x14ac:dyDescent="0.3">
      <c r="A1443" s="14"/>
      <c r="B1443" s="14"/>
      <c r="C1443" s="14"/>
      <c r="D1443" s="14"/>
      <c r="E1443" s="14"/>
      <c r="F1443" s="14"/>
      <c r="G1443" s="14"/>
      <c r="H1443" s="14"/>
      <c r="I1443" s="14"/>
      <c r="J1443" s="14"/>
      <c r="K1443" s="14"/>
      <c r="L1443" s="14"/>
      <c r="M1443" s="14"/>
      <c r="N1443" s="14"/>
      <c r="O1443" s="14"/>
      <c r="P1443" s="14"/>
      <c r="Q1443" s="14"/>
      <c r="R1443" s="14"/>
      <c r="S1443" s="14"/>
      <c r="T1443" s="14"/>
      <c r="U1443" s="14"/>
      <c r="V1443" s="14"/>
      <c r="W1443" s="14"/>
      <c r="X1443" s="14"/>
      <c r="Y1443" s="14"/>
      <c r="Z1443" s="14"/>
      <c r="AA1443" s="14"/>
      <c r="AB1443" s="14"/>
      <c r="AC1443" s="14"/>
      <c r="AD1443" s="14"/>
      <c r="AE1443" s="14"/>
      <c r="AF1443" s="14"/>
      <c r="AG1443" s="14"/>
      <c r="AH1443" s="14"/>
      <c r="AI1443" s="14"/>
      <c r="AJ1443" s="14"/>
      <c r="AK1443" s="14"/>
      <c r="AL1443" s="14"/>
      <c r="AM1443" s="14"/>
    </row>
    <row r="1444" spans="1:39" x14ac:dyDescent="0.3">
      <c r="A1444" s="14"/>
      <c r="B1444" s="14"/>
      <c r="C1444" s="14"/>
      <c r="D1444" s="14"/>
      <c r="E1444" s="14"/>
      <c r="F1444" s="14"/>
      <c r="G1444" s="14"/>
      <c r="H1444" s="14"/>
      <c r="I1444" s="14"/>
      <c r="J1444" s="14"/>
      <c r="K1444" s="14"/>
      <c r="L1444" s="14"/>
      <c r="M1444" s="14"/>
      <c r="N1444" s="14"/>
      <c r="O1444" s="14"/>
      <c r="P1444" s="14"/>
      <c r="Q1444" s="14"/>
      <c r="R1444" s="14"/>
      <c r="S1444" s="14"/>
      <c r="T1444" s="14"/>
      <c r="U1444" s="14"/>
      <c r="V1444" s="14"/>
      <c r="W1444" s="14"/>
      <c r="X1444" s="14"/>
      <c r="Y1444" s="14"/>
      <c r="Z1444" s="14"/>
      <c r="AA1444" s="14"/>
      <c r="AB1444" s="14"/>
      <c r="AC1444" s="14"/>
      <c r="AD1444" s="14"/>
      <c r="AE1444" s="14"/>
      <c r="AF1444" s="14"/>
      <c r="AG1444" s="14"/>
      <c r="AH1444" s="14"/>
      <c r="AI1444" s="14"/>
      <c r="AJ1444" s="14"/>
      <c r="AK1444" s="14"/>
      <c r="AL1444" s="14"/>
      <c r="AM1444" s="14"/>
    </row>
    <row r="1445" spans="1:39" x14ac:dyDescent="0.3">
      <c r="A1445" s="14"/>
      <c r="B1445" s="14"/>
      <c r="C1445" s="14"/>
      <c r="D1445" s="14"/>
      <c r="E1445" s="14"/>
      <c r="F1445" s="14"/>
      <c r="G1445" s="14"/>
      <c r="H1445" s="14"/>
      <c r="I1445" s="14"/>
      <c r="J1445" s="14"/>
      <c r="K1445" s="14"/>
      <c r="L1445" s="14"/>
      <c r="M1445" s="14"/>
      <c r="N1445" s="14"/>
      <c r="O1445" s="14"/>
      <c r="P1445" s="14"/>
      <c r="Q1445" s="14"/>
      <c r="R1445" s="14"/>
      <c r="S1445" s="14"/>
      <c r="T1445" s="14"/>
      <c r="U1445" s="14"/>
      <c r="V1445" s="14"/>
      <c r="W1445" s="14"/>
      <c r="X1445" s="14"/>
      <c r="Y1445" s="14"/>
      <c r="Z1445" s="14"/>
      <c r="AA1445" s="14"/>
      <c r="AB1445" s="14"/>
      <c r="AC1445" s="14"/>
      <c r="AD1445" s="14"/>
      <c r="AE1445" s="14"/>
      <c r="AF1445" s="14"/>
      <c r="AG1445" s="14"/>
      <c r="AH1445" s="14"/>
      <c r="AI1445" s="14"/>
      <c r="AJ1445" s="14"/>
      <c r="AK1445" s="14"/>
      <c r="AL1445" s="14"/>
      <c r="AM1445" s="14"/>
    </row>
    <row r="1446" spans="1:39" x14ac:dyDescent="0.3">
      <c r="A1446" s="14"/>
      <c r="B1446" s="14"/>
      <c r="C1446" s="14"/>
      <c r="D1446" s="14"/>
      <c r="E1446" s="14"/>
      <c r="F1446" s="14"/>
      <c r="G1446" s="14"/>
      <c r="H1446" s="14"/>
      <c r="I1446" s="14"/>
      <c r="J1446" s="14"/>
      <c r="K1446" s="14"/>
      <c r="L1446" s="14"/>
      <c r="M1446" s="14"/>
      <c r="N1446" s="14"/>
      <c r="O1446" s="14"/>
      <c r="P1446" s="14"/>
      <c r="Q1446" s="14"/>
      <c r="R1446" s="14"/>
      <c r="S1446" s="14"/>
      <c r="T1446" s="14"/>
      <c r="U1446" s="14"/>
      <c r="V1446" s="14"/>
      <c r="W1446" s="14"/>
      <c r="X1446" s="14"/>
      <c r="Y1446" s="14"/>
      <c r="Z1446" s="14"/>
      <c r="AA1446" s="14"/>
      <c r="AB1446" s="14"/>
      <c r="AC1446" s="14"/>
      <c r="AD1446" s="14"/>
      <c r="AE1446" s="14"/>
      <c r="AF1446" s="14"/>
      <c r="AG1446" s="14"/>
      <c r="AH1446" s="14"/>
      <c r="AI1446" s="14"/>
      <c r="AJ1446" s="14"/>
      <c r="AK1446" s="14"/>
      <c r="AL1446" s="14"/>
      <c r="AM1446" s="14"/>
    </row>
    <row r="1447" spans="1:39" x14ac:dyDescent="0.3">
      <c r="A1447" s="14"/>
      <c r="B1447" s="14"/>
      <c r="C1447" s="14"/>
      <c r="D1447" s="14"/>
      <c r="E1447" s="14"/>
      <c r="F1447" s="14"/>
      <c r="G1447" s="14"/>
      <c r="H1447" s="14"/>
      <c r="I1447" s="14"/>
      <c r="J1447" s="14"/>
      <c r="K1447" s="14"/>
      <c r="L1447" s="14"/>
      <c r="M1447" s="14"/>
      <c r="N1447" s="14"/>
      <c r="O1447" s="14"/>
      <c r="P1447" s="14"/>
      <c r="Q1447" s="14"/>
      <c r="R1447" s="14"/>
      <c r="S1447" s="14"/>
      <c r="T1447" s="14"/>
      <c r="U1447" s="14"/>
      <c r="V1447" s="14"/>
      <c r="W1447" s="14"/>
      <c r="X1447" s="14"/>
      <c r="Y1447" s="14"/>
      <c r="Z1447" s="14"/>
      <c r="AA1447" s="14"/>
      <c r="AB1447" s="14"/>
      <c r="AC1447" s="14"/>
      <c r="AD1447" s="14"/>
      <c r="AE1447" s="14"/>
      <c r="AF1447" s="14"/>
      <c r="AG1447" s="14"/>
      <c r="AH1447" s="14"/>
      <c r="AI1447" s="14"/>
      <c r="AJ1447" s="14"/>
      <c r="AK1447" s="14"/>
      <c r="AL1447" s="14"/>
      <c r="AM1447" s="14"/>
    </row>
    <row r="1448" spans="1:39" x14ac:dyDescent="0.3">
      <c r="A1448" s="14"/>
      <c r="B1448" s="14"/>
      <c r="C1448" s="14"/>
      <c r="D1448" s="14"/>
      <c r="E1448" s="14"/>
      <c r="F1448" s="14"/>
      <c r="G1448" s="14"/>
      <c r="H1448" s="14"/>
      <c r="I1448" s="14"/>
      <c r="J1448" s="14"/>
      <c r="K1448" s="14"/>
      <c r="L1448" s="14"/>
      <c r="M1448" s="14"/>
      <c r="N1448" s="14"/>
      <c r="O1448" s="14"/>
      <c r="P1448" s="14"/>
      <c r="Q1448" s="14"/>
      <c r="R1448" s="14"/>
      <c r="S1448" s="14"/>
      <c r="T1448" s="14"/>
      <c r="U1448" s="14"/>
      <c r="V1448" s="14"/>
      <c r="W1448" s="14"/>
      <c r="X1448" s="14"/>
      <c r="Y1448" s="14"/>
      <c r="Z1448" s="14"/>
      <c r="AA1448" s="14"/>
      <c r="AB1448" s="14"/>
      <c r="AC1448" s="14"/>
      <c r="AD1448" s="14"/>
      <c r="AE1448" s="14"/>
      <c r="AF1448" s="14"/>
      <c r="AG1448" s="14"/>
      <c r="AH1448" s="14"/>
      <c r="AI1448" s="14"/>
      <c r="AJ1448" s="14"/>
      <c r="AK1448" s="14"/>
      <c r="AL1448" s="14"/>
      <c r="AM1448" s="14"/>
    </row>
    <row r="1449" spans="1:39" x14ac:dyDescent="0.3">
      <c r="A1449" s="14"/>
      <c r="B1449" s="14"/>
      <c r="C1449" s="14"/>
      <c r="D1449" s="14"/>
      <c r="E1449" s="14"/>
      <c r="F1449" s="14"/>
      <c r="G1449" s="14"/>
      <c r="H1449" s="14"/>
      <c r="I1449" s="14"/>
      <c r="J1449" s="14"/>
      <c r="K1449" s="14"/>
      <c r="L1449" s="14"/>
      <c r="M1449" s="14"/>
      <c r="N1449" s="14"/>
      <c r="O1449" s="14"/>
      <c r="P1449" s="14"/>
      <c r="Q1449" s="14"/>
      <c r="R1449" s="14"/>
      <c r="S1449" s="14"/>
      <c r="T1449" s="14"/>
      <c r="U1449" s="14"/>
      <c r="V1449" s="14"/>
      <c r="W1449" s="14"/>
      <c r="X1449" s="14"/>
      <c r="Y1449" s="14"/>
      <c r="Z1449" s="14"/>
      <c r="AA1449" s="14"/>
      <c r="AB1449" s="14"/>
      <c r="AC1449" s="14"/>
      <c r="AD1449" s="14"/>
      <c r="AE1449" s="14"/>
      <c r="AF1449" s="14"/>
      <c r="AG1449" s="14"/>
      <c r="AH1449" s="14"/>
      <c r="AI1449" s="14"/>
      <c r="AJ1449" s="14"/>
      <c r="AK1449" s="14"/>
      <c r="AL1449" s="14"/>
      <c r="AM1449" s="14"/>
    </row>
    <row r="1450" spans="1:39" x14ac:dyDescent="0.3">
      <c r="A1450" s="14"/>
      <c r="B1450" s="14"/>
      <c r="C1450" s="14"/>
      <c r="D1450" s="14"/>
      <c r="E1450" s="14"/>
      <c r="F1450" s="14"/>
      <c r="G1450" s="14"/>
      <c r="H1450" s="14"/>
      <c r="I1450" s="14"/>
      <c r="J1450" s="14"/>
      <c r="K1450" s="14"/>
      <c r="L1450" s="14"/>
      <c r="M1450" s="14"/>
      <c r="N1450" s="14"/>
      <c r="O1450" s="14"/>
      <c r="P1450" s="14"/>
      <c r="Q1450" s="14"/>
      <c r="R1450" s="14"/>
      <c r="S1450" s="14"/>
      <c r="T1450" s="14"/>
      <c r="U1450" s="14"/>
      <c r="V1450" s="14"/>
      <c r="W1450" s="14"/>
      <c r="X1450" s="14"/>
      <c r="Y1450" s="14"/>
      <c r="Z1450" s="14"/>
      <c r="AA1450" s="14"/>
      <c r="AB1450" s="14"/>
      <c r="AC1450" s="14"/>
      <c r="AD1450" s="14"/>
      <c r="AE1450" s="14"/>
      <c r="AF1450" s="14"/>
      <c r="AG1450" s="14"/>
      <c r="AH1450" s="14"/>
      <c r="AI1450" s="14"/>
      <c r="AJ1450" s="14"/>
      <c r="AK1450" s="14"/>
      <c r="AL1450" s="14"/>
      <c r="AM1450" s="14"/>
    </row>
    <row r="1451" spans="1:39" x14ac:dyDescent="0.3">
      <c r="A1451" s="14"/>
      <c r="B1451" s="14"/>
      <c r="C1451" s="14"/>
      <c r="D1451" s="14"/>
      <c r="E1451" s="14"/>
      <c r="F1451" s="14"/>
      <c r="G1451" s="14"/>
      <c r="H1451" s="14"/>
      <c r="I1451" s="14"/>
      <c r="J1451" s="14"/>
      <c r="K1451" s="14"/>
      <c r="L1451" s="14"/>
      <c r="M1451" s="14"/>
      <c r="N1451" s="14"/>
      <c r="O1451" s="14"/>
      <c r="P1451" s="14"/>
      <c r="Q1451" s="14"/>
      <c r="R1451" s="14"/>
      <c r="S1451" s="14"/>
      <c r="T1451" s="14"/>
      <c r="U1451" s="14"/>
      <c r="V1451" s="14"/>
      <c r="W1451" s="14"/>
      <c r="X1451" s="14"/>
      <c r="Y1451" s="14"/>
      <c r="Z1451" s="14"/>
      <c r="AA1451" s="14"/>
      <c r="AB1451" s="14"/>
      <c r="AC1451" s="14"/>
      <c r="AD1451" s="14"/>
      <c r="AE1451" s="14"/>
      <c r="AF1451" s="14"/>
      <c r="AG1451" s="14"/>
      <c r="AH1451" s="14"/>
      <c r="AI1451" s="14"/>
      <c r="AJ1451" s="14"/>
      <c r="AK1451" s="14"/>
      <c r="AL1451" s="14"/>
      <c r="AM1451" s="14"/>
    </row>
    <row r="1452" spans="1:39" x14ac:dyDescent="0.3">
      <c r="A1452" s="14"/>
      <c r="B1452" s="14"/>
      <c r="C1452" s="14"/>
      <c r="D1452" s="14"/>
      <c r="E1452" s="14"/>
      <c r="F1452" s="14"/>
      <c r="G1452" s="14"/>
      <c r="H1452" s="14"/>
      <c r="I1452" s="14"/>
      <c r="J1452" s="14"/>
      <c r="K1452" s="14"/>
      <c r="L1452" s="14"/>
      <c r="M1452" s="14"/>
      <c r="N1452" s="14"/>
      <c r="O1452" s="14"/>
      <c r="P1452" s="14"/>
      <c r="Q1452" s="14"/>
      <c r="R1452" s="14"/>
      <c r="S1452" s="14"/>
      <c r="T1452" s="14"/>
      <c r="U1452" s="14"/>
      <c r="V1452" s="14"/>
      <c r="W1452" s="14"/>
      <c r="X1452" s="14"/>
      <c r="Y1452" s="14"/>
      <c r="Z1452" s="14"/>
      <c r="AA1452" s="14"/>
      <c r="AB1452" s="14"/>
      <c r="AC1452" s="14"/>
      <c r="AD1452" s="14"/>
      <c r="AE1452" s="14"/>
      <c r="AF1452" s="14"/>
      <c r="AG1452" s="14"/>
      <c r="AH1452" s="14"/>
      <c r="AI1452" s="14"/>
      <c r="AJ1452" s="14"/>
      <c r="AK1452" s="14"/>
      <c r="AL1452" s="14"/>
      <c r="AM1452" s="14"/>
    </row>
    <row r="1453" spans="1:39" x14ac:dyDescent="0.3">
      <c r="A1453" s="14"/>
      <c r="B1453" s="14"/>
      <c r="C1453" s="14"/>
      <c r="D1453" s="14"/>
      <c r="E1453" s="14"/>
      <c r="F1453" s="14"/>
      <c r="G1453" s="14"/>
      <c r="H1453" s="14"/>
      <c r="I1453" s="14"/>
      <c r="J1453" s="14"/>
      <c r="K1453" s="14"/>
      <c r="L1453" s="14"/>
      <c r="M1453" s="14"/>
      <c r="N1453" s="14"/>
      <c r="O1453" s="14"/>
      <c r="P1453" s="14"/>
      <c r="Q1453" s="14"/>
      <c r="R1453" s="14"/>
      <c r="S1453" s="14"/>
      <c r="T1453" s="14"/>
      <c r="U1453" s="14"/>
      <c r="V1453" s="14"/>
      <c r="W1453" s="14"/>
      <c r="X1453" s="14"/>
      <c r="Y1453" s="14"/>
      <c r="Z1453" s="14"/>
      <c r="AA1453" s="14"/>
      <c r="AB1453" s="14"/>
      <c r="AC1453" s="14"/>
      <c r="AD1453" s="14"/>
      <c r="AE1453" s="14"/>
      <c r="AF1453" s="14"/>
      <c r="AG1453" s="14"/>
      <c r="AH1453" s="14"/>
      <c r="AI1453" s="14"/>
      <c r="AJ1453" s="14"/>
      <c r="AK1453" s="14"/>
      <c r="AL1453" s="14"/>
      <c r="AM1453" s="14"/>
    </row>
    <row r="1454" spans="1:39" x14ac:dyDescent="0.3">
      <c r="A1454" s="14"/>
      <c r="B1454" s="14"/>
      <c r="C1454" s="14"/>
      <c r="D1454" s="14"/>
      <c r="E1454" s="14"/>
      <c r="F1454" s="14"/>
      <c r="G1454" s="14"/>
      <c r="H1454" s="14"/>
      <c r="I1454" s="14"/>
      <c r="J1454" s="14"/>
      <c r="K1454" s="14"/>
      <c r="L1454" s="14"/>
      <c r="M1454" s="14"/>
      <c r="N1454" s="14"/>
      <c r="O1454" s="14"/>
      <c r="P1454" s="14"/>
      <c r="Q1454" s="14"/>
      <c r="R1454" s="14"/>
      <c r="S1454" s="14"/>
      <c r="T1454" s="14"/>
      <c r="U1454" s="14"/>
      <c r="V1454" s="14"/>
      <c r="W1454" s="14"/>
      <c r="X1454" s="14"/>
      <c r="Y1454" s="14"/>
      <c r="Z1454" s="14"/>
      <c r="AA1454" s="14"/>
      <c r="AB1454" s="14"/>
      <c r="AC1454" s="14"/>
      <c r="AD1454" s="14"/>
      <c r="AE1454" s="14"/>
      <c r="AF1454" s="14"/>
      <c r="AG1454" s="14"/>
      <c r="AH1454" s="14"/>
      <c r="AI1454" s="14"/>
      <c r="AJ1454" s="14"/>
      <c r="AK1454" s="14"/>
      <c r="AL1454" s="14"/>
      <c r="AM1454" s="14"/>
    </row>
    <row r="1455" spans="1:39" x14ac:dyDescent="0.3">
      <c r="A1455" s="14"/>
      <c r="B1455" s="14"/>
      <c r="C1455" s="14"/>
      <c r="D1455" s="14"/>
      <c r="E1455" s="14"/>
      <c r="F1455" s="14"/>
      <c r="G1455" s="14"/>
      <c r="H1455" s="14"/>
      <c r="I1455" s="14"/>
      <c r="J1455" s="14"/>
      <c r="K1455" s="14"/>
      <c r="L1455" s="14"/>
      <c r="M1455" s="14"/>
      <c r="N1455" s="14"/>
      <c r="O1455" s="14"/>
      <c r="P1455" s="14"/>
      <c r="Q1455" s="14"/>
      <c r="R1455" s="14"/>
      <c r="S1455" s="14"/>
      <c r="T1455" s="14"/>
      <c r="U1455" s="14"/>
      <c r="V1455" s="14"/>
      <c r="W1455" s="14"/>
      <c r="X1455" s="14"/>
      <c r="Y1455" s="14"/>
      <c r="Z1455" s="14"/>
      <c r="AA1455" s="14"/>
      <c r="AB1455" s="14"/>
      <c r="AC1455" s="14"/>
      <c r="AD1455" s="14"/>
      <c r="AE1455" s="14"/>
      <c r="AF1455" s="14"/>
      <c r="AG1455" s="14"/>
      <c r="AH1455" s="14"/>
      <c r="AI1455" s="14"/>
      <c r="AJ1455" s="14"/>
      <c r="AK1455" s="14"/>
      <c r="AL1455" s="14"/>
      <c r="AM1455" s="14"/>
    </row>
    <row r="1456" spans="1:39" x14ac:dyDescent="0.3">
      <c r="A1456" s="14"/>
      <c r="B1456" s="14"/>
      <c r="C1456" s="14"/>
      <c r="D1456" s="14"/>
      <c r="E1456" s="14"/>
      <c r="F1456" s="14"/>
      <c r="G1456" s="14"/>
      <c r="H1456" s="14"/>
      <c r="I1456" s="14"/>
      <c r="J1456" s="14"/>
      <c r="K1456" s="14"/>
      <c r="L1456" s="14"/>
      <c r="M1456" s="14"/>
      <c r="N1456" s="14"/>
      <c r="O1456" s="14"/>
      <c r="P1456" s="14"/>
      <c r="Q1456" s="14"/>
      <c r="R1456" s="14"/>
      <c r="S1456" s="14"/>
      <c r="T1456" s="14"/>
      <c r="U1456" s="14"/>
      <c r="V1456" s="14"/>
      <c r="W1456" s="14"/>
      <c r="X1456" s="14"/>
      <c r="Y1456" s="14"/>
      <c r="Z1456" s="14"/>
      <c r="AA1456" s="14"/>
      <c r="AB1456" s="14"/>
      <c r="AC1456" s="14"/>
      <c r="AD1456" s="14"/>
      <c r="AE1456" s="14"/>
      <c r="AF1456" s="14"/>
      <c r="AG1456" s="14"/>
      <c r="AH1456" s="14"/>
      <c r="AI1456" s="14"/>
      <c r="AJ1456" s="14"/>
      <c r="AK1456" s="14"/>
      <c r="AL1456" s="14"/>
      <c r="AM1456" s="14"/>
    </row>
    <row r="1457" spans="1:39" x14ac:dyDescent="0.3">
      <c r="A1457" s="14"/>
      <c r="B1457" s="14"/>
      <c r="C1457" s="14"/>
      <c r="D1457" s="14"/>
      <c r="E1457" s="14"/>
      <c r="F1457" s="14"/>
      <c r="G1457" s="14"/>
      <c r="H1457" s="14"/>
      <c r="I1457" s="14"/>
      <c r="J1457" s="14"/>
      <c r="K1457" s="14"/>
      <c r="L1457" s="14"/>
      <c r="M1457" s="14"/>
      <c r="N1457" s="14"/>
      <c r="O1457" s="14"/>
      <c r="P1457" s="14"/>
      <c r="Q1457" s="14"/>
      <c r="R1457" s="14"/>
      <c r="S1457" s="14"/>
      <c r="T1457" s="14"/>
      <c r="U1457" s="14"/>
      <c r="V1457" s="14"/>
      <c r="W1457" s="14"/>
      <c r="X1457" s="14"/>
      <c r="Y1457" s="14"/>
      <c r="Z1457" s="14"/>
      <c r="AA1457" s="14"/>
      <c r="AB1457" s="14"/>
      <c r="AC1457" s="14"/>
      <c r="AD1457" s="14"/>
      <c r="AE1457" s="14"/>
      <c r="AF1457" s="14"/>
      <c r="AG1457" s="14"/>
      <c r="AH1457" s="14"/>
      <c r="AI1457" s="14"/>
      <c r="AJ1457" s="14"/>
      <c r="AK1457" s="14"/>
      <c r="AL1457" s="14"/>
      <c r="AM1457" s="14"/>
    </row>
    <row r="1458" spans="1:39" x14ac:dyDescent="0.3">
      <c r="A1458" s="14"/>
      <c r="B1458" s="14"/>
      <c r="C1458" s="14"/>
      <c r="D1458" s="14"/>
      <c r="E1458" s="14"/>
      <c r="F1458" s="14"/>
      <c r="G1458" s="14"/>
      <c r="H1458" s="14"/>
      <c r="I1458" s="14"/>
      <c r="J1458" s="14"/>
      <c r="K1458" s="14"/>
      <c r="L1458" s="14"/>
      <c r="M1458" s="14"/>
      <c r="N1458" s="14"/>
      <c r="O1458" s="14"/>
      <c r="P1458" s="14"/>
      <c r="Q1458" s="14"/>
      <c r="R1458" s="14"/>
      <c r="S1458" s="14"/>
      <c r="T1458" s="14"/>
      <c r="U1458" s="14"/>
      <c r="V1458" s="14"/>
      <c r="W1458" s="14"/>
      <c r="X1458" s="14"/>
      <c r="Y1458" s="14"/>
      <c r="Z1458" s="14"/>
      <c r="AA1458" s="14"/>
      <c r="AB1458" s="14"/>
      <c r="AC1458" s="14"/>
      <c r="AD1458" s="14"/>
      <c r="AE1458" s="14"/>
      <c r="AF1458" s="14"/>
      <c r="AG1458" s="14"/>
      <c r="AH1458" s="14"/>
      <c r="AI1458" s="14"/>
      <c r="AJ1458" s="14"/>
      <c r="AK1458" s="14"/>
      <c r="AL1458" s="14"/>
      <c r="AM1458" s="14"/>
    </row>
    <row r="1459" spans="1:39" x14ac:dyDescent="0.3">
      <c r="A1459" s="14"/>
      <c r="B1459" s="14"/>
      <c r="C1459" s="14"/>
      <c r="D1459" s="14"/>
      <c r="E1459" s="14"/>
      <c r="F1459" s="14"/>
      <c r="G1459" s="14"/>
      <c r="H1459" s="14"/>
      <c r="I1459" s="14"/>
      <c r="J1459" s="14"/>
      <c r="K1459" s="14"/>
      <c r="L1459" s="14"/>
      <c r="M1459" s="14"/>
      <c r="N1459" s="14"/>
      <c r="O1459" s="14"/>
      <c r="P1459" s="14"/>
      <c r="Q1459" s="14"/>
      <c r="R1459" s="14"/>
      <c r="S1459" s="14"/>
      <c r="T1459" s="14"/>
      <c r="U1459" s="14"/>
      <c r="V1459" s="14"/>
      <c r="W1459" s="14"/>
      <c r="X1459" s="14"/>
      <c r="Y1459" s="14"/>
      <c r="Z1459" s="14"/>
      <c r="AA1459" s="14"/>
      <c r="AB1459" s="14"/>
      <c r="AC1459" s="14"/>
      <c r="AD1459" s="14"/>
      <c r="AE1459" s="14"/>
      <c r="AF1459" s="14"/>
      <c r="AG1459" s="14"/>
      <c r="AH1459" s="14"/>
      <c r="AI1459" s="14"/>
      <c r="AJ1459" s="14"/>
      <c r="AK1459" s="14"/>
      <c r="AL1459" s="14"/>
      <c r="AM1459" s="14"/>
    </row>
    <row r="1460" spans="1:39" x14ac:dyDescent="0.3">
      <c r="A1460" s="14"/>
      <c r="B1460" s="14"/>
      <c r="C1460" s="14"/>
      <c r="D1460" s="14"/>
      <c r="E1460" s="14"/>
      <c r="F1460" s="14"/>
      <c r="G1460" s="14"/>
      <c r="H1460" s="14"/>
      <c r="I1460" s="14"/>
      <c r="J1460" s="14"/>
      <c r="K1460" s="14"/>
      <c r="L1460" s="14"/>
      <c r="M1460" s="14"/>
      <c r="N1460" s="14"/>
      <c r="O1460" s="14"/>
      <c r="P1460" s="14"/>
      <c r="Q1460" s="14"/>
      <c r="R1460" s="14"/>
      <c r="S1460" s="14"/>
      <c r="T1460" s="14"/>
      <c r="U1460" s="14"/>
      <c r="V1460" s="14"/>
      <c r="W1460" s="14"/>
      <c r="X1460" s="14"/>
      <c r="Y1460" s="14"/>
      <c r="Z1460" s="14"/>
      <c r="AA1460" s="14"/>
      <c r="AB1460" s="14"/>
      <c r="AC1460" s="14"/>
      <c r="AD1460" s="14"/>
      <c r="AE1460" s="14"/>
      <c r="AF1460" s="14"/>
      <c r="AG1460" s="14"/>
      <c r="AH1460" s="14"/>
      <c r="AI1460" s="14"/>
      <c r="AJ1460" s="14"/>
      <c r="AK1460" s="14"/>
      <c r="AL1460" s="14"/>
      <c r="AM1460" s="14"/>
    </row>
    <row r="1461" spans="1:39" x14ac:dyDescent="0.3">
      <c r="A1461" s="14"/>
      <c r="B1461" s="14"/>
      <c r="C1461" s="14"/>
      <c r="D1461" s="14"/>
      <c r="E1461" s="14"/>
      <c r="F1461" s="14"/>
      <c r="G1461" s="14"/>
      <c r="H1461" s="14"/>
      <c r="I1461" s="14"/>
      <c r="J1461" s="14"/>
      <c r="K1461" s="14"/>
      <c r="L1461" s="14"/>
      <c r="M1461" s="14"/>
      <c r="N1461" s="14"/>
      <c r="O1461" s="14"/>
      <c r="P1461" s="14"/>
      <c r="Q1461" s="14"/>
      <c r="R1461" s="14"/>
      <c r="S1461" s="14"/>
      <c r="T1461" s="14"/>
      <c r="U1461" s="14"/>
      <c r="V1461" s="14"/>
      <c r="W1461" s="14"/>
      <c r="X1461" s="14"/>
      <c r="Y1461" s="14"/>
      <c r="Z1461" s="14"/>
      <c r="AA1461" s="14"/>
      <c r="AB1461" s="14"/>
      <c r="AC1461" s="14"/>
      <c r="AD1461" s="14"/>
      <c r="AE1461" s="14"/>
      <c r="AF1461" s="14"/>
      <c r="AG1461" s="14"/>
      <c r="AH1461" s="14"/>
      <c r="AI1461" s="14"/>
      <c r="AJ1461" s="14"/>
      <c r="AK1461" s="14"/>
      <c r="AL1461" s="14"/>
      <c r="AM1461" s="14"/>
    </row>
    <row r="1462" spans="1:39" x14ac:dyDescent="0.3">
      <c r="A1462" s="14"/>
      <c r="B1462" s="14"/>
      <c r="C1462" s="14"/>
      <c r="D1462" s="14"/>
      <c r="E1462" s="14"/>
      <c r="F1462" s="14"/>
      <c r="G1462" s="14"/>
      <c r="H1462" s="14"/>
      <c r="I1462" s="14"/>
      <c r="J1462" s="14"/>
      <c r="K1462" s="14"/>
      <c r="L1462" s="14"/>
      <c r="M1462" s="14"/>
      <c r="N1462" s="14"/>
      <c r="O1462" s="14"/>
      <c r="P1462" s="14"/>
      <c r="Q1462" s="14"/>
      <c r="R1462" s="14"/>
      <c r="S1462" s="14"/>
      <c r="T1462" s="14"/>
      <c r="U1462" s="14"/>
      <c r="V1462" s="14"/>
      <c r="W1462" s="14"/>
      <c r="X1462" s="14"/>
      <c r="Y1462" s="14"/>
      <c r="Z1462" s="14"/>
      <c r="AA1462" s="14"/>
      <c r="AB1462" s="14"/>
      <c r="AC1462" s="14"/>
      <c r="AD1462" s="14"/>
      <c r="AE1462" s="14"/>
      <c r="AF1462" s="14"/>
      <c r="AG1462" s="14"/>
      <c r="AH1462" s="14"/>
      <c r="AI1462" s="14"/>
      <c r="AJ1462" s="14"/>
      <c r="AK1462" s="14"/>
      <c r="AL1462" s="14"/>
      <c r="AM1462" s="14"/>
    </row>
    <row r="1463" spans="1:39" x14ac:dyDescent="0.3">
      <c r="A1463" s="14"/>
      <c r="B1463" s="14"/>
      <c r="C1463" s="14"/>
      <c r="D1463" s="14"/>
      <c r="E1463" s="14"/>
      <c r="F1463" s="14"/>
      <c r="G1463" s="14"/>
      <c r="H1463" s="14"/>
      <c r="I1463" s="14"/>
      <c r="J1463" s="14"/>
      <c r="K1463" s="14"/>
      <c r="L1463" s="14"/>
      <c r="M1463" s="14"/>
      <c r="N1463" s="14"/>
      <c r="O1463" s="14"/>
      <c r="P1463" s="14"/>
      <c r="Q1463" s="14"/>
      <c r="R1463" s="14"/>
      <c r="S1463" s="14"/>
      <c r="T1463" s="14"/>
      <c r="U1463" s="14"/>
      <c r="V1463" s="14"/>
      <c r="W1463" s="14"/>
      <c r="X1463" s="14"/>
      <c r="Y1463" s="14"/>
      <c r="Z1463" s="14"/>
      <c r="AA1463" s="14"/>
      <c r="AB1463" s="14"/>
      <c r="AC1463" s="14"/>
      <c r="AD1463" s="14"/>
      <c r="AE1463" s="14"/>
      <c r="AF1463" s="14"/>
      <c r="AG1463" s="14"/>
      <c r="AH1463" s="14"/>
      <c r="AI1463" s="14"/>
      <c r="AJ1463" s="14"/>
      <c r="AK1463" s="14"/>
      <c r="AL1463" s="14"/>
      <c r="AM1463" s="14"/>
    </row>
    <row r="1464" spans="1:39" x14ac:dyDescent="0.3">
      <c r="A1464" s="14"/>
      <c r="B1464" s="14"/>
      <c r="C1464" s="14"/>
      <c r="D1464" s="14"/>
      <c r="E1464" s="14"/>
      <c r="F1464" s="14"/>
      <c r="G1464" s="14"/>
      <c r="H1464" s="14"/>
      <c r="I1464" s="14"/>
      <c r="J1464" s="14"/>
      <c r="K1464" s="14"/>
      <c r="L1464" s="14"/>
      <c r="M1464" s="14"/>
      <c r="N1464" s="14"/>
      <c r="O1464" s="14"/>
      <c r="P1464" s="14"/>
      <c r="Q1464" s="14"/>
      <c r="R1464" s="14"/>
      <c r="S1464" s="14"/>
      <c r="T1464" s="14"/>
      <c r="U1464" s="14"/>
      <c r="V1464" s="14"/>
      <c r="W1464" s="14"/>
      <c r="X1464" s="14"/>
      <c r="Y1464" s="14"/>
      <c r="Z1464" s="14"/>
      <c r="AA1464" s="14"/>
      <c r="AB1464" s="14"/>
      <c r="AC1464" s="14"/>
      <c r="AD1464" s="14"/>
      <c r="AE1464" s="14"/>
      <c r="AF1464" s="14"/>
      <c r="AG1464" s="14"/>
      <c r="AH1464" s="14"/>
      <c r="AI1464" s="14"/>
      <c r="AJ1464" s="14"/>
      <c r="AK1464" s="14"/>
      <c r="AL1464" s="14"/>
      <c r="AM1464" s="14"/>
    </row>
    <row r="1465" spans="1:39" x14ac:dyDescent="0.3">
      <c r="A1465" s="14"/>
      <c r="B1465" s="14"/>
      <c r="C1465" s="14"/>
      <c r="D1465" s="14"/>
      <c r="E1465" s="14"/>
      <c r="F1465" s="14"/>
      <c r="G1465" s="14"/>
      <c r="H1465" s="14"/>
      <c r="I1465" s="14"/>
      <c r="J1465" s="14"/>
      <c r="K1465" s="14"/>
      <c r="L1465" s="14"/>
      <c r="M1465" s="14"/>
      <c r="N1465" s="14"/>
      <c r="O1465" s="14"/>
      <c r="P1465" s="14"/>
      <c r="Q1465" s="14"/>
      <c r="R1465" s="14"/>
      <c r="S1465" s="14"/>
      <c r="T1465" s="14"/>
      <c r="U1465" s="14"/>
      <c r="V1465" s="14"/>
      <c r="W1465" s="14"/>
      <c r="X1465" s="14"/>
      <c r="Y1465" s="14"/>
      <c r="Z1465" s="14"/>
      <c r="AA1465" s="14"/>
      <c r="AB1465" s="14"/>
      <c r="AC1465" s="14"/>
      <c r="AD1465" s="14"/>
      <c r="AE1465" s="14"/>
      <c r="AF1465" s="14"/>
      <c r="AG1465" s="14"/>
      <c r="AH1465" s="14"/>
      <c r="AI1465" s="14"/>
      <c r="AJ1465" s="14"/>
      <c r="AK1465" s="14"/>
      <c r="AL1465" s="14"/>
      <c r="AM1465" s="14"/>
    </row>
    <row r="1466" spans="1:39" x14ac:dyDescent="0.3">
      <c r="A1466" s="14"/>
      <c r="B1466" s="14"/>
      <c r="C1466" s="14"/>
      <c r="D1466" s="14"/>
      <c r="E1466" s="14"/>
      <c r="F1466" s="14"/>
      <c r="G1466" s="14"/>
      <c r="H1466" s="14"/>
      <c r="I1466" s="14"/>
      <c r="J1466" s="14"/>
      <c r="K1466" s="14"/>
      <c r="L1466" s="14"/>
      <c r="M1466" s="14"/>
      <c r="N1466" s="14"/>
      <c r="O1466" s="14"/>
      <c r="P1466" s="14"/>
      <c r="Q1466" s="14"/>
      <c r="R1466" s="14"/>
      <c r="S1466" s="14"/>
      <c r="T1466" s="14"/>
      <c r="U1466" s="14"/>
      <c r="V1466" s="14"/>
      <c r="W1466" s="14"/>
      <c r="X1466" s="14"/>
      <c r="Y1466" s="14"/>
      <c r="Z1466" s="14"/>
      <c r="AA1466" s="14"/>
      <c r="AB1466" s="14"/>
      <c r="AC1466" s="14"/>
      <c r="AD1466" s="14"/>
      <c r="AE1466" s="14"/>
      <c r="AF1466" s="14"/>
      <c r="AG1466" s="14"/>
      <c r="AH1466" s="14"/>
      <c r="AI1466" s="14"/>
      <c r="AJ1466" s="14"/>
      <c r="AK1466" s="14"/>
      <c r="AL1466" s="14"/>
      <c r="AM1466" s="14"/>
    </row>
    <row r="1467" spans="1:39" x14ac:dyDescent="0.3">
      <c r="A1467" s="14"/>
      <c r="B1467" s="14"/>
      <c r="C1467" s="14"/>
      <c r="D1467" s="14"/>
      <c r="E1467" s="14"/>
      <c r="F1467" s="14"/>
      <c r="G1467" s="14"/>
      <c r="H1467" s="14"/>
      <c r="I1467" s="14"/>
      <c r="J1467" s="14"/>
      <c r="K1467" s="14"/>
      <c r="L1467" s="14"/>
      <c r="M1467" s="14"/>
      <c r="N1467" s="14"/>
      <c r="O1467" s="14"/>
      <c r="P1467" s="14"/>
      <c r="Q1467" s="14"/>
      <c r="R1467" s="14"/>
      <c r="S1467" s="14"/>
      <c r="T1467" s="14"/>
      <c r="U1467" s="14"/>
      <c r="V1467" s="14"/>
      <c r="W1467" s="14"/>
      <c r="X1467" s="14"/>
      <c r="Y1467" s="14"/>
      <c r="Z1467" s="14"/>
      <c r="AA1467" s="14"/>
      <c r="AB1467" s="14"/>
      <c r="AC1467" s="14"/>
      <c r="AD1467" s="14"/>
      <c r="AE1467" s="14"/>
      <c r="AF1467" s="14"/>
      <c r="AG1467" s="14"/>
      <c r="AH1467" s="14"/>
      <c r="AI1467" s="14"/>
      <c r="AJ1467" s="14"/>
      <c r="AK1467" s="14"/>
      <c r="AL1467" s="14"/>
      <c r="AM1467" s="14"/>
    </row>
    <row r="1468" spans="1:39" x14ac:dyDescent="0.3">
      <c r="A1468" s="14"/>
      <c r="B1468" s="14"/>
      <c r="C1468" s="14"/>
      <c r="D1468" s="14"/>
      <c r="E1468" s="14"/>
      <c r="F1468" s="14"/>
      <c r="G1468" s="14"/>
      <c r="H1468" s="14"/>
      <c r="I1468" s="14"/>
      <c r="J1468" s="14"/>
      <c r="K1468" s="14"/>
      <c r="L1468" s="14"/>
      <c r="M1468" s="14"/>
      <c r="N1468" s="14"/>
      <c r="O1468" s="14"/>
      <c r="P1468" s="14"/>
      <c r="Q1468" s="14"/>
      <c r="R1468" s="14"/>
      <c r="S1468" s="14"/>
      <c r="T1468" s="14"/>
      <c r="U1468" s="14"/>
      <c r="V1468" s="14"/>
      <c r="W1468" s="14"/>
      <c r="X1468" s="14"/>
      <c r="Y1468" s="14"/>
      <c r="Z1468" s="14"/>
      <c r="AA1468" s="14"/>
      <c r="AB1468" s="14"/>
      <c r="AC1468" s="14"/>
      <c r="AD1468" s="14"/>
      <c r="AE1468" s="14"/>
      <c r="AF1468" s="14"/>
      <c r="AG1468" s="14"/>
      <c r="AH1468" s="14"/>
      <c r="AI1468" s="14"/>
      <c r="AJ1468" s="14"/>
      <c r="AK1468" s="14"/>
      <c r="AL1468" s="14"/>
      <c r="AM1468" s="14"/>
    </row>
    <row r="1469" spans="1:39" x14ac:dyDescent="0.3">
      <c r="A1469" s="14"/>
      <c r="B1469" s="14"/>
      <c r="C1469" s="14"/>
      <c r="D1469" s="14"/>
      <c r="E1469" s="14"/>
      <c r="F1469" s="14"/>
      <c r="G1469" s="14"/>
      <c r="H1469" s="14"/>
      <c r="I1469" s="14"/>
      <c r="J1469" s="14"/>
      <c r="K1469" s="14"/>
      <c r="L1469" s="14"/>
      <c r="M1469" s="14"/>
      <c r="N1469" s="14"/>
      <c r="O1469" s="14"/>
      <c r="P1469" s="14"/>
      <c r="Q1469" s="14"/>
      <c r="R1469" s="14"/>
      <c r="S1469" s="14"/>
      <c r="T1469" s="14"/>
      <c r="U1469" s="14"/>
      <c r="V1469" s="14"/>
      <c r="W1469" s="14"/>
      <c r="X1469" s="14"/>
      <c r="Y1469" s="14"/>
      <c r="Z1469" s="14"/>
      <c r="AA1469" s="14"/>
      <c r="AB1469" s="14"/>
      <c r="AC1469" s="14"/>
      <c r="AD1469" s="14"/>
      <c r="AE1469" s="14"/>
      <c r="AF1469" s="14"/>
      <c r="AG1469" s="14"/>
      <c r="AH1469" s="14"/>
      <c r="AI1469" s="14"/>
      <c r="AJ1469" s="14"/>
      <c r="AK1469" s="14"/>
      <c r="AL1469" s="14"/>
      <c r="AM1469" s="14"/>
    </row>
    <row r="1470" spans="1:39" x14ac:dyDescent="0.3">
      <c r="A1470" s="14"/>
      <c r="B1470" s="14"/>
      <c r="C1470" s="14"/>
      <c r="D1470" s="14"/>
      <c r="E1470" s="14"/>
      <c r="F1470" s="14"/>
      <c r="G1470" s="14"/>
      <c r="H1470" s="14"/>
      <c r="I1470" s="14"/>
      <c r="J1470" s="14"/>
      <c r="K1470" s="14"/>
      <c r="L1470" s="14"/>
      <c r="M1470" s="14"/>
      <c r="N1470" s="14"/>
      <c r="O1470" s="14"/>
      <c r="P1470" s="14"/>
      <c r="Q1470" s="14"/>
      <c r="R1470" s="14"/>
      <c r="S1470" s="14"/>
      <c r="T1470" s="14"/>
      <c r="U1470" s="14"/>
      <c r="V1470" s="14"/>
      <c r="W1470" s="14"/>
      <c r="X1470" s="14"/>
      <c r="Y1470" s="14"/>
      <c r="Z1470" s="14"/>
      <c r="AA1470" s="14"/>
      <c r="AB1470" s="14"/>
      <c r="AC1470" s="14"/>
      <c r="AD1470" s="14"/>
      <c r="AE1470" s="14"/>
      <c r="AF1470" s="14"/>
      <c r="AG1470" s="14"/>
      <c r="AH1470" s="14"/>
      <c r="AI1470" s="14"/>
      <c r="AJ1470" s="14"/>
      <c r="AK1470" s="14"/>
      <c r="AL1470" s="14"/>
      <c r="AM1470" s="14"/>
    </row>
    <row r="1471" spans="1:39" x14ac:dyDescent="0.3">
      <c r="A1471" s="14"/>
      <c r="B1471" s="14"/>
      <c r="C1471" s="14"/>
      <c r="D1471" s="14"/>
      <c r="E1471" s="14"/>
      <c r="F1471" s="14"/>
      <c r="G1471" s="14"/>
      <c r="H1471" s="14"/>
      <c r="I1471" s="14"/>
      <c r="J1471" s="14"/>
      <c r="K1471" s="14"/>
      <c r="L1471" s="14"/>
      <c r="M1471" s="14"/>
      <c r="N1471" s="14"/>
      <c r="O1471" s="14"/>
      <c r="P1471" s="14"/>
      <c r="Q1471" s="14"/>
      <c r="R1471" s="14"/>
      <c r="S1471" s="14"/>
      <c r="T1471" s="14"/>
      <c r="U1471" s="14"/>
      <c r="V1471" s="14"/>
      <c r="W1471" s="14"/>
      <c r="X1471" s="14"/>
      <c r="Y1471" s="14"/>
      <c r="Z1471" s="14"/>
      <c r="AA1471" s="14"/>
      <c r="AB1471" s="14"/>
      <c r="AC1471" s="14"/>
      <c r="AD1471" s="14"/>
      <c r="AE1471" s="14"/>
      <c r="AF1471" s="14"/>
      <c r="AG1471" s="14"/>
      <c r="AH1471" s="14"/>
      <c r="AI1471" s="14"/>
      <c r="AJ1471" s="14"/>
      <c r="AK1471" s="14"/>
      <c r="AL1471" s="14"/>
      <c r="AM1471" s="14"/>
    </row>
    <row r="1472" spans="1:39" x14ac:dyDescent="0.3">
      <c r="A1472" s="14"/>
      <c r="B1472" s="14"/>
      <c r="C1472" s="14"/>
      <c r="D1472" s="14"/>
      <c r="E1472" s="14"/>
      <c r="F1472" s="14"/>
      <c r="G1472" s="14"/>
      <c r="H1472" s="14"/>
      <c r="I1472" s="14"/>
      <c r="J1472" s="14"/>
      <c r="K1472" s="14"/>
      <c r="L1472" s="14"/>
      <c r="M1472" s="14"/>
      <c r="N1472" s="14"/>
      <c r="O1472" s="14"/>
      <c r="P1472" s="14"/>
      <c r="Q1472" s="14"/>
      <c r="R1472" s="14"/>
      <c r="S1472" s="14"/>
      <c r="T1472" s="14"/>
      <c r="U1472" s="14"/>
      <c r="V1472" s="14"/>
      <c r="W1472" s="14"/>
      <c r="X1472" s="14"/>
      <c r="Y1472" s="14"/>
      <c r="Z1472" s="14"/>
      <c r="AA1472" s="14"/>
      <c r="AB1472" s="14"/>
      <c r="AC1472" s="14"/>
      <c r="AD1472" s="14"/>
      <c r="AE1472" s="14"/>
      <c r="AF1472" s="14"/>
      <c r="AG1472" s="14"/>
      <c r="AH1472" s="14"/>
      <c r="AI1472" s="14"/>
      <c r="AJ1472" s="14"/>
      <c r="AK1472" s="14"/>
      <c r="AL1472" s="14"/>
      <c r="AM1472" s="14"/>
    </row>
    <row r="1473" spans="1:39" x14ac:dyDescent="0.3">
      <c r="A1473" s="14"/>
      <c r="B1473" s="14"/>
      <c r="C1473" s="14"/>
      <c r="D1473" s="14"/>
      <c r="E1473" s="14"/>
      <c r="F1473" s="14"/>
      <c r="G1473" s="14"/>
      <c r="H1473" s="14"/>
      <c r="I1473" s="14"/>
      <c r="J1473" s="14"/>
      <c r="K1473" s="14"/>
      <c r="L1473" s="14"/>
      <c r="M1473" s="14"/>
      <c r="N1473" s="14"/>
      <c r="O1473" s="14"/>
      <c r="P1473" s="14"/>
      <c r="Q1473" s="14"/>
      <c r="R1473" s="14"/>
      <c r="S1473" s="14"/>
      <c r="T1473" s="14"/>
      <c r="U1473" s="14"/>
      <c r="V1473" s="14"/>
      <c r="W1473" s="14"/>
      <c r="X1473" s="14"/>
      <c r="Y1473" s="14"/>
      <c r="Z1473" s="14"/>
      <c r="AA1473" s="14"/>
      <c r="AB1473" s="14"/>
      <c r="AC1473" s="14"/>
      <c r="AD1473" s="14"/>
      <c r="AE1473" s="14"/>
      <c r="AF1473" s="14"/>
      <c r="AG1473" s="14"/>
      <c r="AH1473" s="14"/>
      <c r="AI1473" s="14"/>
      <c r="AJ1473" s="14"/>
      <c r="AK1473" s="14"/>
      <c r="AL1473" s="14"/>
      <c r="AM1473" s="14"/>
    </row>
    <row r="1474" spans="1:39" x14ac:dyDescent="0.3">
      <c r="A1474" s="14"/>
      <c r="B1474" s="14"/>
      <c r="C1474" s="14"/>
      <c r="D1474" s="14"/>
      <c r="E1474" s="14"/>
      <c r="F1474" s="14"/>
      <c r="G1474" s="14"/>
      <c r="H1474" s="14"/>
      <c r="I1474" s="14"/>
      <c r="J1474" s="14"/>
      <c r="K1474" s="14"/>
      <c r="L1474" s="14"/>
      <c r="M1474" s="14"/>
      <c r="N1474" s="14"/>
      <c r="O1474" s="14"/>
      <c r="P1474" s="14"/>
      <c r="Q1474" s="14"/>
      <c r="R1474" s="14"/>
      <c r="S1474" s="14"/>
      <c r="T1474" s="14"/>
      <c r="U1474" s="14"/>
      <c r="V1474" s="14"/>
      <c r="W1474" s="14"/>
      <c r="X1474" s="14"/>
      <c r="Y1474" s="14"/>
      <c r="Z1474" s="14"/>
      <c r="AA1474" s="14"/>
      <c r="AB1474" s="14"/>
      <c r="AC1474" s="14"/>
      <c r="AD1474" s="14"/>
      <c r="AE1474" s="14"/>
      <c r="AF1474" s="14"/>
      <c r="AG1474" s="14"/>
      <c r="AH1474" s="14"/>
      <c r="AI1474" s="14"/>
      <c r="AJ1474" s="14"/>
      <c r="AK1474" s="14"/>
      <c r="AL1474" s="14"/>
      <c r="AM1474" s="14"/>
    </row>
    <row r="1475" spans="1:39" x14ac:dyDescent="0.3">
      <c r="A1475" s="14"/>
      <c r="B1475" s="14"/>
      <c r="C1475" s="14"/>
      <c r="D1475" s="14"/>
      <c r="E1475" s="14"/>
      <c r="F1475" s="14"/>
      <c r="G1475" s="14"/>
      <c r="H1475" s="14"/>
      <c r="I1475" s="14"/>
      <c r="J1475" s="14"/>
      <c r="K1475" s="14"/>
      <c r="L1475" s="14"/>
      <c r="M1475" s="14"/>
      <c r="N1475" s="14"/>
      <c r="O1475" s="14"/>
      <c r="P1475" s="14"/>
      <c r="Q1475" s="14"/>
      <c r="R1475" s="14"/>
      <c r="S1475" s="14"/>
      <c r="T1475" s="14"/>
      <c r="U1475" s="14"/>
      <c r="V1475" s="14"/>
      <c r="W1475" s="14"/>
      <c r="X1475" s="14"/>
      <c r="Y1475" s="14"/>
      <c r="Z1475" s="14"/>
      <c r="AA1475" s="14"/>
      <c r="AB1475" s="14"/>
      <c r="AC1475" s="14"/>
      <c r="AD1475" s="14"/>
      <c r="AE1475" s="14"/>
      <c r="AF1475" s="14"/>
      <c r="AG1475" s="14"/>
      <c r="AH1475" s="14"/>
      <c r="AI1475" s="14"/>
      <c r="AJ1475" s="14"/>
      <c r="AK1475" s="14"/>
      <c r="AL1475" s="14"/>
      <c r="AM1475" s="14"/>
    </row>
    <row r="1476" spans="1:39" x14ac:dyDescent="0.3">
      <c r="A1476" s="14"/>
      <c r="B1476" s="14"/>
      <c r="C1476" s="14"/>
      <c r="D1476" s="14"/>
      <c r="E1476" s="14"/>
      <c r="F1476" s="14"/>
      <c r="G1476" s="14"/>
      <c r="H1476" s="14"/>
      <c r="I1476" s="14"/>
      <c r="J1476" s="14"/>
      <c r="K1476" s="14"/>
      <c r="L1476" s="14"/>
      <c r="M1476" s="14"/>
      <c r="N1476" s="14"/>
      <c r="O1476" s="14"/>
      <c r="P1476" s="14"/>
      <c r="Q1476" s="14"/>
      <c r="R1476" s="14"/>
      <c r="S1476" s="14"/>
      <c r="T1476" s="14"/>
      <c r="U1476" s="14"/>
      <c r="V1476" s="14"/>
      <c r="W1476" s="14"/>
      <c r="X1476" s="14"/>
      <c r="Y1476" s="14"/>
      <c r="Z1476" s="14"/>
      <c r="AA1476" s="14"/>
      <c r="AB1476" s="14"/>
      <c r="AC1476" s="14"/>
      <c r="AD1476" s="14"/>
      <c r="AE1476" s="14"/>
      <c r="AF1476" s="14"/>
      <c r="AG1476" s="14"/>
      <c r="AH1476" s="14"/>
      <c r="AI1476" s="14"/>
      <c r="AJ1476" s="14"/>
      <c r="AK1476" s="14"/>
      <c r="AL1476" s="14"/>
      <c r="AM1476" s="14"/>
    </row>
    <row r="1477" spans="1:39" x14ac:dyDescent="0.3">
      <c r="A1477" s="14"/>
      <c r="B1477" s="14"/>
      <c r="C1477" s="14"/>
      <c r="D1477" s="14"/>
      <c r="E1477" s="14"/>
      <c r="F1477" s="14"/>
      <c r="G1477" s="14"/>
      <c r="H1477" s="14"/>
      <c r="I1477" s="14"/>
      <c r="J1477" s="14"/>
      <c r="K1477" s="14"/>
      <c r="L1477" s="14"/>
      <c r="M1477" s="14"/>
      <c r="N1477" s="14"/>
      <c r="O1477" s="14"/>
      <c r="P1477" s="14"/>
      <c r="Q1477" s="14"/>
      <c r="R1477" s="14"/>
      <c r="S1477" s="14"/>
      <c r="T1477" s="14"/>
      <c r="U1477" s="14"/>
      <c r="V1477" s="14"/>
      <c r="W1477" s="14"/>
      <c r="X1477" s="14"/>
      <c r="Y1477" s="14"/>
      <c r="Z1477" s="14"/>
      <c r="AA1477" s="14"/>
      <c r="AB1477" s="14"/>
      <c r="AC1477" s="14"/>
      <c r="AD1477" s="14"/>
      <c r="AE1477" s="14"/>
      <c r="AF1477" s="14"/>
      <c r="AG1477" s="14"/>
      <c r="AH1477" s="14"/>
      <c r="AI1477" s="14"/>
      <c r="AJ1477" s="14"/>
      <c r="AK1477" s="14"/>
      <c r="AL1477" s="14"/>
      <c r="AM1477" s="14"/>
    </row>
    <row r="1478" spans="1:39" x14ac:dyDescent="0.3">
      <c r="A1478" s="14"/>
      <c r="B1478" s="14"/>
      <c r="C1478" s="14"/>
      <c r="D1478" s="14"/>
      <c r="E1478" s="14"/>
      <c r="F1478" s="14"/>
      <c r="G1478" s="14"/>
      <c r="H1478" s="14"/>
      <c r="I1478" s="14"/>
      <c r="J1478" s="14"/>
      <c r="K1478" s="14"/>
      <c r="L1478" s="14"/>
      <c r="M1478" s="14"/>
      <c r="N1478" s="14"/>
      <c r="O1478" s="14"/>
      <c r="P1478" s="14"/>
      <c r="Q1478" s="14"/>
      <c r="R1478" s="14"/>
      <c r="S1478" s="14"/>
      <c r="T1478" s="14"/>
      <c r="U1478" s="14"/>
      <c r="V1478" s="14"/>
      <c r="W1478" s="14"/>
      <c r="X1478" s="14"/>
      <c r="Y1478" s="14"/>
      <c r="Z1478" s="14"/>
      <c r="AA1478" s="14"/>
      <c r="AB1478" s="14"/>
      <c r="AC1478" s="14"/>
      <c r="AD1478" s="14"/>
      <c r="AE1478" s="14"/>
      <c r="AF1478" s="14"/>
      <c r="AG1478" s="14"/>
      <c r="AH1478" s="14"/>
      <c r="AI1478" s="14"/>
      <c r="AJ1478" s="14"/>
      <c r="AK1478" s="14"/>
      <c r="AL1478" s="14"/>
      <c r="AM1478" s="14"/>
    </row>
    <row r="1479" spans="1:39" x14ac:dyDescent="0.3">
      <c r="A1479" s="14"/>
      <c r="B1479" s="14"/>
      <c r="C1479" s="14"/>
      <c r="D1479" s="14"/>
      <c r="E1479" s="14"/>
      <c r="F1479" s="14"/>
      <c r="G1479" s="14"/>
      <c r="H1479" s="14"/>
      <c r="I1479" s="14"/>
      <c r="J1479" s="14"/>
      <c r="K1479" s="14"/>
      <c r="L1479" s="14"/>
      <c r="M1479" s="14"/>
      <c r="N1479" s="14"/>
      <c r="O1479" s="14"/>
      <c r="P1479" s="14"/>
      <c r="Q1479" s="14"/>
      <c r="R1479" s="14"/>
      <c r="S1479" s="14"/>
      <c r="T1479" s="14"/>
      <c r="U1479" s="14"/>
      <c r="V1479" s="14"/>
      <c r="W1479" s="14"/>
      <c r="X1479" s="14"/>
      <c r="Y1479" s="14"/>
      <c r="Z1479" s="14"/>
      <c r="AA1479" s="14"/>
      <c r="AB1479" s="14"/>
      <c r="AC1479" s="14"/>
      <c r="AD1479" s="14"/>
      <c r="AE1479" s="14"/>
      <c r="AF1479" s="14"/>
      <c r="AG1479" s="14"/>
      <c r="AH1479" s="14"/>
      <c r="AI1479" s="14"/>
      <c r="AJ1479" s="14"/>
      <c r="AK1479" s="14"/>
      <c r="AL1479" s="14"/>
      <c r="AM1479" s="14"/>
    </row>
    <row r="1480" spans="1:39" x14ac:dyDescent="0.3">
      <c r="A1480" s="14"/>
      <c r="B1480" s="14"/>
      <c r="C1480" s="14"/>
      <c r="D1480" s="14"/>
      <c r="E1480" s="14"/>
      <c r="F1480" s="14"/>
      <c r="G1480" s="14"/>
      <c r="H1480" s="14"/>
      <c r="I1480" s="14"/>
      <c r="J1480" s="14"/>
      <c r="K1480" s="14"/>
      <c r="L1480" s="14"/>
      <c r="M1480" s="14"/>
      <c r="N1480" s="14"/>
      <c r="O1480" s="14"/>
      <c r="P1480" s="14"/>
      <c r="Q1480" s="14"/>
      <c r="R1480" s="14"/>
      <c r="S1480" s="14"/>
      <c r="T1480" s="14"/>
      <c r="U1480" s="14"/>
      <c r="V1480" s="14"/>
      <c r="W1480" s="14"/>
      <c r="X1480" s="14"/>
      <c r="Y1480" s="14"/>
      <c r="Z1480" s="14"/>
      <c r="AA1480" s="14"/>
      <c r="AB1480" s="14"/>
      <c r="AC1480" s="14"/>
      <c r="AD1480" s="14"/>
      <c r="AE1480" s="14"/>
      <c r="AF1480" s="14"/>
      <c r="AG1480" s="14"/>
      <c r="AH1480" s="14"/>
      <c r="AI1480" s="14"/>
      <c r="AJ1480" s="14"/>
      <c r="AK1480" s="14"/>
      <c r="AL1480" s="14"/>
      <c r="AM1480" s="14"/>
    </row>
    <row r="1481" spans="1:39" x14ac:dyDescent="0.3">
      <c r="A1481" s="14"/>
      <c r="B1481" s="14"/>
      <c r="C1481" s="14"/>
      <c r="D1481" s="14"/>
      <c r="E1481" s="14"/>
      <c r="F1481" s="14"/>
      <c r="G1481" s="14"/>
      <c r="H1481" s="14"/>
      <c r="I1481" s="14"/>
      <c r="J1481" s="14"/>
      <c r="K1481" s="14"/>
      <c r="L1481" s="14"/>
      <c r="M1481" s="14"/>
      <c r="N1481" s="14"/>
      <c r="O1481" s="14"/>
      <c r="P1481" s="14"/>
      <c r="Q1481" s="14"/>
      <c r="R1481" s="14"/>
      <c r="S1481" s="14"/>
      <c r="T1481" s="14"/>
      <c r="U1481" s="14"/>
      <c r="V1481" s="14"/>
      <c r="W1481" s="14"/>
      <c r="X1481" s="14"/>
      <c r="Y1481" s="14"/>
      <c r="Z1481" s="14"/>
      <c r="AA1481" s="14"/>
      <c r="AB1481" s="14"/>
      <c r="AC1481" s="14"/>
      <c r="AD1481" s="14"/>
      <c r="AE1481" s="14"/>
      <c r="AF1481" s="14"/>
      <c r="AG1481" s="14"/>
      <c r="AH1481" s="14"/>
      <c r="AI1481" s="14"/>
      <c r="AJ1481" s="14"/>
      <c r="AK1481" s="14"/>
      <c r="AL1481" s="14"/>
      <c r="AM1481" s="14"/>
    </row>
    <row r="1482" spans="1:39" x14ac:dyDescent="0.3">
      <c r="A1482" s="14"/>
      <c r="B1482" s="14"/>
      <c r="C1482" s="14"/>
      <c r="D1482" s="14"/>
      <c r="E1482" s="14"/>
      <c r="F1482" s="14"/>
      <c r="G1482" s="14"/>
      <c r="H1482" s="14"/>
      <c r="I1482" s="14"/>
      <c r="J1482" s="14"/>
      <c r="K1482" s="14"/>
      <c r="L1482" s="14"/>
      <c r="M1482" s="14"/>
      <c r="N1482" s="14"/>
      <c r="O1482" s="14"/>
      <c r="P1482" s="14"/>
      <c r="Q1482" s="14"/>
      <c r="R1482" s="14"/>
      <c r="S1482" s="14"/>
      <c r="T1482" s="14"/>
      <c r="U1482" s="14"/>
      <c r="V1482" s="14"/>
      <c r="W1482" s="14"/>
      <c r="X1482" s="14"/>
      <c r="Y1482" s="14"/>
      <c r="Z1482" s="14"/>
      <c r="AA1482" s="14"/>
      <c r="AB1482" s="14"/>
      <c r="AC1482" s="14"/>
      <c r="AD1482" s="14"/>
      <c r="AE1482" s="14"/>
      <c r="AF1482" s="14"/>
      <c r="AG1482" s="14"/>
      <c r="AH1482" s="14"/>
      <c r="AI1482" s="14"/>
      <c r="AJ1482" s="14"/>
      <c r="AK1482" s="14"/>
      <c r="AL1482" s="14"/>
      <c r="AM1482" s="14"/>
    </row>
    <row r="1483" spans="1:39" x14ac:dyDescent="0.3">
      <c r="A1483" s="14"/>
      <c r="B1483" s="14"/>
      <c r="C1483" s="14"/>
      <c r="D1483" s="14"/>
      <c r="E1483" s="14"/>
      <c r="F1483" s="14"/>
      <c r="G1483" s="14"/>
      <c r="H1483" s="14"/>
      <c r="I1483" s="14"/>
      <c r="J1483" s="14"/>
      <c r="K1483" s="14"/>
      <c r="L1483" s="14"/>
      <c r="M1483" s="14"/>
      <c r="N1483" s="14"/>
      <c r="O1483" s="14"/>
      <c r="P1483" s="14"/>
      <c r="Q1483" s="14"/>
      <c r="R1483" s="14"/>
      <c r="S1483" s="14"/>
      <c r="T1483" s="14"/>
      <c r="U1483" s="14"/>
      <c r="V1483" s="14"/>
      <c r="W1483" s="14"/>
      <c r="X1483" s="14"/>
      <c r="Y1483" s="14"/>
      <c r="Z1483" s="14"/>
      <c r="AA1483" s="14"/>
      <c r="AB1483" s="14"/>
      <c r="AC1483" s="14"/>
      <c r="AD1483" s="14"/>
      <c r="AE1483" s="14"/>
      <c r="AF1483" s="14"/>
      <c r="AG1483" s="14"/>
      <c r="AH1483" s="14"/>
      <c r="AI1483" s="14"/>
      <c r="AJ1483" s="14"/>
      <c r="AK1483" s="14"/>
      <c r="AL1483" s="14"/>
      <c r="AM1483" s="14"/>
    </row>
    <row r="1484" spans="1:39" x14ac:dyDescent="0.3">
      <c r="A1484" s="14"/>
      <c r="B1484" s="14"/>
      <c r="C1484" s="14"/>
      <c r="D1484" s="14"/>
      <c r="E1484" s="14"/>
      <c r="F1484" s="14"/>
      <c r="G1484" s="14"/>
      <c r="H1484" s="14"/>
      <c r="I1484" s="14"/>
      <c r="J1484" s="14"/>
      <c r="K1484" s="14"/>
      <c r="L1484" s="14"/>
      <c r="M1484" s="14"/>
      <c r="N1484" s="14"/>
      <c r="O1484" s="14"/>
      <c r="P1484" s="14"/>
      <c r="Q1484" s="14"/>
      <c r="R1484" s="14"/>
      <c r="S1484" s="14"/>
      <c r="T1484" s="14"/>
      <c r="U1484" s="14"/>
      <c r="V1484" s="14"/>
      <c r="W1484" s="14"/>
      <c r="X1484" s="14"/>
      <c r="Y1484" s="14"/>
      <c r="Z1484" s="14"/>
      <c r="AA1484" s="14"/>
      <c r="AB1484" s="14"/>
      <c r="AC1484" s="14"/>
      <c r="AD1484" s="14"/>
      <c r="AE1484" s="14"/>
      <c r="AF1484" s="14"/>
      <c r="AG1484" s="14"/>
      <c r="AH1484" s="14"/>
      <c r="AI1484" s="14"/>
      <c r="AJ1484" s="14"/>
      <c r="AK1484" s="14"/>
      <c r="AL1484" s="14"/>
      <c r="AM1484" s="14"/>
    </row>
    <row r="1485" spans="1:39" x14ac:dyDescent="0.3">
      <c r="A1485" s="14"/>
      <c r="B1485" s="14"/>
      <c r="C1485" s="14"/>
      <c r="D1485" s="14"/>
      <c r="E1485" s="14"/>
      <c r="F1485" s="14"/>
      <c r="G1485" s="14"/>
      <c r="H1485" s="14"/>
      <c r="I1485" s="14"/>
      <c r="J1485" s="14"/>
      <c r="K1485" s="14"/>
      <c r="L1485" s="14"/>
      <c r="M1485" s="14"/>
      <c r="N1485" s="14"/>
      <c r="O1485" s="14"/>
      <c r="P1485" s="14"/>
      <c r="Q1485" s="14"/>
      <c r="R1485" s="14"/>
      <c r="S1485" s="14"/>
      <c r="T1485" s="14"/>
      <c r="U1485" s="14"/>
      <c r="V1485" s="14"/>
      <c r="W1485" s="14"/>
      <c r="X1485" s="14"/>
      <c r="Y1485" s="14"/>
      <c r="Z1485" s="14"/>
      <c r="AA1485" s="14"/>
      <c r="AB1485" s="14"/>
      <c r="AC1485" s="14"/>
      <c r="AD1485" s="14"/>
      <c r="AE1485" s="14"/>
      <c r="AF1485" s="14"/>
      <c r="AG1485" s="14"/>
      <c r="AH1485" s="14"/>
      <c r="AI1485" s="14"/>
      <c r="AJ1485" s="14"/>
      <c r="AK1485" s="14"/>
      <c r="AL1485" s="14"/>
      <c r="AM1485" s="14"/>
    </row>
    <row r="1486" spans="1:39" x14ac:dyDescent="0.3">
      <c r="A1486" s="14"/>
      <c r="B1486" s="14"/>
      <c r="C1486" s="14"/>
      <c r="D1486" s="14"/>
      <c r="E1486" s="14"/>
      <c r="F1486" s="14"/>
      <c r="G1486" s="14"/>
      <c r="H1486" s="14"/>
      <c r="I1486" s="14"/>
      <c r="J1486" s="14"/>
      <c r="K1486" s="14"/>
      <c r="L1486" s="14"/>
      <c r="M1486" s="14"/>
      <c r="N1486" s="14"/>
      <c r="O1486" s="14"/>
      <c r="P1486" s="14"/>
      <c r="Q1486" s="14"/>
      <c r="R1486" s="14"/>
      <c r="S1486" s="14"/>
      <c r="T1486" s="14"/>
      <c r="U1486" s="14"/>
      <c r="V1486" s="14"/>
      <c r="W1486" s="14"/>
      <c r="X1486" s="14"/>
      <c r="Y1486" s="14"/>
      <c r="Z1486" s="14"/>
      <c r="AA1486" s="14"/>
      <c r="AB1486" s="14"/>
      <c r="AC1486" s="14"/>
      <c r="AD1486" s="14"/>
      <c r="AE1486" s="14"/>
      <c r="AF1486" s="14"/>
      <c r="AG1486" s="14"/>
      <c r="AH1486" s="14"/>
      <c r="AI1486" s="14"/>
      <c r="AJ1486" s="14"/>
      <c r="AK1486" s="14"/>
      <c r="AL1486" s="14"/>
      <c r="AM1486" s="14"/>
    </row>
    <row r="1487" spans="1:39" x14ac:dyDescent="0.3">
      <c r="A1487" s="14"/>
      <c r="B1487" s="14"/>
      <c r="C1487" s="14"/>
      <c r="D1487" s="14"/>
      <c r="E1487" s="14"/>
      <c r="F1487" s="14"/>
      <c r="G1487" s="14"/>
      <c r="H1487" s="14"/>
      <c r="I1487" s="14"/>
      <c r="J1487" s="14"/>
      <c r="K1487" s="14"/>
      <c r="L1487" s="14"/>
      <c r="M1487" s="14"/>
      <c r="N1487" s="14"/>
      <c r="O1487" s="14"/>
      <c r="P1487" s="14"/>
      <c r="Q1487" s="14"/>
      <c r="R1487" s="14"/>
      <c r="S1487" s="14"/>
      <c r="T1487" s="14"/>
      <c r="U1487" s="14"/>
      <c r="V1487" s="14"/>
      <c r="W1487" s="14"/>
      <c r="X1487" s="14"/>
      <c r="Y1487" s="14"/>
      <c r="Z1487" s="14"/>
      <c r="AA1487" s="14"/>
      <c r="AB1487" s="14"/>
      <c r="AC1487" s="14"/>
      <c r="AD1487" s="14"/>
      <c r="AE1487" s="14"/>
      <c r="AF1487" s="14"/>
      <c r="AG1487" s="14"/>
      <c r="AH1487" s="14"/>
      <c r="AI1487" s="14"/>
      <c r="AJ1487" s="14"/>
      <c r="AK1487" s="14"/>
      <c r="AL1487" s="14"/>
      <c r="AM1487" s="14"/>
    </row>
    <row r="1488" spans="1:39" x14ac:dyDescent="0.3">
      <c r="A1488" s="14"/>
      <c r="B1488" s="14"/>
      <c r="C1488" s="14"/>
      <c r="D1488" s="14"/>
      <c r="E1488" s="14"/>
      <c r="F1488" s="14"/>
      <c r="G1488" s="14"/>
      <c r="H1488" s="14"/>
      <c r="I1488" s="14"/>
      <c r="J1488" s="14"/>
      <c r="K1488" s="14"/>
      <c r="L1488" s="14"/>
      <c r="M1488" s="14"/>
      <c r="N1488" s="14"/>
      <c r="O1488" s="14"/>
      <c r="P1488" s="14"/>
      <c r="Q1488" s="14"/>
      <c r="R1488" s="14"/>
      <c r="S1488" s="14"/>
      <c r="T1488" s="14"/>
      <c r="U1488" s="14"/>
      <c r="V1488" s="14"/>
      <c r="W1488" s="14"/>
      <c r="X1488" s="14"/>
      <c r="Y1488" s="14"/>
      <c r="Z1488" s="14"/>
      <c r="AA1488" s="14"/>
      <c r="AB1488" s="14"/>
      <c r="AC1488" s="14"/>
      <c r="AD1488" s="14"/>
      <c r="AE1488" s="14"/>
      <c r="AF1488" s="14"/>
      <c r="AG1488" s="14"/>
      <c r="AH1488" s="14"/>
      <c r="AI1488" s="14"/>
      <c r="AJ1488" s="14"/>
      <c r="AK1488" s="14"/>
      <c r="AL1488" s="14"/>
      <c r="AM1488" s="14"/>
    </row>
    <row r="1489" spans="1:39" x14ac:dyDescent="0.3">
      <c r="A1489" s="14"/>
      <c r="B1489" s="14"/>
      <c r="C1489" s="14"/>
      <c r="D1489" s="14"/>
      <c r="E1489" s="14"/>
      <c r="F1489" s="14"/>
      <c r="G1489" s="14"/>
      <c r="H1489" s="14"/>
      <c r="I1489" s="14"/>
      <c r="J1489" s="14"/>
      <c r="K1489" s="14"/>
      <c r="L1489" s="14"/>
      <c r="M1489" s="14"/>
      <c r="N1489" s="14"/>
      <c r="O1489" s="14"/>
      <c r="P1489" s="14"/>
      <c r="Q1489" s="14"/>
      <c r="R1489" s="14"/>
      <c r="S1489" s="14"/>
      <c r="T1489" s="14"/>
      <c r="U1489" s="14"/>
      <c r="V1489" s="14"/>
      <c r="W1489" s="14"/>
      <c r="X1489" s="14"/>
      <c r="Y1489" s="14"/>
      <c r="Z1489" s="14"/>
      <c r="AA1489" s="14"/>
      <c r="AB1489" s="14"/>
      <c r="AC1489" s="14"/>
      <c r="AD1489" s="14"/>
      <c r="AE1489" s="14"/>
      <c r="AF1489" s="14"/>
      <c r="AG1489" s="14"/>
      <c r="AH1489" s="14"/>
      <c r="AI1489" s="14"/>
      <c r="AJ1489" s="14"/>
      <c r="AK1489" s="14"/>
      <c r="AL1489" s="14"/>
      <c r="AM1489" s="14"/>
    </row>
    <row r="1490" spans="1:39" x14ac:dyDescent="0.3">
      <c r="A1490" s="14"/>
      <c r="B1490" s="14"/>
      <c r="C1490" s="14"/>
      <c r="D1490" s="14"/>
      <c r="E1490" s="14"/>
      <c r="F1490" s="14"/>
      <c r="G1490" s="14"/>
      <c r="H1490" s="14"/>
      <c r="I1490" s="14"/>
      <c r="J1490" s="14"/>
      <c r="K1490" s="14"/>
      <c r="L1490" s="14"/>
      <c r="M1490" s="14"/>
      <c r="N1490" s="14"/>
      <c r="O1490" s="14"/>
      <c r="P1490" s="14"/>
      <c r="Q1490" s="14"/>
      <c r="R1490" s="14"/>
      <c r="S1490" s="14"/>
      <c r="T1490" s="14"/>
      <c r="U1490" s="14"/>
      <c r="V1490" s="14"/>
      <c r="W1490" s="14"/>
      <c r="X1490" s="14"/>
      <c r="Y1490" s="14"/>
      <c r="Z1490" s="14"/>
      <c r="AA1490" s="14"/>
      <c r="AB1490" s="14"/>
      <c r="AC1490" s="14"/>
      <c r="AD1490" s="14"/>
      <c r="AE1490" s="14"/>
      <c r="AF1490" s="14"/>
      <c r="AG1490" s="14"/>
      <c r="AH1490" s="14"/>
      <c r="AI1490" s="14"/>
      <c r="AJ1490" s="14"/>
      <c r="AK1490" s="14"/>
      <c r="AL1490" s="14"/>
      <c r="AM1490" s="14"/>
    </row>
    <row r="1491" spans="1:39" x14ac:dyDescent="0.3">
      <c r="A1491" s="14"/>
      <c r="B1491" s="14"/>
      <c r="C1491" s="14"/>
      <c r="D1491" s="14"/>
      <c r="E1491" s="14"/>
      <c r="F1491" s="14"/>
      <c r="G1491" s="14"/>
      <c r="H1491" s="14"/>
      <c r="I1491" s="14"/>
      <c r="J1491" s="14"/>
      <c r="K1491" s="14"/>
      <c r="L1491" s="14"/>
      <c r="M1491" s="14"/>
      <c r="N1491" s="14"/>
      <c r="O1491" s="14"/>
      <c r="P1491" s="14"/>
      <c r="Q1491" s="14"/>
      <c r="R1491" s="14"/>
      <c r="S1491" s="14"/>
      <c r="T1491" s="14"/>
      <c r="U1491" s="14"/>
      <c r="V1491" s="14"/>
      <c r="W1491" s="14"/>
      <c r="X1491" s="14"/>
      <c r="Y1491" s="14"/>
      <c r="Z1491" s="14"/>
      <c r="AA1491" s="14"/>
      <c r="AB1491" s="14"/>
      <c r="AC1491" s="14"/>
      <c r="AD1491" s="14"/>
      <c r="AE1491" s="14"/>
      <c r="AF1491" s="14"/>
      <c r="AG1491" s="14"/>
      <c r="AH1491" s="14"/>
      <c r="AI1491" s="14"/>
      <c r="AJ1491" s="14"/>
      <c r="AK1491" s="14"/>
      <c r="AL1491" s="14"/>
      <c r="AM1491" s="14"/>
    </row>
    <row r="1492" spans="1:39" x14ac:dyDescent="0.3">
      <c r="A1492" s="14"/>
      <c r="B1492" s="14"/>
      <c r="C1492" s="14"/>
      <c r="D1492" s="14"/>
      <c r="E1492" s="14"/>
      <c r="F1492" s="14"/>
      <c r="G1492" s="14"/>
      <c r="H1492" s="14"/>
      <c r="I1492" s="14"/>
      <c r="J1492" s="14"/>
      <c r="K1492" s="14"/>
      <c r="L1492" s="14"/>
      <c r="M1492" s="14"/>
      <c r="N1492" s="14"/>
      <c r="O1492" s="14"/>
      <c r="P1492" s="14"/>
      <c r="Q1492" s="14"/>
      <c r="R1492" s="14"/>
      <c r="S1492" s="14"/>
      <c r="T1492" s="14"/>
      <c r="U1492" s="14"/>
      <c r="V1492" s="14"/>
      <c r="W1492" s="14"/>
      <c r="X1492" s="14"/>
      <c r="Y1492" s="14"/>
      <c r="Z1492" s="14"/>
      <c r="AA1492" s="14"/>
      <c r="AB1492" s="14"/>
      <c r="AC1492" s="14"/>
      <c r="AD1492" s="14"/>
      <c r="AE1492" s="14"/>
      <c r="AF1492" s="14"/>
      <c r="AG1492" s="14"/>
      <c r="AH1492" s="14"/>
      <c r="AI1492" s="14"/>
      <c r="AJ1492" s="14"/>
      <c r="AK1492" s="14"/>
      <c r="AL1492" s="14"/>
      <c r="AM1492" s="14"/>
    </row>
    <row r="1493" spans="1:39" x14ac:dyDescent="0.3">
      <c r="A1493" s="14"/>
      <c r="B1493" s="14"/>
      <c r="C1493" s="14"/>
      <c r="D1493" s="14"/>
      <c r="E1493" s="14"/>
      <c r="F1493" s="14"/>
      <c r="G1493" s="14"/>
      <c r="H1493" s="14"/>
      <c r="I1493" s="14"/>
      <c r="J1493" s="14"/>
      <c r="K1493" s="14"/>
      <c r="L1493" s="14"/>
      <c r="M1493" s="14"/>
      <c r="N1493" s="14"/>
      <c r="O1493" s="14"/>
      <c r="P1493" s="14"/>
      <c r="Q1493" s="14"/>
      <c r="R1493" s="14"/>
      <c r="S1493" s="14"/>
      <c r="T1493" s="14"/>
      <c r="U1493" s="14"/>
      <c r="V1493" s="14"/>
      <c r="W1493" s="14"/>
      <c r="X1493" s="14"/>
      <c r="Y1493" s="14"/>
      <c r="Z1493" s="14"/>
      <c r="AA1493" s="14"/>
      <c r="AB1493" s="14"/>
      <c r="AC1493" s="14"/>
      <c r="AD1493" s="14"/>
      <c r="AE1493" s="14"/>
      <c r="AF1493" s="14"/>
      <c r="AG1493" s="14"/>
      <c r="AH1493" s="14"/>
      <c r="AI1493" s="14"/>
      <c r="AJ1493" s="14"/>
      <c r="AK1493" s="14"/>
      <c r="AL1493" s="14"/>
      <c r="AM1493" s="14"/>
    </row>
    <row r="1494" spans="1:39" x14ac:dyDescent="0.3">
      <c r="A1494" s="14"/>
      <c r="B1494" s="14"/>
      <c r="C1494" s="14"/>
      <c r="D1494" s="14"/>
      <c r="E1494" s="14"/>
      <c r="F1494" s="14"/>
      <c r="G1494" s="14"/>
      <c r="H1494" s="14"/>
      <c r="I1494" s="14"/>
      <c r="J1494" s="14"/>
      <c r="K1494" s="14"/>
      <c r="L1494" s="14"/>
      <c r="M1494" s="14"/>
      <c r="N1494" s="14"/>
      <c r="O1494" s="14"/>
      <c r="P1494" s="14"/>
      <c r="Q1494" s="14"/>
      <c r="R1494" s="14"/>
      <c r="S1494" s="14"/>
      <c r="T1494" s="14"/>
      <c r="U1494" s="14"/>
      <c r="V1494" s="14"/>
      <c r="W1494" s="14"/>
      <c r="X1494" s="14"/>
      <c r="Y1494" s="14"/>
      <c r="Z1494" s="14"/>
      <c r="AA1494" s="14"/>
      <c r="AB1494" s="14"/>
      <c r="AC1494" s="14"/>
      <c r="AD1494" s="14"/>
      <c r="AE1494" s="14"/>
      <c r="AF1494" s="14"/>
      <c r="AG1494" s="14"/>
      <c r="AH1494" s="14"/>
      <c r="AI1494" s="14"/>
      <c r="AJ1494" s="14"/>
      <c r="AK1494" s="14"/>
      <c r="AL1494" s="14"/>
      <c r="AM1494" s="14"/>
    </row>
    <row r="1495" spans="1:39" x14ac:dyDescent="0.3">
      <c r="A1495" s="14"/>
      <c r="B1495" s="14"/>
      <c r="C1495" s="14"/>
      <c r="D1495" s="14"/>
      <c r="E1495" s="14"/>
      <c r="F1495" s="14"/>
      <c r="G1495" s="14"/>
      <c r="H1495" s="14"/>
      <c r="I1495" s="14"/>
      <c r="J1495" s="14"/>
      <c r="K1495" s="14"/>
      <c r="L1495" s="14"/>
      <c r="M1495" s="14"/>
      <c r="N1495" s="14"/>
      <c r="O1495" s="14"/>
      <c r="P1495" s="14"/>
      <c r="Q1495" s="14"/>
      <c r="R1495" s="14"/>
      <c r="S1495" s="14"/>
      <c r="T1495" s="14"/>
      <c r="U1495" s="14"/>
      <c r="V1495" s="14"/>
      <c r="W1495" s="14"/>
      <c r="X1495" s="14"/>
      <c r="Y1495" s="14"/>
      <c r="Z1495" s="14"/>
      <c r="AA1495" s="14"/>
      <c r="AB1495" s="14"/>
      <c r="AC1495" s="14"/>
      <c r="AD1495" s="14"/>
      <c r="AE1495" s="14"/>
      <c r="AF1495" s="14"/>
      <c r="AG1495" s="14"/>
      <c r="AH1495" s="14"/>
      <c r="AI1495" s="14"/>
      <c r="AJ1495" s="14"/>
      <c r="AK1495" s="14"/>
      <c r="AL1495" s="14"/>
      <c r="AM1495" s="14"/>
    </row>
    <row r="1496" spans="1:39" x14ac:dyDescent="0.3">
      <c r="A1496" s="14"/>
      <c r="B1496" s="14"/>
      <c r="C1496" s="14"/>
      <c r="D1496" s="14"/>
      <c r="E1496" s="14"/>
      <c r="F1496" s="14"/>
      <c r="G1496" s="14"/>
      <c r="H1496" s="14"/>
      <c r="I1496" s="14"/>
      <c r="J1496" s="14"/>
      <c r="K1496" s="14"/>
      <c r="L1496" s="14"/>
      <c r="M1496" s="14"/>
      <c r="N1496" s="14"/>
      <c r="O1496" s="14"/>
      <c r="P1496" s="14"/>
      <c r="Q1496" s="14"/>
      <c r="R1496" s="14"/>
      <c r="S1496" s="14"/>
      <c r="T1496" s="14"/>
      <c r="U1496" s="14"/>
      <c r="V1496" s="14"/>
      <c r="W1496" s="14"/>
      <c r="X1496" s="14"/>
      <c r="Y1496" s="14"/>
      <c r="Z1496" s="14"/>
      <c r="AA1496" s="14"/>
      <c r="AB1496" s="14"/>
      <c r="AC1496" s="14"/>
      <c r="AD1496" s="14"/>
      <c r="AE1496" s="14"/>
      <c r="AF1496" s="14"/>
      <c r="AG1496" s="14"/>
      <c r="AH1496" s="14"/>
      <c r="AI1496" s="14"/>
      <c r="AJ1496" s="14"/>
      <c r="AK1496" s="14"/>
      <c r="AL1496" s="14"/>
      <c r="AM1496" s="14"/>
    </row>
    <row r="1497" spans="1:39" x14ac:dyDescent="0.3">
      <c r="A1497" s="14"/>
      <c r="B1497" s="14"/>
      <c r="C1497" s="14"/>
      <c r="D1497" s="14"/>
      <c r="E1497" s="14"/>
      <c r="F1497" s="14"/>
      <c r="G1497" s="14"/>
      <c r="H1497" s="14"/>
      <c r="I1497" s="14"/>
      <c r="J1497" s="14"/>
      <c r="K1497" s="14"/>
      <c r="L1497" s="14"/>
      <c r="M1497" s="14"/>
      <c r="N1497" s="14"/>
      <c r="O1497" s="14"/>
      <c r="P1497" s="14"/>
      <c r="Q1497" s="14"/>
      <c r="R1497" s="14"/>
      <c r="S1497" s="14"/>
      <c r="T1497" s="14"/>
      <c r="U1497" s="14"/>
      <c r="V1497" s="14"/>
      <c r="W1497" s="14"/>
      <c r="X1497" s="14"/>
      <c r="Y1497" s="14"/>
      <c r="Z1497" s="14"/>
      <c r="AA1497" s="14"/>
      <c r="AB1497" s="14"/>
      <c r="AC1497" s="14"/>
      <c r="AD1497" s="14"/>
      <c r="AE1497" s="14"/>
      <c r="AF1497" s="14"/>
      <c r="AG1497" s="14"/>
      <c r="AH1497" s="14"/>
      <c r="AI1497" s="14"/>
      <c r="AJ1497" s="14"/>
      <c r="AK1497" s="14"/>
      <c r="AL1497" s="14"/>
      <c r="AM1497" s="14"/>
    </row>
    <row r="1498" spans="1:39" x14ac:dyDescent="0.3">
      <c r="A1498" s="14"/>
      <c r="B1498" s="14"/>
      <c r="C1498" s="14"/>
      <c r="D1498" s="14"/>
      <c r="E1498" s="14"/>
      <c r="F1498" s="14"/>
      <c r="G1498" s="14"/>
      <c r="H1498" s="14"/>
      <c r="I1498" s="14"/>
      <c r="J1498" s="14"/>
      <c r="K1498" s="14"/>
      <c r="L1498" s="14"/>
      <c r="M1498" s="14"/>
      <c r="N1498" s="14"/>
      <c r="O1498" s="14"/>
      <c r="P1498" s="14"/>
      <c r="Q1498" s="14"/>
      <c r="R1498" s="14"/>
      <c r="S1498" s="14"/>
      <c r="T1498" s="14"/>
      <c r="U1498" s="14"/>
      <c r="V1498" s="14"/>
      <c r="W1498" s="14"/>
      <c r="X1498" s="14"/>
      <c r="Y1498" s="14"/>
      <c r="Z1498" s="14"/>
      <c r="AA1498" s="14"/>
      <c r="AB1498" s="14"/>
      <c r="AC1498" s="14"/>
      <c r="AD1498" s="14"/>
      <c r="AE1498" s="14"/>
      <c r="AF1498" s="14"/>
      <c r="AG1498" s="14"/>
      <c r="AH1498" s="14"/>
      <c r="AI1498" s="14"/>
      <c r="AJ1498" s="14"/>
      <c r="AK1498" s="14"/>
      <c r="AL1498" s="14"/>
      <c r="AM1498" s="14"/>
    </row>
    <row r="1499" spans="1:39" x14ac:dyDescent="0.3">
      <c r="A1499" s="14"/>
      <c r="B1499" s="14"/>
      <c r="C1499" s="14"/>
      <c r="D1499" s="14"/>
      <c r="E1499" s="14"/>
      <c r="F1499" s="14"/>
      <c r="G1499" s="14"/>
      <c r="H1499" s="14"/>
      <c r="I1499" s="14"/>
      <c r="J1499" s="14"/>
      <c r="K1499" s="14"/>
      <c r="L1499" s="14"/>
      <c r="M1499" s="14"/>
      <c r="N1499" s="14"/>
      <c r="O1499" s="14"/>
      <c r="P1499" s="14"/>
      <c r="Q1499" s="14"/>
      <c r="R1499" s="14"/>
      <c r="S1499" s="14"/>
      <c r="T1499" s="14"/>
      <c r="U1499" s="14"/>
      <c r="V1499" s="14"/>
      <c r="W1499" s="14"/>
      <c r="X1499" s="14"/>
      <c r="Y1499" s="14"/>
      <c r="Z1499" s="14"/>
      <c r="AA1499" s="14"/>
      <c r="AB1499" s="14"/>
      <c r="AC1499" s="14"/>
      <c r="AD1499" s="14"/>
      <c r="AE1499" s="14"/>
      <c r="AF1499" s="14"/>
      <c r="AG1499" s="14"/>
      <c r="AH1499" s="14"/>
      <c r="AI1499" s="14"/>
      <c r="AJ1499" s="14"/>
      <c r="AK1499" s="14"/>
      <c r="AL1499" s="14"/>
      <c r="AM1499" s="14"/>
    </row>
    <row r="1500" spans="1:39" x14ac:dyDescent="0.3">
      <c r="A1500" s="14"/>
      <c r="B1500" s="14"/>
      <c r="C1500" s="14"/>
      <c r="D1500" s="14"/>
      <c r="E1500" s="14"/>
      <c r="F1500" s="14"/>
      <c r="G1500" s="14"/>
      <c r="H1500" s="14"/>
      <c r="I1500" s="14"/>
      <c r="J1500" s="14"/>
      <c r="K1500" s="14"/>
      <c r="L1500" s="14"/>
      <c r="M1500" s="14"/>
      <c r="N1500" s="14"/>
      <c r="O1500" s="14"/>
      <c r="P1500" s="14"/>
      <c r="Q1500" s="14"/>
      <c r="R1500" s="14"/>
      <c r="S1500" s="14"/>
      <c r="T1500" s="14"/>
      <c r="U1500" s="14"/>
      <c r="V1500" s="14"/>
      <c r="W1500" s="14"/>
      <c r="X1500" s="14"/>
      <c r="Y1500" s="14"/>
      <c r="Z1500" s="14"/>
      <c r="AA1500" s="14"/>
      <c r="AB1500" s="14"/>
      <c r="AC1500" s="14"/>
      <c r="AD1500" s="14"/>
      <c r="AE1500" s="14"/>
      <c r="AF1500" s="14"/>
      <c r="AG1500" s="14"/>
      <c r="AH1500" s="14"/>
      <c r="AI1500" s="14"/>
      <c r="AJ1500" s="14"/>
      <c r="AK1500" s="14"/>
      <c r="AL1500" s="14"/>
      <c r="AM1500" s="14"/>
    </row>
    <row r="1501" spans="1:39" x14ac:dyDescent="0.3">
      <c r="A1501" s="14"/>
      <c r="B1501" s="14"/>
      <c r="C1501" s="14"/>
      <c r="D1501" s="14"/>
      <c r="E1501" s="14"/>
      <c r="F1501" s="14"/>
      <c r="G1501" s="14"/>
      <c r="H1501" s="14"/>
      <c r="I1501" s="14"/>
      <c r="J1501" s="14"/>
      <c r="K1501" s="14"/>
      <c r="L1501" s="14"/>
      <c r="M1501" s="14"/>
      <c r="N1501" s="14"/>
      <c r="O1501" s="14"/>
      <c r="P1501" s="14"/>
      <c r="Q1501" s="14"/>
      <c r="R1501" s="14"/>
      <c r="S1501" s="14"/>
      <c r="T1501" s="14"/>
      <c r="U1501" s="14"/>
      <c r="V1501" s="14"/>
      <c r="W1501" s="14"/>
      <c r="X1501" s="14"/>
      <c r="Y1501" s="14"/>
      <c r="Z1501" s="14"/>
      <c r="AA1501" s="14"/>
      <c r="AB1501" s="14"/>
      <c r="AC1501" s="14"/>
      <c r="AD1501" s="14"/>
      <c r="AE1501" s="14"/>
      <c r="AF1501" s="14"/>
      <c r="AG1501" s="14"/>
      <c r="AH1501" s="14"/>
      <c r="AI1501" s="14"/>
      <c r="AJ1501" s="14"/>
      <c r="AK1501" s="14"/>
      <c r="AL1501" s="14"/>
      <c r="AM1501" s="14"/>
    </row>
    <row r="1502" spans="1:39" x14ac:dyDescent="0.3">
      <c r="A1502" s="14"/>
      <c r="B1502" s="14"/>
      <c r="C1502" s="14"/>
      <c r="D1502" s="14"/>
      <c r="E1502" s="14"/>
      <c r="F1502" s="14"/>
      <c r="G1502" s="14"/>
      <c r="H1502" s="14"/>
      <c r="I1502" s="14"/>
      <c r="J1502" s="14"/>
      <c r="K1502" s="14"/>
      <c r="L1502" s="14"/>
      <c r="M1502" s="14"/>
      <c r="N1502" s="14"/>
      <c r="O1502" s="14"/>
      <c r="P1502" s="14"/>
      <c r="Q1502" s="14"/>
      <c r="R1502" s="14"/>
      <c r="S1502" s="14"/>
      <c r="T1502" s="14"/>
      <c r="U1502" s="14"/>
      <c r="V1502" s="14"/>
      <c r="W1502" s="14"/>
      <c r="X1502" s="14"/>
      <c r="Y1502" s="14"/>
      <c r="Z1502" s="14"/>
      <c r="AA1502" s="14"/>
      <c r="AB1502" s="14"/>
      <c r="AC1502" s="14"/>
      <c r="AD1502" s="14"/>
      <c r="AE1502" s="14"/>
      <c r="AF1502" s="14"/>
      <c r="AG1502" s="14"/>
      <c r="AH1502" s="14"/>
      <c r="AI1502" s="14"/>
      <c r="AJ1502" s="14"/>
      <c r="AK1502" s="14"/>
      <c r="AL1502" s="14"/>
      <c r="AM1502" s="14"/>
    </row>
    <row r="1503" spans="1:39" x14ac:dyDescent="0.3">
      <c r="A1503" s="14"/>
      <c r="B1503" s="14"/>
      <c r="C1503" s="14"/>
      <c r="D1503" s="14"/>
      <c r="E1503" s="14"/>
      <c r="F1503" s="14"/>
      <c r="G1503" s="14"/>
      <c r="H1503" s="14"/>
      <c r="I1503" s="14"/>
      <c r="J1503" s="14"/>
      <c r="K1503" s="14"/>
      <c r="L1503" s="14"/>
      <c r="M1503" s="14"/>
      <c r="N1503" s="14"/>
      <c r="O1503" s="14"/>
      <c r="P1503" s="14"/>
      <c r="Q1503" s="14"/>
      <c r="R1503" s="14"/>
      <c r="S1503" s="14"/>
      <c r="T1503" s="14"/>
      <c r="U1503" s="14"/>
      <c r="V1503" s="14"/>
      <c r="W1503" s="14"/>
      <c r="X1503" s="14"/>
      <c r="Y1503" s="14"/>
      <c r="Z1503" s="14"/>
      <c r="AA1503" s="14"/>
      <c r="AB1503" s="14"/>
      <c r="AC1503" s="14"/>
      <c r="AD1503" s="14"/>
      <c r="AE1503" s="14"/>
      <c r="AF1503" s="14"/>
      <c r="AG1503" s="14"/>
      <c r="AH1503" s="14"/>
      <c r="AI1503" s="14"/>
      <c r="AJ1503" s="14"/>
      <c r="AK1503" s="14"/>
      <c r="AL1503" s="14"/>
      <c r="AM1503" s="14"/>
    </row>
    <row r="1504" spans="1:39" x14ac:dyDescent="0.3">
      <c r="A1504" s="14"/>
      <c r="B1504" s="14"/>
      <c r="C1504" s="14"/>
      <c r="D1504" s="14"/>
      <c r="E1504" s="14"/>
      <c r="F1504" s="14"/>
      <c r="G1504" s="14"/>
      <c r="H1504" s="14"/>
      <c r="I1504" s="14"/>
      <c r="J1504" s="14"/>
      <c r="K1504" s="14"/>
      <c r="L1504" s="14"/>
      <c r="M1504" s="14"/>
      <c r="N1504" s="14"/>
      <c r="O1504" s="14"/>
      <c r="P1504" s="14"/>
      <c r="Q1504" s="14"/>
      <c r="R1504" s="14"/>
      <c r="S1504" s="14"/>
      <c r="T1504" s="14"/>
      <c r="U1504" s="14"/>
      <c r="V1504" s="14"/>
      <c r="W1504" s="14"/>
      <c r="X1504" s="14"/>
      <c r="Y1504" s="14"/>
      <c r="Z1504" s="14"/>
      <c r="AA1504" s="14"/>
      <c r="AB1504" s="14"/>
      <c r="AC1504" s="14"/>
      <c r="AD1504" s="14"/>
      <c r="AE1504" s="14"/>
      <c r="AF1504" s="14"/>
      <c r="AG1504" s="14"/>
      <c r="AH1504" s="14"/>
      <c r="AI1504" s="14"/>
      <c r="AJ1504" s="14"/>
      <c r="AK1504" s="14"/>
      <c r="AL1504" s="14"/>
      <c r="AM1504" s="14"/>
    </row>
    <row r="1505" spans="1:42" x14ac:dyDescent="0.3">
      <c r="A1505" s="14"/>
      <c r="B1505" s="14"/>
      <c r="C1505" s="14"/>
      <c r="D1505" s="14"/>
      <c r="E1505" s="14"/>
      <c r="F1505" s="14"/>
      <c r="G1505" s="14"/>
      <c r="H1505" s="14"/>
      <c r="I1505" s="14"/>
      <c r="J1505" s="14"/>
      <c r="K1505" s="14"/>
      <c r="L1505" s="14"/>
      <c r="M1505" s="14"/>
      <c r="N1505" s="14"/>
      <c r="O1505" s="14"/>
      <c r="P1505" s="14"/>
      <c r="Q1505" s="14"/>
      <c r="R1505" s="14"/>
      <c r="S1505" s="14"/>
      <c r="T1505" s="14"/>
      <c r="U1505" s="14"/>
      <c r="V1505" s="14"/>
      <c r="W1505" s="14"/>
      <c r="X1505" s="14"/>
      <c r="Y1505" s="14"/>
      <c r="Z1505" s="14"/>
      <c r="AA1505" s="14"/>
      <c r="AB1505" s="14"/>
      <c r="AC1505" s="14"/>
      <c r="AD1505" s="14"/>
      <c r="AE1505" s="14"/>
      <c r="AF1505" s="14"/>
      <c r="AG1505" s="14"/>
      <c r="AH1505" s="14"/>
      <c r="AI1505" s="14"/>
      <c r="AJ1505" s="14"/>
      <c r="AK1505" s="14"/>
      <c r="AL1505" s="14"/>
      <c r="AM1505" s="14"/>
    </row>
    <row r="1506" spans="1:42" x14ac:dyDescent="0.3">
      <c r="A1506" s="14"/>
      <c r="B1506" s="14"/>
      <c r="C1506" s="14"/>
      <c r="D1506" s="14"/>
      <c r="E1506" s="14"/>
      <c r="F1506" s="14"/>
      <c r="G1506" s="14"/>
      <c r="H1506" s="14"/>
      <c r="I1506" s="14"/>
      <c r="J1506" s="14"/>
      <c r="K1506" s="14"/>
      <c r="L1506" s="14"/>
      <c r="M1506" s="14"/>
      <c r="N1506" s="14"/>
      <c r="O1506" s="14"/>
      <c r="P1506" s="14"/>
      <c r="Q1506" s="14"/>
      <c r="R1506" s="14"/>
      <c r="S1506" s="14"/>
      <c r="T1506" s="14"/>
      <c r="U1506" s="14"/>
      <c r="V1506" s="14"/>
      <c r="W1506" s="14"/>
      <c r="X1506" s="14"/>
      <c r="Y1506" s="14"/>
      <c r="Z1506" s="14"/>
      <c r="AA1506" s="14"/>
      <c r="AB1506" s="14"/>
      <c r="AC1506" s="14"/>
      <c r="AD1506" s="14"/>
      <c r="AE1506" s="14"/>
      <c r="AF1506" s="14"/>
      <c r="AG1506" s="14"/>
      <c r="AH1506" s="14"/>
      <c r="AI1506" s="14"/>
      <c r="AJ1506" s="14"/>
      <c r="AK1506" s="14"/>
      <c r="AL1506" s="14"/>
      <c r="AM1506" s="14"/>
    </row>
    <row r="1507" spans="1:42" x14ac:dyDescent="0.3">
      <c r="A1507" s="14"/>
      <c r="B1507" s="14"/>
      <c r="C1507" s="14"/>
      <c r="D1507" s="14"/>
      <c r="E1507" s="14"/>
      <c r="F1507" s="14"/>
      <c r="G1507" s="14"/>
      <c r="H1507" s="14"/>
      <c r="I1507" s="14"/>
      <c r="J1507" s="14"/>
      <c r="K1507" s="14"/>
      <c r="L1507" s="14"/>
      <c r="M1507" s="14"/>
      <c r="N1507" s="14"/>
      <c r="O1507" s="14"/>
      <c r="P1507" s="14"/>
      <c r="Q1507" s="14"/>
      <c r="R1507" s="14"/>
      <c r="S1507" s="14"/>
      <c r="T1507" s="14"/>
      <c r="U1507" s="14"/>
      <c r="V1507" s="14"/>
      <c r="W1507" s="14"/>
      <c r="X1507" s="14"/>
      <c r="Y1507" s="14"/>
      <c r="Z1507" s="14"/>
      <c r="AA1507" s="14"/>
      <c r="AB1507" s="14"/>
      <c r="AC1507" s="14"/>
      <c r="AD1507" s="14"/>
      <c r="AE1507" s="14"/>
      <c r="AF1507" s="14"/>
      <c r="AG1507" s="14"/>
      <c r="AH1507" s="14"/>
      <c r="AI1507" s="14"/>
      <c r="AJ1507" s="14"/>
      <c r="AK1507" s="14"/>
      <c r="AL1507" s="14"/>
      <c r="AM1507" s="14"/>
    </row>
    <row r="1508" spans="1:42" x14ac:dyDescent="0.3">
      <c r="A1508" s="14"/>
      <c r="B1508" s="14"/>
      <c r="C1508" s="14"/>
      <c r="D1508" s="14"/>
      <c r="E1508" s="14"/>
      <c r="F1508" s="14"/>
      <c r="G1508" s="14"/>
      <c r="H1508" s="14"/>
      <c r="I1508" s="14"/>
      <c r="J1508" s="14"/>
      <c r="K1508" s="14"/>
      <c r="L1508" s="14"/>
      <c r="M1508" s="14"/>
      <c r="N1508" s="14"/>
      <c r="O1508" s="14"/>
      <c r="P1508" s="14"/>
      <c r="Q1508" s="14"/>
      <c r="R1508" s="14"/>
      <c r="S1508" s="14"/>
      <c r="T1508" s="14"/>
      <c r="U1508" s="14"/>
      <c r="V1508" s="14"/>
      <c r="W1508" s="14"/>
      <c r="X1508" s="14"/>
      <c r="Y1508" s="14"/>
      <c r="Z1508" s="14"/>
      <c r="AA1508" s="14"/>
      <c r="AB1508" s="14"/>
      <c r="AC1508" s="14"/>
      <c r="AD1508" s="14"/>
      <c r="AE1508" s="14"/>
      <c r="AF1508" s="14"/>
      <c r="AG1508" s="14"/>
      <c r="AH1508" s="14"/>
      <c r="AI1508" s="14"/>
      <c r="AJ1508" s="14"/>
      <c r="AK1508" s="14"/>
      <c r="AL1508" s="14"/>
      <c r="AM1508" s="14"/>
    </row>
    <row r="1509" spans="1:42" x14ac:dyDescent="0.3">
      <c r="A1509" s="14"/>
      <c r="B1509" s="14"/>
      <c r="C1509" s="14"/>
      <c r="D1509" s="14"/>
      <c r="E1509" s="14"/>
      <c r="F1509" s="14"/>
      <c r="G1509" s="14"/>
      <c r="H1509" s="14"/>
      <c r="I1509" s="14"/>
      <c r="J1509" s="14"/>
      <c r="K1509" s="14"/>
      <c r="L1509" s="14"/>
      <c r="M1509" s="14"/>
      <c r="N1509" s="14"/>
      <c r="O1509" s="14"/>
      <c r="P1509" s="14"/>
      <c r="Q1509" s="14"/>
      <c r="R1509" s="14"/>
      <c r="S1509" s="14"/>
      <c r="T1509" s="14"/>
      <c r="U1509" s="14"/>
      <c r="V1509" s="14"/>
      <c r="W1509" s="14"/>
      <c r="X1509" s="14"/>
      <c r="Y1509" s="14"/>
      <c r="Z1509" s="14"/>
      <c r="AA1509" s="14"/>
      <c r="AB1509" s="14"/>
      <c r="AC1509" s="14"/>
      <c r="AD1509" s="14"/>
      <c r="AE1509" s="14"/>
      <c r="AF1509" s="14"/>
      <c r="AG1509" s="14"/>
      <c r="AH1509" s="14"/>
      <c r="AI1509" s="14"/>
      <c r="AJ1509" s="14"/>
      <c r="AK1509" s="14"/>
      <c r="AL1509" s="14"/>
      <c r="AM1509" s="14"/>
    </row>
    <row r="1510" spans="1:42" x14ac:dyDescent="0.3">
      <c r="A1510" s="14"/>
      <c r="B1510" s="14"/>
      <c r="C1510" s="14"/>
      <c r="D1510" s="14"/>
      <c r="E1510" s="14"/>
      <c r="F1510" s="14"/>
      <c r="G1510" s="14"/>
      <c r="H1510" s="14"/>
      <c r="I1510" s="14"/>
      <c r="J1510" s="14"/>
      <c r="K1510" s="14"/>
      <c r="L1510" s="14"/>
      <c r="M1510" s="14"/>
      <c r="N1510" s="14"/>
      <c r="O1510" s="14"/>
      <c r="P1510" s="14"/>
      <c r="Q1510" s="14"/>
      <c r="R1510" s="14"/>
      <c r="S1510" s="14"/>
      <c r="T1510" s="14"/>
      <c r="U1510" s="14"/>
      <c r="V1510" s="14"/>
      <c r="W1510" s="14"/>
      <c r="X1510" s="14"/>
      <c r="Y1510" s="14"/>
      <c r="Z1510" s="14"/>
      <c r="AA1510" s="14"/>
      <c r="AB1510" s="14"/>
      <c r="AC1510" s="14"/>
      <c r="AD1510" s="14"/>
      <c r="AE1510" s="14"/>
      <c r="AF1510" s="14"/>
      <c r="AG1510" s="14"/>
      <c r="AH1510" s="14"/>
      <c r="AI1510" s="14"/>
      <c r="AJ1510" s="14"/>
      <c r="AK1510" s="14"/>
      <c r="AL1510" s="14"/>
      <c r="AM1510" s="14"/>
    </row>
    <row r="1511" spans="1:42" x14ac:dyDescent="0.3">
      <c r="A1511" s="14"/>
      <c r="B1511" s="14"/>
      <c r="C1511" s="14"/>
      <c r="D1511" s="14"/>
      <c r="E1511" s="14"/>
      <c r="F1511" s="14"/>
      <c r="G1511" s="14"/>
      <c r="H1511" s="14"/>
      <c r="I1511" s="14"/>
      <c r="J1511" s="14"/>
      <c r="K1511" s="14"/>
      <c r="L1511" s="14"/>
      <c r="M1511" s="14"/>
      <c r="N1511" s="14"/>
      <c r="O1511" s="14"/>
      <c r="P1511" s="14"/>
      <c r="Q1511" s="14"/>
      <c r="R1511" s="14"/>
      <c r="S1511" s="14"/>
      <c r="T1511" s="14"/>
      <c r="U1511" s="14"/>
      <c r="V1511" s="14"/>
      <c r="W1511" s="14"/>
      <c r="X1511" s="14"/>
      <c r="Y1511" s="14"/>
      <c r="Z1511" s="14"/>
      <c r="AA1511" s="14"/>
      <c r="AB1511" s="14"/>
      <c r="AC1511" s="14"/>
      <c r="AD1511" s="14"/>
      <c r="AE1511" s="14"/>
      <c r="AF1511" s="14"/>
      <c r="AG1511" s="14"/>
      <c r="AH1511" s="14"/>
      <c r="AI1511" s="14"/>
      <c r="AJ1511" s="14"/>
      <c r="AK1511" s="14"/>
      <c r="AL1511" s="14"/>
      <c r="AM1511" s="14"/>
    </row>
    <row r="1512" spans="1:42" x14ac:dyDescent="0.3">
      <c r="A1512" s="14"/>
      <c r="B1512" s="14"/>
      <c r="C1512" s="14"/>
      <c r="D1512" s="14"/>
      <c r="E1512" s="14"/>
      <c r="F1512" s="14"/>
      <c r="G1512" s="14"/>
      <c r="H1512" s="14"/>
      <c r="I1512" s="14"/>
      <c r="J1512" s="14"/>
      <c r="K1512" s="14"/>
      <c r="L1512" s="14"/>
      <c r="M1512" s="14"/>
      <c r="N1512" s="14"/>
      <c r="O1512" s="14"/>
      <c r="P1512" s="14"/>
      <c r="Q1512" s="14"/>
      <c r="R1512" s="14"/>
      <c r="S1512" s="14"/>
      <c r="T1512" s="14"/>
      <c r="U1512" s="14"/>
      <c r="V1512" s="14"/>
      <c r="W1512" s="14"/>
      <c r="X1512" s="14"/>
      <c r="Y1512" s="14"/>
      <c r="Z1512" s="14"/>
      <c r="AA1512" s="14"/>
      <c r="AB1512" s="14"/>
      <c r="AC1512" s="14"/>
      <c r="AD1512" s="14"/>
      <c r="AE1512" s="14"/>
      <c r="AF1512" s="14"/>
      <c r="AG1512" s="14"/>
      <c r="AH1512" s="14"/>
      <c r="AI1512" s="14"/>
      <c r="AJ1512" s="14"/>
      <c r="AK1512" s="14"/>
      <c r="AL1512" s="14"/>
      <c r="AM1512" s="14"/>
      <c r="AO1512" s="5"/>
    </row>
    <row r="1513" spans="1:42" x14ac:dyDescent="0.3">
      <c r="A1513" s="14"/>
      <c r="B1513" s="14"/>
      <c r="C1513" s="14"/>
      <c r="D1513" s="14"/>
      <c r="E1513" s="14"/>
      <c r="F1513" s="14"/>
      <c r="G1513" s="14"/>
      <c r="H1513" s="14"/>
      <c r="I1513" s="14"/>
      <c r="J1513" s="14"/>
      <c r="K1513" s="14"/>
      <c r="L1513" s="14"/>
      <c r="M1513" s="14"/>
      <c r="N1513" s="14"/>
      <c r="O1513" s="14"/>
      <c r="P1513" s="14"/>
      <c r="Q1513" s="14"/>
      <c r="R1513" s="14"/>
      <c r="S1513" s="14"/>
      <c r="T1513" s="14"/>
      <c r="U1513" s="14"/>
      <c r="V1513" s="14"/>
      <c r="W1513" s="14"/>
      <c r="X1513" s="14"/>
      <c r="Y1513" s="14"/>
      <c r="Z1513" s="14"/>
      <c r="AA1513" s="14"/>
      <c r="AB1513" s="14"/>
      <c r="AC1513" s="14"/>
      <c r="AD1513" s="14"/>
      <c r="AE1513" s="14"/>
      <c r="AF1513" s="14"/>
      <c r="AG1513" s="14"/>
      <c r="AH1513" s="14"/>
      <c r="AI1513" s="14"/>
      <c r="AJ1513" s="14"/>
      <c r="AK1513" s="14"/>
      <c r="AL1513" s="14"/>
      <c r="AM1513" s="14"/>
      <c r="AO1513" s="5"/>
    </row>
    <row r="1514" spans="1:42" x14ac:dyDescent="0.3">
      <c r="A1514" s="14"/>
      <c r="B1514" s="14"/>
      <c r="C1514" s="14"/>
      <c r="D1514" s="14"/>
      <c r="E1514" s="14"/>
      <c r="F1514" s="14"/>
      <c r="G1514" s="14"/>
      <c r="H1514" s="14"/>
      <c r="I1514" s="14"/>
      <c r="J1514" s="14"/>
      <c r="K1514" s="14"/>
      <c r="L1514" s="14"/>
      <c r="M1514" s="14"/>
      <c r="N1514" s="14"/>
      <c r="O1514" s="14"/>
      <c r="P1514" s="14"/>
      <c r="Q1514" s="14"/>
      <c r="R1514" s="14"/>
      <c r="S1514" s="14"/>
      <c r="T1514" s="14"/>
      <c r="U1514" s="14"/>
      <c r="V1514" s="14"/>
      <c r="W1514" s="14"/>
      <c r="X1514" s="14"/>
      <c r="Y1514" s="14"/>
      <c r="Z1514" s="14"/>
      <c r="AA1514" s="14"/>
      <c r="AB1514" s="14"/>
      <c r="AC1514" s="14"/>
      <c r="AD1514" s="14"/>
      <c r="AE1514" s="14"/>
      <c r="AF1514" s="14"/>
      <c r="AG1514" s="14"/>
      <c r="AH1514" s="14"/>
      <c r="AI1514" s="14"/>
      <c r="AJ1514" s="14"/>
      <c r="AK1514" s="14"/>
      <c r="AL1514" s="14"/>
      <c r="AM1514" s="14"/>
      <c r="AO1514" s="5"/>
    </row>
    <row r="1515" spans="1:42" x14ac:dyDescent="0.3">
      <c r="A1515" s="14"/>
      <c r="B1515" s="14"/>
      <c r="C1515" s="14"/>
      <c r="D1515" s="14"/>
      <c r="E1515" s="14"/>
      <c r="F1515" s="14"/>
      <c r="G1515" s="14"/>
      <c r="H1515" s="14"/>
      <c r="I1515" s="14"/>
      <c r="J1515" s="14"/>
      <c r="K1515" s="14"/>
      <c r="L1515" s="14"/>
      <c r="M1515" s="14"/>
      <c r="N1515" s="14"/>
      <c r="O1515" s="14"/>
      <c r="P1515" s="14"/>
      <c r="Q1515" s="14"/>
      <c r="R1515" s="14"/>
      <c r="S1515" s="14"/>
      <c r="T1515" s="14"/>
      <c r="U1515" s="14"/>
      <c r="V1515" s="14"/>
      <c r="W1515" s="14"/>
      <c r="X1515" s="14"/>
      <c r="Y1515" s="14"/>
      <c r="Z1515" s="14"/>
      <c r="AA1515" s="14"/>
      <c r="AB1515" s="14"/>
      <c r="AC1515" s="14"/>
      <c r="AD1515" s="14"/>
      <c r="AE1515" s="14"/>
      <c r="AF1515" s="14"/>
      <c r="AG1515" s="14"/>
      <c r="AH1515" s="14"/>
      <c r="AI1515" s="14"/>
      <c r="AJ1515" s="14"/>
      <c r="AK1515" s="14"/>
      <c r="AL1515" s="14"/>
      <c r="AM1515" s="14"/>
      <c r="AO1515" s="5"/>
    </row>
    <row r="1516" spans="1:42" x14ac:dyDescent="0.3">
      <c r="A1516" s="14"/>
      <c r="B1516" s="14"/>
      <c r="C1516" s="14"/>
      <c r="D1516" s="14"/>
      <c r="E1516" s="14"/>
      <c r="F1516" s="14"/>
      <c r="G1516" s="14"/>
      <c r="H1516" s="14"/>
      <c r="I1516" s="14"/>
      <c r="J1516" s="14"/>
      <c r="K1516" s="14"/>
      <c r="L1516" s="14"/>
      <c r="M1516" s="14"/>
      <c r="N1516" s="14"/>
      <c r="O1516" s="14"/>
      <c r="P1516" s="14"/>
      <c r="Q1516" s="14"/>
      <c r="R1516" s="14"/>
      <c r="S1516" s="14"/>
      <c r="T1516" s="14"/>
      <c r="U1516" s="14"/>
      <c r="V1516" s="14"/>
      <c r="W1516" s="14"/>
      <c r="X1516" s="14"/>
      <c r="Y1516" s="14"/>
      <c r="Z1516" s="14"/>
      <c r="AA1516" s="14"/>
      <c r="AB1516" s="14"/>
      <c r="AC1516" s="14"/>
      <c r="AD1516" s="14"/>
      <c r="AE1516" s="14"/>
      <c r="AF1516" s="14"/>
      <c r="AG1516" s="14"/>
      <c r="AH1516" s="14"/>
      <c r="AI1516" s="14"/>
      <c r="AJ1516" s="14"/>
      <c r="AK1516" s="14"/>
      <c r="AL1516" s="14"/>
      <c r="AM1516" s="14"/>
      <c r="AO1516" s="5"/>
    </row>
    <row r="1517" spans="1:42" x14ac:dyDescent="0.3">
      <c r="A1517" s="14"/>
      <c r="B1517" s="14"/>
      <c r="C1517" s="14"/>
      <c r="D1517" s="14"/>
      <c r="E1517" s="14"/>
      <c r="F1517" s="14"/>
      <c r="G1517" s="14"/>
      <c r="H1517" s="14"/>
      <c r="I1517" s="14"/>
      <c r="J1517" s="14"/>
      <c r="K1517" s="14"/>
      <c r="L1517" s="14"/>
      <c r="M1517" s="14"/>
      <c r="N1517" s="14"/>
      <c r="O1517" s="14"/>
      <c r="P1517" s="14"/>
      <c r="Q1517" s="14"/>
      <c r="R1517" s="14"/>
      <c r="S1517" s="14"/>
      <c r="T1517" s="14"/>
      <c r="U1517" s="14"/>
      <c r="V1517" s="14"/>
      <c r="W1517" s="14"/>
      <c r="X1517" s="14"/>
      <c r="Y1517" s="14"/>
      <c r="Z1517" s="14"/>
      <c r="AA1517" s="14"/>
      <c r="AB1517" s="14"/>
      <c r="AC1517" s="14"/>
      <c r="AD1517" s="14"/>
      <c r="AE1517" s="14"/>
      <c r="AF1517" s="14"/>
      <c r="AG1517" s="14"/>
      <c r="AH1517" s="14"/>
      <c r="AI1517" s="14"/>
      <c r="AJ1517" s="14"/>
      <c r="AK1517" s="14"/>
      <c r="AL1517" s="14"/>
      <c r="AM1517" s="14"/>
      <c r="AO1517" s="5"/>
    </row>
    <row r="1518" spans="1:42" x14ac:dyDescent="0.3">
      <c r="A1518" s="14"/>
      <c r="B1518" s="14"/>
      <c r="C1518" s="14"/>
      <c r="D1518" s="14"/>
      <c r="E1518" s="14"/>
      <c r="F1518" s="14"/>
      <c r="G1518" s="14"/>
      <c r="H1518" s="14"/>
      <c r="I1518" s="14"/>
      <c r="J1518" s="14"/>
      <c r="K1518" s="14"/>
      <c r="L1518" s="14"/>
      <c r="M1518" s="14"/>
      <c r="N1518" s="14"/>
      <c r="O1518" s="14"/>
      <c r="P1518" s="14"/>
      <c r="Q1518" s="14"/>
      <c r="R1518" s="14"/>
      <c r="S1518" s="14"/>
      <c r="T1518" s="14"/>
      <c r="U1518" s="14"/>
      <c r="V1518" s="14"/>
      <c r="W1518" s="14"/>
      <c r="X1518" s="14"/>
      <c r="Y1518" s="14"/>
      <c r="Z1518" s="14"/>
      <c r="AA1518" s="14"/>
      <c r="AB1518" s="14"/>
      <c r="AC1518" s="14"/>
      <c r="AD1518" s="14"/>
      <c r="AE1518" s="14"/>
      <c r="AF1518" s="14"/>
      <c r="AG1518" s="14"/>
      <c r="AH1518" s="14"/>
      <c r="AI1518" s="14"/>
      <c r="AJ1518" s="14"/>
      <c r="AK1518" s="14"/>
      <c r="AL1518" s="14"/>
      <c r="AM1518" s="14"/>
      <c r="AP1518" s="16"/>
    </row>
    <row r="1519" spans="1:42" x14ac:dyDescent="0.3">
      <c r="A1519" s="14"/>
      <c r="B1519" s="14"/>
      <c r="C1519" s="14"/>
      <c r="D1519" s="14"/>
      <c r="E1519" s="14"/>
      <c r="F1519" s="14"/>
      <c r="G1519" s="14"/>
      <c r="H1519" s="14"/>
      <c r="I1519" s="14"/>
      <c r="J1519" s="14"/>
      <c r="K1519" s="14"/>
      <c r="L1519" s="14"/>
      <c r="M1519" s="14"/>
      <c r="N1519" s="14"/>
      <c r="O1519" s="14"/>
      <c r="P1519" s="14"/>
      <c r="Q1519" s="14"/>
      <c r="R1519" s="14"/>
      <c r="S1519" s="14"/>
      <c r="T1519" s="14"/>
      <c r="U1519" s="14"/>
      <c r="V1519" s="14"/>
      <c r="W1519" s="14"/>
      <c r="X1519" s="14"/>
      <c r="Y1519" s="14"/>
      <c r="Z1519" s="14"/>
      <c r="AA1519" s="14"/>
      <c r="AB1519" s="14"/>
      <c r="AC1519" s="14"/>
      <c r="AD1519" s="14"/>
      <c r="AE1519" s="14"/>
      <c r="AF1519" s="14"/>
      <c r="AG1519" s="14"/>
      <c r="AH1519" s="14"/>
      <c r="AI1519" s="14"/>
      <c r="AJ1519" s="14"/>
      <c r="AK1519" s="14"/>
      <c r="AL1519" s="14"/>
      <c r="AM1519" s="14"/>
    </row>
    <row r="1520" spans="1:42" x14ac:dyDescent="0.3">
      <c r="A1520" s="14"/>
      <c r="B1520" s="14"/>
      <c r="C1520" s="14"/>
      <c r="D1520" s="14"/>
      <c r="E1520" s="14"/>
      <c r="F1520" s="14"/>
      <c r="G1520" s="14"/>
      <c r="H1520" s="14"/>
      <c r="I1520" s="14"/>
      <c r="J1520" s="14"/>
      <c r="K1520" s="14"/>
      <c r="L1520" s="14"/>
      <c r="M1520" s="14"/>
      <c r="N1520" s="14"/>
      <c r="O1520" s="14"/>
      <c r="P1520" s="14"/>
      <c r="Q1520" s="14"/>
      <c r="R1520" s="14"/>
      <c r="S1520" s="14"/>
      <c r="T1520" s="14"/>
      <c r="U1520" s="14"/>
      <c r="V1520" s="14"/>
      <c r="W1520" s="14"/>
      <c r="X1520" s="14"/>
      <c r="Y1520" s="14"/>
      <c r="Z1520" s="14"/>
      <c r="AA1520" s="14"/>
      <c r="AB1520" s="14"/>
      <c r="AC1520" s="14"/>
      <c r="AD1520" s="14"/>
      <c r="AE1520" s="14"/>
      <c r="AF1520" s="14"/>
      <c r="AG1520" s="14"/>
      <c r="AH1520" s="14"/>
      <c r="AI1520" s="14"/>
      <c r="AJ1520" s="14"/>
      <c r="AK1520" s="14"/>
      <c r="AL1520" s="14"/>
      <c r="AM1520" s="14"/>
    </row>
    <row r="1521" spans="1:39" x14ac:dyDescent="0.3">
      <c r="A1521" s="14"/>
      <c r="B1521" s="14"/>
      <c r="C1521" s="14"/>
      <c r="D1521" s="14"/>
      <c r="E1521" s="14"/>
      <c r="F1521" s="14"/>
      <c r="G1521" s="14"/>
      <c r="H1521" s="14"/>
      <c r="I1521" s="14"/>
      <c r="J1521" s="14"/>
      <c r="K1521" s="14"/>
      <c r="L1521" s="14"/>
      <c r="M1521" s="14"/>
      <c r="N1521" s="14"/>
      <c r="O1521" s="14"/>
      <c r="P1521" s="14"/>
      <c r="Q1521" s="14"/>
      <c r="R1521" s="14"/>
      <c r="S1521" s="14"/>
      <c r="T1521" s="14"/>
      <c r="U1521" s="14"/>
      <c r="V1521" s="14"/>
      <c r="W1521" s="14"/>
      <c r="X1521" s="14"/>
      <c r="Y1521" s="14"/>
      <c r="Z1521" s="14"/>
      <c r="AA1521" s="14"/>
      <c r="AB1521" s="14"/>
      <c r="AC1521" s="14"/>
      <c r="AD1521" s="14"/>
      <c r="AE1521" s="14"/>
      <c r="AF1521" s="14"/>
      <c r="AG1521" s="14"/>
      <c r="AH1521" s="14"/>
      <c r="AI1521" s="14"/>
      <c r="AJ1521" s="14"/>
      <c r="AK1521" s="14"/>
      <c r="AL1521" s="14"/>
      <c r="AM1521" s="14"/>
    </row>
    <row r="1522" spans="1:39" x14ac:dyDescent="0.3">
      <c r="A1522" s="14"/>
      <c r="B1522" s="14"/>
      <c r="C1522" s="14"/>
      <c r="D1522" s="14"/>
      <c r="E1522" s="14"/>
      <c r="F1522" s="14"/>
      <c r="G1522" s="14"/>
      <c r="H1522" s="14"/>
      <c r="I1522" s="14"/>
      <c r="J1522" s="14"/>
      <c r="K1522" s="14"/>
      <c r="L1522" s="14"/>
      <c r="M1522" s="14"/>
      <c r="N1522" s="14"/>
      <c r="O1522" s="14"/>
      <c r="P1522" s="14"/>
      <c r="Q1522" s="14"/>
      <c r="R1522" s="14"/>
      <c r="S1522" s="14"/>
      <c r="T1522" s="14"/>
      <c r="U1522" s="14"/>
      <c r="V1522" s="14"/>
      <c r="W1522" s="14"/>
      <c r="X1522" s="14"/>
      <c r="Y1522" s="14"/>
      <c r="Z1522" s="14"/>
      <c r="AA1522" s="14"/>
      <c r="AB1522" s="14"/>
      <c r="AC1522" s="14"/>
      <c r="AD1522" s="14"/>
      <c r="AE1522" s="14"/>
      <c r="AF1522" s="14"/>
      <c r="AG1522" s="14"/>
      <c r="AH1522" s="14"/>
      <c r="AI1522" s="14"/>
      <c r="AJ1522" s="14"/>
      <c r="AK1522" s="14"/>
      <c r="AL1522" s="14"/>
      <c r="AM1522" s="14"/>
    </row>
    <row r="1523" spans="1:39" x14ac:dyDescent="0.3">
      <c r="A1523" s="14"/>
      <c r="B1523" s="14"/>
      <c r="C1523" s="14"/>
      <c r="D1523" s="14"/>
      <c r="E1523" s="14"/>
      <c r="F1523" s="14"/>
      <c r="G1523" s="14"/>
      <c r="H1523" s="14"/>
      <c r="I1523" s="14"/>
      <c r="J1523" s="14"/>
      <c r="K1523" s="14"/>
      <c r="L1523" s="14"/>
      <c r="M1523" s="14"/>
      <c r="N1523" s="14"/>
      <c r="O1523" s="14"/>
      <c r="P1523" s="14"/>
      <c r="Q1523" s="14"/>
      <c r="R1523" s="14"/>
      <c r="S1523" s="14"/>
      <c r="T1523" s="14"/>
      <c r="U1523" s="14"/>
      <c r="V1523" s="14"/>
      <c r="W1523" s="14"/>
      <c r="X1523" s="14"/>
      <c r="Y1523" s="14"/>
      <c r="Z1523" s="14"/>
      <c r="AA1523" s="14"/>
      <c r="AB1523" s="14"/>
      <c r="AC1523" s="14"/>
      <c r="AD1523" s="14"/>
      <c r="AE1523" s="14"/>
      <c r="AF1523" s="14"/>
      <c r="AG1523" s="14"/>
      <c r="AH1523" s="14"/>
      <c r="AI1523" s="14"/>
      <c r="AJ1523" s="14"/>
      <c r="AK1523" s="14"/>
      <c r="AL1523" s="14"/>
      <c r="AM1523" s="14"/>
    </row>
    <row r="1524" spans="1:39" x14ac:dyDescent="0.3">
      <c r="A1524" s="14"/>
      <c r="B1524" s="14"/>
      <c r="C1524" s="14"/>
      <c r="D1524" s="14"/>
      <c r="E1524" s="14"/>
      <c r="F1524" s="14"/>
      <c r="G1524" s="14"/>
      <c r="H1524" s="14"/>
      <c r="I1524" s="14"/>
      <c r="J1524" s="14"/>
      <c r="K1524" s="14"/>
      <c r="L1524" s="14"/>
      <c r="M1524" s="14"/>
      <c r="N1524" s="14"/>
      <c r="O1524" s="14"/>
      <c r="P1524" s="14"/>
      <c r="Q1524" s="14"/>
      <c r="R1524" s="14"/>
      <c r="S1524" s="14"/>
      <c r="T1524" s="14"/>
      <c r="U1524" s="14"/>
      <c r="V1524" s="14"/>
      <c r="W1524" s="14"/>
      <c r="X1524" s="14"/>
      <c r="Y1524" s="14"/>
      <c r="Z1524" s="14"/>
      <c r="AA1524" s="14"/>
      <c r="AB1524" s="14"/>
      <c r="AC1524" s="14"/>
      <c r="AD1524" s="14"/>
      <c r="AE1524" s="14"/>
      <c r="AF1524" s="14"/>
      <c r="AG1524" s="14"/>
      <c r="AH1524" s="14"/>
      <c r="AI1524" s="14"/>
      <c r="AJ1524" s="14"/>
      <c r="AK1524" s="14"/>
      <c r="AL1524" s="14"/>
      <c r="AM1524" s="14"/>
    </row>
    <row r="1525" spans="1:39" x14ac:dyDescent="0.3">
      <c r="A1525" s="14"/>
      <c r="B1525" s="14"/>
      <c r="C1525" s="14"/>
      <c r="D1525" s="14"/>
      <c r="E1525" s="14"/>
      <c r="F1525" s="14"/>
      <c r="G1525" s="14"/>
      <c r="H1525" s="14"/>
      <c r="I1525" s="14"/>
      <c r="J1525" s="14"/>
      <c r="K1525" s="14"/>
      <c r="L1525" s="14"/>
      <c r="M1525" s="14"/>
      <c r="N1525" s="14"/>
      <c r="O1525" s="14"/>
      <c r="P1525" s="14"/>
      <c r="Q1525" s="14"/>
      <c r="R1525" s="14"/>
      <c r="S1525" s="14"/>
      <c r="T1525" s="14"/>
      <c r="U1525" s="14"/>
      <c r="V1525" s="14"/>
      <c r="W1525" s="14"/>
      <c r="X1525" s="14"/>
      <c r="Y1525" s="14"/>
      <c r="Z1525" s="14"/>
      <c r="AA1525" s="14"/>
      <c r="AB1525" s="14"/>
      <c r="AC1525" s="14"/>
      <c r="AD1525" s="14"/>
      <c r="AE1525" s="14"/>
      <c r="AF1525" s="14"/>
      <c r="AG1525" s="14"/>
      <c r="AH1525" s="14"/>
      <c r="AI1525" s="14"/>
      <c r="AJ1525" s="14"/>
      <c r="AK1525" s="14"/>
      <c r="AL1525" s="14"/>
      <c r="AM1525" s="14"/>
    </row>
    <row r="1526" spans="1:39" x14ac:dyDescent="0.3">
      <c r="A1526" s="14"/>
      <c r="B1526" s="14"/>
      <c r="C1526" s="14"/>
      <c r="D1526" s="14"/>
      <c r="E1526" s="14"/>
      <c r="F1526" s="14"/>
      <c r="G1526" s="14"/>
      <c r="H1526" s="14"/>
      <c r="I1526" s="14"/>
      <c r="J1526" s="14"/>
      <c r="K1526" s="14"/>
      <c r="L1526" s="14"/>
      <c r="M1526" s="14"/>
      <c r="N1526" s="14"/>
      <c r="O1526" s="14"/>
      <c r="P1526" s="14"/>
      <c r="Q1526" s="14"/>
      <c r="R1526" s="14"/>
      <c r="S1526" s="14"/>
      <c r="T1526" s="14"/>
      <c r="U1526" s="14"/>
      <c r="V1526" s="14"/>
      <c r="W1526" s="14"/>
      <c r="X1526" s="14"/>
      <c r="Y1526" s="14"/>
      <c r="Z1526" s="14"/>
      <c r="AA1526" s="14"/>
      <c r="AB1526" s="14"/>
      <c r="AC1526" s="14"/>
      <c r="AD1526" s="14"/>
      <c r="AE1526" s="14"/>
      <c r="AF1526" s="14"/>
      <c r="AG1526" s="14"/>
      <c r="AH1526" s="14"/>
      <c r="AI1526" s="14"/>
      <c r="AJ1526" s="14"/>
      <c r="AK1526" s="14"/>
      <c r="AL1526" s="14"/>
      <c r="AM1526" s="14"/>
    </row>
    <row r="1527" spans="1:39" x14ac:dyDescent="0.3">
      <c r="A1527" s="14"/>
      <c r="B1527" s="14"/>
      <c r="C1527" s="14"/>
      <c r="D1527" s="14"/>
      <c r="E1527" s="14"/>
      <c r="F1527" s="14"/>
      <c r="G1527" s="14"/>
      <c r="H1527" s="14"/>
      <c r="I1527" s="14"/>
      <c r="J1527" s="14"/>
      <c r="K1527" s="14"/>
      <c r="L1527" s="14"/>
      <c r="M1527" s="14"/>
      <c r="N1527" s="14"/>
      <c r="O1527" s="14"/>
      <c r="P1527" s="14"/>
      <c r="Q1527" s="14"/>
      <c r="R1527" s="14"/>
      <c r="S1527" s="14"/>
      <c r="T1527" s="14"/>
      <c r="U1527" s="14"/>
      <c r="V1527" s="14"/>
      <c r="W1527" s="14"/>
      <c r="X1527" s="14"/>
      <c r="Y1527" s="14"/>
      <c r="Z1527" s="14"/>
      <c r="AA1527" s="14"/>
      <c r="AB1527" s="14"/>
      <c r="AC1527" s="14"/>
      <c r="AD1527" s="14"/>
      <c r="AE1527" s="14"/>
      <c r="AF1527" s="14"/>
      <c r="AG1527" s="14"/>
      <c r="AH1527" s="14"/>
      <c r="AI1527" s="14"/>
      <c r="AJ1527" s="14"/>
      <c r="AK1527" s="14"/>
      <c r="AL1527" s="14"/>
      <c r="AM1527" s="14"/>
    </row>
    <row r="1528" spans="1:39" x14ac:dyDescent="0.3">
      <c r="A1528" s="14"/>
      <c r="B1528" s="14"/>
      <c r="C1528" s="14"/>
      <c r="D1528" s="14"/>
      <c r="E1528" s="14"/>
      <c r="F1528" s="14"/>
      <c r="G1528" s="14"/>
      <c r="H1528" s="14"/>
      <c r="I1528" s="14"/>
      <c r="J1528" s="14"/>
      <c r="K1528" s="14"/>
      <c r="L1528" s="14"/>
      <c r="M1528" s="14"/>
      <c r="N1528" s="14"/>
      <c r="O1528" s="14"/>
      <c r="P1528" s="14"/>
      <c r="Q1528" s="14"/>
      <c r="R1528" s="14"/>
      <c r="S1528" s="14"/>
      <c r="T1528" s="14"/>
      <c r="U1528" s="14"/>
      <c r="V1528" s="14"/>
      <c r="W1528" s="14"/>
      <c r="X1528" s="14"/>
      <c r="Y1528" s="14"/>
      <c r="Z1528" s="14"/>
      <c r="AA1528" s="14"/>
      <c r="AB1528" s="14"/>
      <c r="AC1528" s="14"/>
      <c r="AD1528" s="14"/>
      <c r="AE1528" s="14"/>
      <c r="AF1528" s="14"/>
      <c r="AG1528" s="14"/>
      <c r="AH1528" s="14"/>
      <c r="AI1528" s="14"/>
      <c r="AJ1528" s="14"/>
      <c r="AK1528" s="14"/>
      <c r="AL1528" s="14"/>
      <c r="AM1528" s="14"/>
    </row>
  </sheetData>
  <mergeCells count="1">
    <mergeCell ref="A1:DA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CE416-70D8-4C9C-A411-8F17A4AEEB2C}">
  <dimension ref="A1:AE1000"/>
  <sheetViews>
    <sheetView topLeftCell="AB1" zoomScaleNormal="100" workbookViewId="0">
      <selection activeCell="AE9" sqref="AE9"/>
    </sheetView>
  </sheetViews>
  <sheetFormatPr defaultRowHeight="14.4" x14ac:dyDescent="0.3"/>
  <cols>
    <col min="1" max="1" width="11.88671875" customWidth="1"/>
    <col min="2" max="2" width="14.77734375" customWidth="1"/>
    <col min="3" max="3" width="11" customWidth="1"/>
    <col min="4" max="4" width="13.77734375" customWidth="1"/>
    <col min="5" max="5" width="15.21875" customWidth="1"/>
    <col min="6" max="6" width="16.77734375" customWidth="1"/>
    <col min="7" max="7" width="16" customWidth="1"/>
    <col min="8" max="8" width="14.21875" customWidth="1"/>
    <col min="9" max="9" width="26" customWidth="1"/>
    <col min="10" max="10" width="21.21875" customWidth="1"/>
    <col min="11" max="11" width="20.33203125" customWidth="1"/>
    <col min="12" max="12" width="12.6640625" customWidth="1"/>
    <col min="13" max="13" width="15.33203125" customWidth="1"/>
    <col min="14" max="14" width="16.33203125" customWidth="1"/>
    <col min="17" max="17" width="12" customWidth="1"/>
    <col min="18" max="18" width="13.21875" customWidth="1"/>
    <col min="19" max="19" width="12.44140625" customWidth="1"/>
    <col min="20" max="20" width="19.109375" customWidth="1"/>
    <col min="21" max="21" width="20.44140625" customWidth="1"/>
    <col min="22" max="22" width="16.21875" customWidth="1"/>
    <col min="23" max="23" width="17.6640625" customWidth="1"/>
    <col min="24" max="24" width="17.21875" customWidth="1"/>
    <col min="25" max="25" width="23.6640625" customWidth="1"/>
    <col min="26" max="26" width="13.33203125" customWidth="1"/>
    <col min="27" max="27" width="18.6640625" customWidth="1"/>
    <col min="28" max="28" width="21" customWidth="1"/>
    <col min="29" max="29" width="21.5546875" customWidth="1"/>
    <col min="30" max="30" width="19.77734375" customWidth="1"/>
    <col min="31" max="31" width="20.77734375"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s="4" t="s">
        <v>77</v>
      </c>
      <c r="Y1" s="7" t="s">
        <v>78</v>
      </c>
      <c r="Z1" s="9" t="s">
        <v>79</v>
      </c>
      <c r="AA1" s="7" t="s">
        <v>80</v>
      </c>
      <c r="AB1" s="4" t="s">
        <v>81</v>
      </c>
      <c r="AC1" s="18" t="s">
        <v>88</v>
      </c>
      <c r="AD1" s="19" t="s">
        <v>89</v>
      </c>
      <c r="AE1" s="3" t="s">
        <v>90</v>
      </c>
    </row>
    <row r="2" spans="1:31" x14ac:dyDescent="0.3">
      <c r="A2">
        <v>1</v>
      </c>
      <c r="B2" t="s">
        <v>23</v>
      </c>
      <c r="C2" t="s">
        <v>24</v>
      </c>
      <c r="D2" s="1">
        <v>45476</v>
      </c>
      <c r="E2" s="2">
        <v>0.99791666666666667</v>
      </c>
      <c r="F2" t="s">
        <v>25</v>
      </c>
      <c r="G2">
        <v>121</v>
      </c>
      <c r="H2">
        <v>8203</v>
      </c>
      <c r="I2">
        <v>72</v>
      </c>
      <c r="J2" s="2">
        <v>0.4284722222222222</v>
      </c>
      <c r="K2" t="s">
        <v>26</v>
      </c>
      <c r="L2" t="s">
        <v>27</v>
      </c>
      <c r="M2" t="s">
        <v>28</v>
      </c>
      <c r="N2" t="s">
        <v>29</v>
      </c>
      <c r="O2">
        <v>299</v>
      </c>
      <c r="P2">
        <v>1746</v>
      </c>
      <c r="Q2">
        <v>589</v>
      </c>
      <c r="R2">
        <v>1.7</v>
      </c>
      <c r="S2" t="s">
        <v>30</v>
      </c>
      <c r="T2" t="s">
        <v>31</v>
      </c>
      <c r="U2" t="s">
        <v>32</v>
      </c>
      <c r="V2" t="s">
        <v>33</v>
      </c>
      <c r="W2">
        <v>8883</v>
      </c>
      <c r="X2" s="6" t="str">
        <f>IF(H2&gt;15000,"HIGH",IF(H2&gt;80000,"MEDIUM","LOW"))</f>
        <v>LOW</v>
      </c>
      <c r="Y2" s="8" t="str">
        <f>VLOOKUP(A2,A:B,2,FALSE)</f>
        <v>Movie</v>
      </c>
      <c r="Z2" s="10" t="str">
        <f>INDEX(C:C,MATCH(A2,A:A,0))</f>
        <v>Thriller</v>
      </c>
      <c r="AA2" s="8" t="str">
        <f>IF(AND(H2&gt;1000,V2="YES"),"YES","NO")</f>
        <v>NO</v>
      </c>
      <c r="AB2" s="17" t="str">
        <f>IF(R2&gt;AVERAGE(R:R),"YES","NO")</f>
        <v>NO</v>
      </c>
      <c r="AC2" s="10">
        <f>SUM(H:H)</f>
        <v>26202699</v>
      </c>
      <c r="AD2" s="20">
        <f>AVERAGE(I:I)</f>
        <v>64.612648221343875</v>
      </c>
      <c r="AE2">
        <f>SUM(X:X)</f>
        <v>0</v>
      </c>
    </row>
    <row r="3" spans="1:31" x14ac:dyDescent="0.3">
      <c r="A3">
        <v>2</v>
      </c>
      <c r="B3" t="s">
        <v>34</v>
      </c>
      <c r="C3" t="s">
        <v>35</v>
      </c>
      <c r="D3" s="1">
        <v>45543</v>
      </c>
      <c r="E3" s="2">
        <v>0.87291666666666667</v>
      </c>
      <c r="F3" t="s">
        <v>26</v>
      </c>
      <c r="G3">
        <v>1200</v>
      </c>
      <c r="H3">
        <v>64148</v>
      </c>
      <c r="I3">
        <v>115</v>
      </c>
      <c r="J3" s="2">
        <v>0.64236111111111116</v>
      </c>
      <c r="K3" t="s">
        <v>36</v>
      </c>
      <c r="L3" t="s">
        <v>37</v>
      </c>
      <c r="M3" t="s">
        <v>38</v>
      </c>
      <c r="N3" t="s">
        <v>39</v>
      </c>
      <c r="O3">
        <v>1615</v>
      </c>
      <c r="P3">
        <v>36</v>
      </c>
      <c r="Q3">
        <v>127</v>
      </c>
      <c r="R3">
        <v>1.1000000000000001</v>
      </c>
      <c r="S3" t="s">
        <v>40</v>
      </c>
      <c r="T3" t="s">
        <v>31</v>
      </c>
      <c r="U3" t="s">
        <v>41</v>
      </c>
      <c r="V3" t="s">
        <v>42</v>
      </c>
      <c r="W3">
        <v>3850</v>
      </c>
      <c r="X3" s="6" t="str">
        <f t="shared" ref="X3:X66" si="0">IF(H3&gt;100000,"HIGH","LOW")</f>
        <v>LOW</v>
      </c>
      <c r="Y3" s="8" t="str">
        <f t="shared" ref="Y3:Y66" si="1">VLOOKUP(A3,A:B,2,FALSE)</f>
        <v>Series</v>
      </c>
      <c r="Z3" s="10" t="str">
        <f t="shared" ref="Z3:Z66" si="2">INDEX(C:C,MATCH(A3,A:A,0))</f>
        <v>Comedy</v>
      </c>
      <c r="AA3" s="8" t="str">
        <f t="shared" ref="AA3:AA66" si="3">IF(AND(H3&gt;1000,V3="YES"),"YES","NO")</f>
        <v>NO</v>
      </c>
      <c r="AB3" s="6" t="str">
        <f t="shared" ref="AB3:AB66" si="4">IF(R3&gt;AVERAGE(R:R),"YES","NO")</f>
        <v>NO</v>
      </c>
    </row>
    <row r="4" spans="1:31" x14ac:dyDescent="0.3">
      <c r="A4">
        <v>3</v>
      </c>
      <c r="B4" t="s">
        <v>23</v>
      </c>
      <c r="C4" t="s">
        <v>43</v>
      </c>
      <c r="D4" s="1">
        <v>45542</v>
      </c>
      <c r="E4" s="2">
        <v>0.97569444444444442</v>
      </c>
      <c r="F4" t="s">
        <v>26</v>
      </c>
      <c r="G4">
        <v>170</v>
      </c>
      <c r="H4">
        <v>8216</v>
      </c>
      <c r="I4">
        <v>43</v>
      </c>
      <c r="J4" s="2">
        <v>0.36805555555555558</v>
      </c>
      <c r="K4" t="s">
        <v>44</v>
      </c>
      <c r="L4" t="s">
        <v>37</v>
      </c>
      <c r="M4" t="s">
        <v>38</v>
      </c>
      <c r="N4" t="s">
        <v>39</v>
      </c>
      <c r="O4">
        <v>1502</v>
      </c>
      <c r="P4">
        <v>837</v>
      </c>
      <c r="Q4">
        <v>1084</v>
      </c>
      <c r="R4">
        <v>3</v>
      </c>
      <c r="S4" t="s">
        <v>30</v>
      </c>
      <c r="T4" t="s">
        <v>45</v>
      </c>
      <c r="U4" t="s">
        <v>46</v>
      </c>
      <c r="V4" t="s">
        <v>47</v>
      </c>
      <c r="W4">
        <v>7835</v>
      </c>
      <c r="X4" s="6" t="str">
        <f t="shared" si="0"/>
        <v>LOW</v>
      </c>
      <c r="Y4" s="8" t="str">
        <f t="shared" si="1"/>
        <v>Movie</v>
      </c>
      <c r="Z4" s="10" t="str">
        <f t="shared" si="2"/>
        <v>Sci-Fi</v>
      </c>
      <c r="AA4" s="8" t="str">
        <f t="shared" si="3"/>
        <v>NO</v>
      </c>
      <c r="AB4" s="6" t="str">
        <f t="shared" si="4"/>
        <v>YES</v>
      </c>
    </row>
    <row r="5" spans="1:31" x14ac:dyDescent="0.3">
      <c r="A5">
        <v>4</v>
      </c>
      <c r="B5" t="s">
        <v>34</v>
      </c>
      <c r="C5" t="s">
        <v>48</v>
      </c>
      <c r="D5" s="1">
        <v>45488</v>
      </c>
      <c r="E5" s="2">
        <v>0.29097222222222224</v>
      </c>
      <c r="F5" t="s">
        <v>26</v>
      </c>
      <c r="G5">
        <v>506</v>
      </c>
      <c r="H5">
        <v>52848</v>
      </c>
      <c r="I5">
        <v>87</v>
      </c>
      <c r="J5" s="2">
        <v>0.62291666666666667</v>
      </c>
      <c r="K5" t="s">
        <v>26</v>
      </c>
      <c r="L5" t="s">
        <v>49</v>
      </c>
      <c r="M5" t="s">
        <v>28</v>
      </c>
      <c r="N5" t="s">
        <v>50</v>
      </c>
      <c r="O5">
        <v>2148</v>
      </c>
      <c r="P5">
        <v>1743</v>
      </c>
      <c r="Q5">
        <v>563</v>
      </c>
      <c r="R5">
        <v>1</v>
      </c>
      <c r="S5" t="s">
        <v>51</v>
      </c>
      <c r="T5" t="s">
        <v>45</v>
      </c>
      <c r="U5" t="s">
        <v>52</v>
      </c>
      <c r="V5" t="s">
        <v>53</v>
      </c>
      <c r="W5">
        <v>17506</v>
      </c>
      <c r="X5" s="6" t="str">
        <f t="shared" si="0"/>
        <v>LOW</v>
      </c>
      <c r="Y5" s="8" t="str">
        <f t="shared" si="1"/>
        <v>Series</v>
      </c>
      <c r="Z5" s="10" t="str">
        <f t="shared" si="2"/>
        <v>Romance</v>
      </c>
      <c r="AA5" s="8" t="str">
        <f t="shared" si="3"/>
        <v>NO</v>
      </c>
      <c r="AB5" s="6" t="str">
        <f t="shared" si="4"/>
        <v>NO</v>
      </c>
    </row>
    <row r="6" spans="1:31" x14ac:dyDescent="0.3">
      <c r="A6">
        <v>5</v>
      </c>
      <c r="B6" t="s">
        <v>54</v>
      </c>
      <c r="C6" t="s">
        <v>55</v>
      </c>
      <c r="D6" s="1">
        <v>45478</v>
      </c>
      <c r="E6" s="2">
        <v>0.76875000000000004</v>
      </c>
      <c r="F6" t="s">
        <v>44</v>
      </c>
      <c r="G6">
        <v>77</v>
      </c>
      <c r="H6">
        <v>14090</v>
      </c>
      <c r="I6">
        <v>42</v>
      </c>
      <c r="J6" s="2">
        <v>0.15277777777777779</v>
      </c>
      <c r="K6" t="s">
        <v>36</v>
      </c>
      <c r="L6" t="s">
        <v>56</v>
      </c>
      <c r="M6" t="s">
        <v>38</v>
      </c>
      <c r="N6" t="s">
        <v>29</v>
      </c>
      <c r="O6">
        <v>431</v>
      </c>
      <c r="P6">
        <v>863</v>
      </c>
      <c r="Q6">
        <v>1035</v>
      </c>
      <c r="R6">
        <v>4.3</v>
      </c>
      <c r="S6" t="s">
        <v>51</v>
      </c>
      <c r="T6" t="s">
        <v>31</v>
      </c>
      <c r="U6" t="s">
        <v>57</v>
      </c>
      <c r="V6" t="s">
        <v>58</v>
      </c>
      <c r="W6">
        <v>8675</v>
      </c>
      <c r="X6" s="6" t="str">
        <f t="shared" si="0"/>
        <v>LOW</v>
      </c>
      <c r="Y6" s="8" t="str">
        <f t="shared" si="1"/>
        <v>Documentary</v>
      </c>
      <c r="Z6" s="10" t="str">
        <f t="shared" si="2"/>
        <v>Fantasy</v>
      </c>
      <c r="AA6" s="8" t="str">
        <f t="shared" si="3"/>
        <v>NO</v>
      </c>
      <c r="AB6" s="6" t="str">
        <f t="shared" si="4"/>
        <v>YES</v>
      </c>
    </row>
    <row r="7" spans="1:31" x14ac:dyDescent="0.3">
      <c r="A7">
        <v>6</v>
      </c>
      <c r="B7" t="s">
        <v>23</v>
      </c>
      <c r="C7" t="s">
        <v>35</v>
      </c>
      <c r="D7" s="1">
        <v>45512</v>
      </c>
      <c r="E7" s="2">
        <v>0.7270833333333333</v>
      </c>
      <c r="F7" t="s">
        <v>26</v>
      </c>
      <c r="G7">
        <v>125</v>
      </c>
      <c r="H7">
        <v>98298</v>
      </c>
      <c r="I7">
        <v>56</v>
      </c>
      <c r="J7" s="2">
        <v>0.6166666666666667</v>
      </c>
      <c r="K7" t="s">
        <v>36</v>
      </c>
      <c r="L7" t="s">
        <v>37</v>
      </c>
      <c r="M7" t="s">
        <v>38</v>
      </c>
      <c r="N7" t="s">
        <v>39</v>
      </c>
      <c r="O7">
        <v>106</v>
      </c>
      <c r="P7">
        <v>1416</v>
      </c>
      <c r="Q7">
        <v>421</v>
      </c>
      <c r="R7">
        <v>2</v>
      </c>
      <c r="S7" t="s">
        <v>30</v>
      </c>
      <c r="T7" t="s">
        <v>31</v>
      </c>
      <c r="U7" t="s">
        <v>46</v>
      </c>
      <c r="V7" t="s">
        <v>53</v>
      </c>
      <c r="W7">
        <v>1514</v>
      </c>
      <c r="X7" s="6" t="str">
        <f t="shared" si="0"/>
        <v>LOW</v>
      </c>
      <c r="Y7" s="8" t="str">
        <f t="shared" si="1"/>
        <v>Movie</v>
      </c>
      <c r="Z7" s="10" t="str">
        <f t="shared" si="2"/>
        <v>Comedy</v>
      </c>
      <c r="AA7" s="8" t="str">
        <f t="shared" si="3"/>
        <v>NO</v>
      </c>
      <c r="AB7" s="6" t="str">
        <f t="shared" si="4"/>
        <v>NO</v>
      </c>
      <c r="AC7" s="21" t="s">
        <v>91</v>
      </c>
      <c r="AD7" s="23" t="s">
        <v>92</v>
      </c>
    </row>
    <row r="8" spans="1:31" x14ac:dyDescent="0.3">
      <c r="A8">
        <v>7</v>
      </c>
      <c r="B8" t="s">
        <v>23</v>
      </c>
      <c r="C8" t="s">
        <v>24</v>
      </c>
      <c r="D8" s="1">
        <v>45533</v>
      </c>
      <c r="E8" s="2">
        <v>8.9583333333333334E-2</v>
      </c>
      <c r="F8" t="s">
        <v>44</v>
      </c>
      <c r="G8">
        <v>101</v>
      </c>
      <c r="H8">
        <v>60062</v>
      </c>
      <c r="I8">
        <v>68</v>
      </c>
      <c r="J8" s="2">
        <v>0.92291666666666672</v>
      </c>
      <c r="K8" t="s">
        <v>44</v>
      </c>
      <c r="L8" t="s">
        <v>56</v>
      </c>
      <c r="M8" t="s">
        <v>28</v>
      </c>
      <c r="N8" t="s">
        <v>59</v>
      </c>
      <c r="O8">
        <v>2560</v>
      </c>
      <c r="P8">
        <v>459</v>
      </c>
      <c r="Q8">
        <v>1414</v>
      </c>
      <c r="R8">
        <v>4.9000000000000004</v>
      </c>
      <c r="S8" t="s">
        <v>60</v>
      </c>
      <c r="T8" t="s">
        <v>45</v>
      </c>
      <c r="U8" t="s">
        <v>32</v>
      </c>
      <c r="V8" t="s">
        <v>47</v>
      </c>
      <c r="W8">
        <v>172</v>
      </c>
      <c r="X8" s="6" t="str">
        <f t="shared" si="0"/>
        <v>LOW</v>
      </c>
      <c r="Y8" s="8" t="str">
        <f t="shared" si="1"/>
        <v>Movie</v>
      </c>
      <c r="Z8" s="10" t="str">
        <f t="shared" si="2"/>
        <v>Thriller</v>
      </c>
      <c r="AA8" s="8" t="str">
        <f t="shared" si="3"/>
        <v>NO</v>
      </c>
      <c r="AB8" s="6" t="str">
        <f t="shared" si="4"/>
        <v>YES</v>
      </c>
      <c r="AC8" s="22">
        <f>AVERAGE(R:R)</f>
        <v>2.7749011857707484</v>
      </c>
      <c r="AD8" s="24">
        <f>COUNT(A:A)</f>
        <v>506</v>
      </c>
    </row>
    <row r="9" spans="1:31" x14ac:dyDescent="0.3">
      <c r="A9">
        <v>9</v>
      </c>
      <c r="B9" t="s">
        <v>34</v>
      </c>
      <c r="C9" t="s">
        <v>64</v>
      </c>
      <c r="D9" s="1">
        <v>45511</v>
      </c>
      <c r="E9" s="2">
        <v>0.84444444444444444</v>
      </c>
      <c r="F9" t="s">
        <v>36</v>
      </c>
      <c r="G9">
        <v>220</v>
      </c>
      <c r="H9">
        <v>88751</v>
      </c>
      <c r="I9">
        <v>114</v>
      </c>
      <c r="J9" s="2">
        <v>0.36388888888888887</v>
      </c>
      <c r="K9" t="s">
        <v>26</v>
      </c>
      <c r="L9" t="s">
        <v>27</v>
      </c>
      <c r="M9" t="s">
        <v>28</v>
      </c>
      <c r="N9" t="s">
        <v>65</v>
      </c>
      <c r="O9">
        <v>2260</v>
      </c>
      <c r="P9">
        <v>1994</v>
      </c>
      <c r="Q9">
        <v>1035</v>
      </c>
      <c r="R9">
        <v>1.1000000000000001</v>
      </c>
      <c r="S9" t="s">
        <v>60</v>
      </c>
      <c r="T9" t="s">
        <v>31</v>
      </c>
      <c r="U9" t="s">
        <v>66</v>
      </c>
      <c r="V9" t="s">
        <v>47</v>
      </c>
      <c r="W9">
        <v>3132</v>
      </c>
      <c r="X9" s="6" t="str">
        <f t="shared" si="0"/>
        <v>LOW</v>
      </c>
      <c r="Y9" s="8" t="str">
        <f t="shared" si="1"/>
        <v>Series</v>
      </c>
      <c r="Z9" s="10" t="str">
        <f t="shared" si="2"/>
        <v>Drama</v>
      </c>
      <c r="AA9" s="8" t="str">
        <f t="shared" si="3"/>
        <v>NO</v>
      </c>
      <c r="AB9" s="6" t="str">
        <f t="shared" si="4"/>
        <v>NO</v>
      </c>
    </row>
    <row r="10" spans="1:31" x14ac:dyDescent="0.3">
      <c r="A10">
        <v>10</v>
      </c>
      <c r="B10" t="s">
        <v>34</v>
      </c>
      <c r="C10" t="s">
        <v>55</v>
      </c>
      <c r="D10" s="1">
        <v>45546</v>
      </c>
      <c r="E10" s="2">
        <v>0.82916666666666672</v>
      </c>
      <c r="F10" t="s">
        <v>62</v>
      </c>
      <c r="G10">
        <v>1137</v>
      </c>
      <c r="H10">
        <v>26541</v>
      </c>
      <c r="I10">
        <v>118</v>
      </c>
      <c r="J10" s="2">
        <v>2.5694444444444443E-2</v>
      </c>
      <c r="K10" t="s">
        <v>36</v>
      </c>
      <c r="L10" t="s">
        <v>27</v>
      </c>
      <c r="M10" t="s">
        <v>28</v>
      </c>
      <c r="N10" t="s">
        <v>39</v>
      </c>
      <c r="O10">
        <v>17</v>
      </c>
      <c r="P10">
        <v>1770</v>
      </c>
      <c r="Q10">
        <v>1226</v>
      </c>
      <c r="R10">
        <v>3.2</v>
      </c>
      <c r="S10" t="s">
        <v>40</v>
      </c>
      <c r="T10" t="s">
        <v>31</v>
      </c>
      <c r="U10" t="s">
        <v>32</v>
      </c>
      <c r="V10" t="s">
        <v>67</v>
      </c>
      <c r="W10">
        <v>16655</v>
      </c>
      <c r="X10" s="6" t="str">
        <f t="shared" si="0"/>
        <v>LOW</v>
      </c>
      <c r="Y10" s="8" t="str">
        <f t="shared" si="1"/>
        <v>Series</v>
      </c>
      <c r="Z10" s="10" t="str">
        <f t="shared" si="2"/>
        <v>Fantasy</v>
      </c>
      <c r="AA10" s="8" t="str">
        <f t="shared" si="3"/>
        <v>NO</v>
      </c>
      <c r="AB10" s="6" t="str">
        <f t="shared" si="4"/>
        <v>YES</v>
      </c>
    </row>
    <row r="11" spans="1:31" x14ac:dyDescent="0.3">
      <c r="A11">
        <v>11</v>
      </c>
      <c r="B11" t="s">
        <v>34</v>
      </c>
      <c r="C11" t="s">
        <v>55</v>
      </c>
      <c r="D11" s="1">
        <v>45523</v>
      </c>
      <c r="E11" s="2">
        <v>0.52430555555555558</v>
      </c>
      <c r="F11" t="s">
        <v>68</v>
      </c>
      <c r="G11">
        <v>157</v>
      </c>
      <c r="H11">
        <v>37753</v>
      </c>
      <c r="I11">
        <v>74</v>
      </c>
      <c r="J11" s="2">
        <v>0.59027777777777779</v>
      </c>
      <c r="K11" t="s">
        <v>44</v>
      </c>
      <c r="L11" t="s">
        <v>37</v>
      </c>
      <c r="M11" t="s">
        <v>38</v>
      </c>
      <c r="N11" t="s">
        <v>69</v>
      </c>
      <c r="O11">
        <v>103</v>
      </c>
      <c r="P11">
        <v>1449</v>
      </c>
      <c r="Q11">
        <v>711</v>
      </c>
      <c r="R11">
        <v>1.3</v>
      </c>
      <c r="S11" t="s">
        <v>60</v>
      </c>
      <c r="T11" t="s">
        <v>31</v>
      </c>
      <c r="U11" t="s">
        <v>46</v>
      </c>
      <c r="V11" t="s">
        <v>47</v>
      </c>
      <c r="W11">
        <v>2664</v>
      </c>
      <c r="X11" s="6" t="str">
        <f t="shared" si="0"/>
        <v>LOW</v>
      </c>
      <c r="Y11" s="8" t="str">
        <f t="shared" si="1"/>
        <v>Series</v>
      </c>
      <c r="Z11" s="10" t="str">
        <f t="shared" si="2"/>
        <v>Fantasy</v>
      </c>
      <c r="AA11" s="8" t="str">
        <f t="shared" si="3"/>
        <v>NO</v>
      </c>
      <c r="AB11" s="6" t="str">
        <f t="shared" si="4"/>
        <v>NO</v>
      </c>
    </row>
    <row r="12" spans="1:31" x14ac:dyDescent="0.3">
      <c r="A12">
        <v>12</v>
      </c>
      <c r="B12" t="s">
        <v>23</v>
      </c>
      <c r="C12" t="s">
        <v>64</v>
      </c>
      <c r="D12" s="1">
        <v>45526</v>
      </c>
      <c r="E12" s="2">
        <v>9.7222222222222224E-2</v>
      </c>
      <c r="F12" t="s">
        <v>36</v>
      </c>
      <c r="G12">
        <v>109</v>
      </c>
      <c r="H12">
        <v>62425</v>
      </c>
      <c r="I12">
        <v>41</v>
      </c>
      <c r="J12" s="2">
        <v>0.81597222222222221</v>
      </c>
      <c r="K12" t="s">
        <v>26</v>
      </c>
      <c r="L12" t="s">
        <v>27</v>
      </c>
      <c r="M12" t="s">
        <v>38</v>
      </c>
      <c r="N12" t="s">
        <v>59</v>
      </c>
      <c r="O12">
        <v>1122</v>
      </c>
      <c r="P12">
        <v>322</v>
      </c>
      <c r="Q12">
        <v>696</v>
      </c>
      <c r="R12">
        <v>2</v>
      </c>
      <c r="S12" t="s">
        <v>51</v>
      </c>
      <c r="T12" t="s">
        <v>63</v>
      </c>
      <c r="U12" t="s">
        <v>32</v>
      </c>
      <c r="V12" t="s">
        <v>67</v>
      </c>
      <c r="W12">
        <v>5411</v>
      </c>
      <c r="X12" s="6" t="str">
        <f t="shared" ref="X12" si="5">IF(H12&gt;15000,"HIGH",IF(H12&gt;80000,"MEDIUM","LOW"))</f>
        <v>HIGH</v>
      </c>
      <c r="Y12" s="8" t="str">
        <f t="shared" si="1"/>
        <v>Movie</v>
      </c>
      <c r="Z12" s="10" t="str">
        <f t="shared" si="2"/>
        <v>Drama</v>
      </c>
      <c r="AA12" s="8" t="str">
        <f t="shared" si="3"/>
        <v>NO</v>
      </c>
      <c r="AB12" s="6" t="str">
        <f t="shared" si="4"/>
        <v>NO</v>
      </c>
    </row>
    <row r="13" spans="1:31" x14ac:dyDescent="0.3">
      <c r="A13">
        <v>13</v>
      </c>
      <c r="B13" t="s">
        <v>23</v>
      </c>
      <c r="C13" t="s">
        <v>43</v>
      </c>
      <c r="D13" s="1">
        <v>45509</v>
      </c>
      <c r="E13" s="2">
        <v>0.47499999999999998</v>
      </c>
      <c r="F13" t="s">
        <v>26</v>
      </c>
      <c r="G13">
        <v>139</v>
      </c>
      <c r="H13">
        <v>78308</v>
      </c>
      <c r="I13">
        <v>58</v>
      </c>
      <c r="J13" s="2">
        <v>0.48819444444444443</v>
      </c>
      <c r="K13" t="s">
        <v>36</v>
      </c>
      <c r="L13" t="s">
        <v>37</v>
      </c>
      <c r="M13" t="s">
        <v>28</v>
      </c>
      <c r="N13" t="s">
        <v>69</v>
      </c>
      <c r="O13">
        <v>2544</v>
      </c>
      <c r="P13">
        <v>1746</v>
      </c>
      <c r="Q13">
        <v>104</v>
      </c>
      <c r="R13">
        <v>2.1</v>
      </c>
      <c r="S13" t="s">
        <v>60</v>
      </c>
      <c r="T13" t="s">
        <v>63</v>
      </c>
      <c r="U13" t="s">
        <v>70</v>
      </c>
      <c r="V13" t="s">
        <v>47</v>
      </c>
      <c r="W13">
        <v>13857</v>
      </c>
      <c r="X13" s="6" t="str">
        <f t="shared" si="0"/>
        <v>LOW</v>
      </c>
      <c r="Y13" s="8" t="str">
        <f t="shared" si="1"/>
        <v>Movie</v>
      </c>
      <c r="Z13" s="10" t="str">
        <f t="shared" si="2"/>
        <v>Sci-Fi</v>
      </c>
      <c r="AA13" s="8" t="str">
        <f t="shared" si="3"/>
        <v>NO</v>
      </c>
      <c r="AB13" s="6" t="str">
        <f t="shared" si="4"/>
        <v>NO</v>
      </c>
    </row>
    <row r="14" spans="1:31" x14ac:dyDescent="0.3">
      <c r="A14">
        <v>14</v>
      </c>
      <c r="B14" t="s">
        <v>54</v>
      </c>
      <c r="C14" t="s">
        <v>35</v>
      </c>
      <c r="D14" s="1">
        <v>45537</v>
      </c>
      <c r="E14" s="2">
        <v>3.5416666666666666E-2</v>
      </c>
      <c r="F14" t="s">
        <v>62</v>
      </c>
      <c r="G14">
        <v>91</v>
      </c>
      <c r="H14">
        <v>96842</v>
      </c>
      <c r="I14">
        <v>27</v>
      </c>
      <c r="J14" s="2">
        <v>0.11805555555555555</v>
      </c>
      <c r="K14" t="s">
        <v>36</v>
      </c>
      <c r="L14" t="s">
        <v>56</v>
      </c>
      <c r="M14" t="s">
        <v>28</v>
      </c>
      <c r="N14" t="s">
        <v>71</v>
      </c>
      <c r="O14">
        <v>151</v>
      </c>
      <c r="P14">
        <v>1422</v>
      </c>
      <c r="Q14">
        <v>744</v>
      </c>
      <c r="R14">
        <v>4.8</v>
      </c>
      <c r="S14" t="s">
        <v>60</v>
      </c>
      <c r="T14" t="s">
        <v>63</v>
      </c>
      <c r="U14" t="s">
        <v>41</v>
      </c>
      <c r="V14" t="s">
        <v>58</v>
      </c>
      <c r="W14">
        <v>16500</v>
      </c>
      <c r="X14" s="6" t="str">
        <f t="shared" si="0"/>
        <v>LOW</v>
      </c>
      <c r="Y14" s="8" t="str">
        <f t="shared" si="1"/>
        <v>Documentary</v>
      </c>
      <c r="Z14" s="10" t="str">
        <f t="shared" si="2"/>
        <v>Comedy</v>
      </c>
      <c r="AA14" s="8" t="str">
        <f t="shared" si="3"/>
        <v>NO</v>
      </c>
      <c r="AB14" s="6" t="str">
        <f t="shared" si="4"/>
        <v>YES</v>
      </c>
    </row>
    <row r="15" spans="1:31" x14ac:dyDescent="0.3">
      <c r="A15">
        <v>15</v>
      </c>
      <c r="B15" t="s">
        <v>54</v>
      </c>
      <c r="C15" t="s">
        <v>72</v>
      </c>
      <c r="D15" s="1">
        <v>45493</v>
      </c>
      <c r="E15" s="2">
        <v>0.35833333333333334</v>
      </c>
      <c r="F15" t="s">
        <v>25</v>
      </c>
      <c r="G15">
        <v>104</v>
      </c>
      <c r="H15">
        <v>53365</v>
      </c>
      <c r="I15">
        <v>67</v>
      </c>
      <c r="J15" s="2">
        <v>0.69652777777777775</v>
      </c>
      <c r="K15" t="s">
        <v>44</v>
      </c>
      <c r="L15" t="s">
        <v>56</v>
      </c>
      <c r="M15" t="s">
        <v>28</v>
      </c>
      <c r="N15" t="s">
        <v>69</v>
      </c>
      <c r="O15">
        <v>230</v>
      </c>
      <c r="P15">
        <v>711</v>
      </c>
      <c r="Q15">
        <v>950</v>
      </c>
      <c r="R15">
        <v>2.2999999999999998</v>
      </c>
      <c r="S15" t="s">
        <v>60</v>
      </c>
      <c r="T15" t="s">
        <v>45</v>
      </c>
      <c r="U15" t="s">
        <v>32</v>
      </c>
      <c r="V15" t="s">
        <v>58</v>
      </c>
      <c r="W15">
        <v>15807</v>
      </c>
      <c r="X15" s="6" t="str">
        <f t="shared" si="0"/>
        <v>LOW</v>
      </c>
      <c r="Y15" s="8" t="str">
        <f t="shared" si="1"/>
        <v>Documentary</v>
      </c>
      <c r="Z15" s="10" t="str">
        <f t="shared" si="2"/>
        <v>Action</v>
      </c>
      <c r="AA15" s="8" t="str">
        <f t="shared" si="3"/>
        <v>NO</v>
      </c>
      <c r="AB15" s="6" t="str">
        <f t="shared" si="4"/>
        <v>NO</v>
      </c>
    </row>
    <row r="16" spans="1:31" x14ac:dyDescent="0.3">
      <c r="A16">
        <v>16</v>
      </c>
      <c r="B16" t="s">
        <v>34</v>
      </c>
      <c r="C16" t="s">
        <v>43</v>
      </c>
      <c r="D16" s="1">
        <v>45479</v>
      </c>
      <c r="E16" s="2">
        <v>0.625</v>
      </c>
      <c r="F16" t="s">
        <v>36</v>
      </c>
      <c r="G16">
        <v>257</v>
      </c>
      <c r="H16">
        <v>2441</v>
      </c>
      <c r="I16">
        <v>64</v>
      </c>
      <c r="J16" s="2">
        <v>0.28749999999999998</v>
      </c>
      <c r="K16" t="s">
        <v>62</v>
      </c>
      <c r="L16" t="s">
        <v>37</v>
      </c>
      <c r="M16" t="s">
        <v>28</v>
      </c>
      <c r="N16" t="s">
        <v>69</v>
      </c>
      <c r="O16">
        <v>199</v>
      </c>
      <c r="P16">
        <v>1879</v>
      </c>
      <c r="Q16">
        <v>569</v>
      </c>
      <c r="R16">
        <v>1</v>
      </c>
      <c r="S16" t="s">
        <v>51</v>
      </c>
      <c r="T16" t="s">
        <v>63</v>
      </c>
      <c r="U16" t="s">
        <v>46</v>
      </c>
      <c r="V16" t="s">
        <v>47</v>
      </c>
      <c r="W16">
        <v>18176</v>
      </c>
      <c r="X16" s="6" t="str">
        <f t="shared" si="0"/>
        <v>LOW</v>
      </c>
      <c r="Y16" s="8" t="str">
        <f t="shared" si="1"/>
        <v>Series</v>
      </c>
      <c r="Z16" s="10" t="str">
        <f t="shared" si="2"/>
        <v>Sci-Fi</v>
      </c>
      <c r="AA16" s="8" t="str">
        <f t="shared" si="3"/>
        <v>NO</v>
      </c>
      <c r="AB16" s="6" t="str">
        <f t="shared" si="4"/>
        <v>NO</v>
      </c>
    </row>
    <row r="17" spans="1:28" x14ac:dyDescent="0.3">
      <c r="A17">
        <v>17</v>
      </c>
      <c r="B17" t="s">
        <v>34</v>
      </c>
      <c r="C17" t="s">
        <v>64</v>
      </c>
      <c r="D17" s="1">
        <v>45493</v>
      </c>
      <c r="E17" s="2">
        <v>0.58680555555555558</v>
      </c>
      <c r="F17" t="s">
        <v>73</v>
      </c>
      <c r="G17">
        <v>807</v>
      </c>
      <c r="H17">
        <v>74964</v>
      </c>
      <c r="I17">
        <v>80</v>
      </c>
      <c r="J17" s="2">
        <v>6.1805555555555558E-2</v>
      </c>
      <c r="K17" t="s">
        <v>26</v>
      </c>
      <c r="L17" t="s">
        <v>27</v>
      </c>
      <c r="M17" t="s">
        <v>38</v>
      </c>
      <c r="N17" t="s">
        <v>29</v>
      </c>
      <c r="O17">
        <v>844</v>
      </c>
      <c r="P17">
        <v>1234</v>
      </c>
      <c r="Q17">
        <v>558</v>
      </c>
      <c r="R17">
        <v>2.9</v>
      </c>
      <c r="S17" t="s">
        <v>40</v>
      </c>
      <c r="T17" t="s">
        <v>45</v>
      </c>
      <c r="U17" t="s">
        <v>74</v>
      </c>
      <c r="V17" t="s">
        <v>42</v>
      </c>
      <c r="W17">
        <v>7341</v>
      </c>
      <c r="X17" s="6" t="str">
        <f t="shared" si="0"/>
        <v>LOW</v>
      </c>
      <c r="Y17" s="8" t="str">
        <f t="shared" si="1"/>
        <v>Series</v>
      </c>
      <c r="Z17" s="10" t="str">
        <f t="shared" si="2"/>
        <v>Drama</v>
      </c>
      <c r="AA17" s="8" t="str">
        <f t="shared" si="3"/>
        <v>NO</v>
      </c>
      <c r="AB17" s="6" t="str">
        <f t="shared" si="4"/>
        <v>YES</v>
      </c>
    </row>
    <row r="18" spans="1:28" x14ac:dyDescent="0.3">
      <c r="A18">
        <v>18</v>
      </c>
      <c r="B18" t="s">
        <v>34</v>
      </c>
      <c r="C18" t="s">
        <v>75</v>
      </c>
      <c r="D18" s="1">
        <v>45480</v>
      </c>
      <c r="E18" s="2">
        <v>0.70416666666666672</v>
      </c>
      <c r="F18" t="s">
        <v>26</v>
      </c>
      <c r="G18">
        <v>783</v>
      </c>
      <c r="H18">
        <v>36524</v>
      </c>
      <c r="I18">
        <v>129</v>
      </c>
      <c r="J18" s="2">
        <v>0.41249999999999998</v>
      </c>
      <c r="K18" t="s">
        <v>36</v>
      </c>
      <c r="L18" t="s">
        <v>27</v>
      </c>
      <c r="M18" t="s">
        <v>28</v>
      </c>
      <c r="N18" t="s">
        <v>29</v>
      </c>
      <c r="O18">
        <v>2670</v>
      </c>
      <c r="P18">
        <v>345</v>
      </c>
      <c r="Q18">
        <v>771</v>
      </c>
      <c r="R18">
        <v>1</v>
      </c>
      <c r="S18" t="s">
        <v>51</v>
      </c>
      <c r="T18" t="s">
        <v>45</v>
      </c>
      <c r="U18" t="s">
        <v>74</v>
      </c>
      <c r="V18" t="s">
        <v>53</v>
      </c>
      <c r="W18">
        <v>11849</v>
      </c>
      <c r="X18" s="6" t="str">
        <f t="shared" si="0"/>
        <v>LOW</v>
      </c>
      <c r="Y18" s="8" t="str">
        <f t="shared" si="1"/>
        <v>Series</v>
      </c>
      <c r="Z18" s="10" t="str">
        <f t="shared" si="2"/>
        <v>Nature</v>
      </c>
      <c r="AA18" s="8" t="str">
        <f t="shared" si="3"/>
        <v>NO</v>
      </c>
      <c r="AB18" s="6" t="str">
        <f t="shared" si="4"/>
        <v>NO</v>
      </c>
    </row>
    <row r="19" spans="1:28" x14ac:dyDescent="0.3">
      <c r="A19">
        <v>19</v>
      </c>
      <c r="B19" t="s">
        <v>23</v>
      </c>
      <c r="C19" t="s">
        <v>64</v>
      </c>
      <c r="D19" s="1">
        <v>45486</v>
      </c>
      <c r="E19" s="2">
        <v>0.25486111111111109</v>
      </c>
      <c r="F19" t="s">
        <v>44</v>
      </c>
      <c r="G19">
        <v>113</v>
      </c>
      <c r="H19">
        <v>56096</v>
      </c>
      <c r="I19">
        <v>64</v>
      </c>
      <c r="J19" s="2">
        <v>0.62013888888888891</v>
      </c>
      <c r="K19" t="s">
        <v>44</v>
      </c>
      <c r="L19" t="s">
        <v>27</v>
      </c>
      <c r="M19" t="s">
        <v>38</v>
      </c>
      <c r="N19" t="s">
        <v>50</v>
      </c>
      <c r="O19">
        <v>2051</v>
      </c>
      <c r="P19">
        <v>164</v>
      </c>
      <c r="Q19">
        <v>387</v>
      </c>
      <c r="R19">
        <v>3.1</v>
      </c>
      <c r="S19" t="s">
        <v>30</v>
      </c>
      <c r="T19" t="s">
        <v>31</v>
      </c>
      <c r="U19" t="s">
        <v>41</v>
      </c>
      <c r="V19" t="s">
        <v>53</v>
      </c>
      <c r="W19">
        <v>12813</v>
      </c>
      <c r="X19" s="6" t="str">
        <f t="shared" si="0"/>
        <v>LOW</v>
      </c>
      <c r="Y19" s="8" t="str">
        <f t="shared" si="1"/>
        <v>Movie</v>
      </c>
      <c r="Z19" s="10" t="str">
        <f t="shared" si="2"/>
        <v>Drama</v>
      </c>
      <c r="AA19" s="8" t="str">
        <f t="shared" si="3"/>
        <v>NO</v>
      </c>
      <c r="AB19" s="6" t="str">
        <f t="shared" si="4"/>
        <v>YES</v>
      </c>
    </row>
    <row r="20" spans="1:28" x14ac:dyDescent="0.3">
      <c r="A20">
        <v>20</v>
      </c>
      <c r="B20" t="s">
        <v>23</v>
      </c>
      <c r="C20" t="s">
        <v>48</v>
      </c>
      <c r="D20" s="1">
        <v>45519</v>
      </c>
      <c r="E20" s="2">
        <v>0.8569444444444444</v>
      </c>
      <c r="F20" t="s">
        <v>73</v>
      </c>
      <c r="G20">
        <v>194</v>
      </c>
      <c r="H20">
        <v>4713</v>
      </c>
      <c r="I20">
        <v>86</v>
      </c>
      <c r="J20" s="2">
        <v>1.6666666666666666E-2</v>
      </c>
      <c r="K20" t="s">
        <v>26</v>
      </c>
      <c r="L20" t="s">
        <v>27</v>
      </c>
      <c r="M20" t="s">
        <v>28</v>
      </c>
      <c r="N20" t="s">
        <v>39</v>
      </c>
      <c r="O20">
        <v>1360</v>
      </c>
      <c r="P20">
        <v>1823</v>
      </c>
      <c r="Q20">
        <v>1402</v>
      </c>
      <c r="R20">
        <v>3.5</v>
      </c>
      <c r="S20" t="s">
        <v>30</v>
      </c>
      <c r="T20" t="s">
        <v>31</v>
      </c>
      <c r="U20" t="s">
        <v>57</v>
      </c>
      <c r="V20" t="s">
        <v>53</v>
      </c>
      <c r="W20">
        <v>9615</v>
      </c>
      <c r="X20" s="6" t="str">
        <f t="shared" si="0"/>
        <v>LOW</v>
      </c>
      <c r="Y20" s="8" t="str">
        <f t="shared" si="1"/>
        <v>Movie</v>
      </c>
      <c r="Z20" s="10" t="str">
        <f t="shared" si="2"/>
        <v>Romance</v>
      </c>
      <c r="AA20" s="8" t="str">
        <f t="shared" si="3"/>
        <v>NO</v>
      </c>
      <c r="AB20" s="6" t="str">
        <f t="shared" si="4"/>
        <v>YES</v>
      </c>
    </row>
    <row r="21" spans="1:28" x14ac:dyDescent="0.3">
      <c r="A21">
        <v>21</v>
      </c>
      <c r="B21" t="s">
        <v>34</v>
      </c>
      <c r="C21" t="s">
        <v>75</v>
      </c>
      <c r="D21" s="1">
        <v>45502</v>
      </c>
      <c r="E21" s="2">
        <v>9.375E-2</v>
      </c>
      <c r="F21" t="s">
        <v>25</v>
      </c>
      <c r="G21">
        <v>827</v>
      </c>
      <c r="H21">
        <v>17275</v>
      </c>
      <c r="I21">
        <v>84</v>
      </c>
      <c r="J21" s="2">
        <v>0.76458333333333328</v>
      </c>
      <c r="K21" t="s">
        <v>36</v>
      </c>
      <c r="L21" t="s">
        <v>27</v>
      </c>
      <c r="M21" t="s">
        <v>38</v>
      </c>
      <c r="N21" t="s">
        <v>59</v>
      </c>
      <c r="O21">
        <v>2526</v>
      </c>
      <c r="P21">
        <v>1050</v>
      </c>
      <c r="Q21">
        <v>802</v>
      </c>
      <c r="R21">
        <v>1.3</v>
      </c>
      <c r="S21" t="s">
        <v>30</v>
      </c>
      <c r="T21" t="s">
        <v>45</v>
      </c>
      <c r="U21" t="s">
        <v>66</v>
      </c>
      <c r="V21" t="s">
        <v>58</v>
      </c>
      <c r="W21">
        <v>8633</v>
      </c>
      <c r="X21" s="6" t="str">
        <f t="shared" si="0"/>
        <v>LOW</v>
      </c>
      <c r="Y21" s="8" t="str">
        <f t="shared" si="1"/>
        <v>Series</v>
      </c>
      <c r="Z21" s="10" t="str">
        <f t="shared" si="2"/>
        <v>Nature</v>
      </c>
      <c r="AA21" s="8" t="str">
        <f t="shared" si="3"/>
        <v>NO</v>
      </c>
      <c r="AB21" s="6" t="str">
        <f t="shared" si="4"/>
        <v>NO</v>
      </c>
    </row>
    <row r="22" spans="1:28" x14ac:dyDescent="0.3">
      <c r="A22">
        <v>22</v>
      </c>
      <c r="B22" t="s">
        <v>23</v>
      </c>
      <c r="C22" t="s">
        <v>24</v>
      </c>
      <c r="D22" s="1">
        <v>45523</v>
      </c>
      <c r="E22" s="2">
        <v>0.5805555555555556</v>
      </c>
      <c r="F22" t="s">
        <v>36</v>
      </c>
      <c r="G22">
        <v>144</v>
      </c>
      <c r="H22">
        <v>37187</v>
      </c>
      <c r="I22">
        <v>34</v>
      </c>
      <c r="J22" s="2">
        <v>0.53333333333333333</v>
      </c>
      <c r="K22" t="s">
        <v>44</v>
      </c>
      <c r="L22" t="s">
        <v>27</v>
      </c>
      <c r="M22" t="s">
        <v>38</v>
      </c>
      <c r="N22" t="s">
        <v>59</v>
      </c>
      <c r="O22">
        <v>1465</v>
      </c>
      <c r="P22">
        <v>481</v>
      </c>
      <c r="Q22">
        <v>1336</v>
      </c>
      <c r="R22">
        <v>5</v>
      </c>
      <c r="S22" t="s">
        <v>60</v>
      </c>
      <c r="T22" t="s">
        <v>45</v>
      </c>
      <c r="U22" t="s">
        <v>46</v>
      </c>
      <c r="V22" t="s">
        <v>47</v>
      </c>
      <c r="W22">
        <v>15438</v>
      </c>
      <c r="X22" s="6" t="str">
        <f t="shared" ref="X22" si="6">IF(H22&gt;15000,"HIGH",IF(H22&gt;80000,"MEDIUM","LOW"))</f>
        <v>HIGH</v>
      </c>
      <c r="Y22" s="8" t="str">
        <f t="shared" si="1"/>
        <v>Movie</v>
      </c>
      <c r="Z22" s="10" t="str">
        <f t="shared" si="2"/>
        <v>Thriller</v>
      </c>
      <c r="AA22" s="8" t="str">
        <f t="shared" si="3"/>
        <v>NO</v>
      </c>
      <c r="AB22" s="6" t="str">
        <f t="shared" si="4"/>
        <v>YES</v>
      </c>
    </row>
    <row r="23" spans="1:28" x14ac:dyDescent="0.3">
      <c r="A23">
        <v>23</v>
      </c>
      <c r="B23" t="s">
        <v>23</v>
      </c>
      <c r="C23" t="s">
        <v>24</v>
      </c>
      <c r="D23" s="1">
        <v>45544</v>
      </c>
      <c r="E23" s="2">
        <v>0.53888888888888886</v>
      </c>
      <c r="F23" t="s">
        <v>62</v>
      </c>
      <c r="G23">
        <v>192</v>
      </c>
      <c r="H23">
        <v>12399</v>
      </c>
      <c r="I23">
        <v>49</v>
      </c>
      <c r="J23" s="2">
        <v>5.6944444444444443E-2</v>
      </c>
      <c r="K23" t="s">
        <v>26</v>
      </c>
      <c r="L23" t="s">
        <v>27</v>
      </c>
      <c r="M23" t="s">
        <v>38</v>
      </c>
      <c r="N23" t="s">
        <v>29</v>
      </c>
      <c r="O23">
        <v>612</v>
      </c>
      <c r="P23">
        <v>1160</v>
      </c>
      <c r="Q23">
        <v>362</v>
      </c>
      <c r="R23">
        <v>3.7</v>
      </c>
      <c r="S23" t="s">
        <v>40</v>
      </c>
      <c r="T23" t="s">
        <v>45</v>
      </c>
      <c r="U23" t="s">
        <v>32</v>
      </c>
      <c r="V23" t="s">
        <v>33</v>
      </c>
      <c r="W23">
        <v>17334</v>
      </c>
      <c r="X23" s="6" t="str">
        <f t="shared" si="0"/>
        <v>LOW</v>
      </c>
      <c r="Y23" s="8" t="str">
        <f t="shared" si="1"/>
        <v>Movie</v>
      </c>
      <c r="Z23" s="10" t="str">
        <f t="shared" si="2"/>
        <v>Thriller</v>
      </c>
      <c r="AA23" s="8" t="str">
        <f t="shared" si="3"/>
        <v>NO</v>
      </c>
      <c r="AB23" s="6" t="str">
        <f t="shared" si="4"/>
        <v>YES</v>
      </c>
    </row>
    <row r="24" spans="1:28" x14ac:dyDescent="0.3">
      <c r="A24">
        <v>24</v>
      </c>
      <c r="B24" t="s">
        <v>54</v>
      </c>
      <c r="C24" t="s">
        <v>64</v>
      </c>
      <c r="D24" s="1">
        <v>45549</v>
      </c>
      <c r="E24" s="2">
        <v>0.66736111111111107</v>
      </c>
      <c r="F24" t="s">
        <v>44</v>
      </c>
      <c r="G24">
        <v>52</v>
      </c>
      <c r="H24">
        <v>58909</v>
      </c>
      <c r="I24">
        <v>40</v>
      </c>
      <c r="J24" s="2">
        <v>0.11597222222222223</v>
      </c>
      <c r="K24" t="s">
        <v>36</v>
      </c>
      <c r="L24" t="s">
        <v>27</v>
      </c>
      <c r="M24" t="s">
        <v>38</v>
      </c>
      <c r="N24" t="s">
        <v>69</v>
      </c>
      <c r="O24">
        <v>87</v>
      </c>
      <c r="P24">
        <v>655</v>
      </c>
      <c r="Q24">
        <v>412</v>
      </c>
      <c r="R24">
        <v>4.0999999999999996</v>
      </c>
      <c r="S24" t="s">
        <v>60</v>
      </c>
      <c r="T24" t="s">
        <v>31</v>
      </c>
      <c r="U24" t="s">
        <v>70</v>
      </c>
      <c r="V24" t="s">
        <v>67</v>
      </c>
      <c r="W24">
        <v>13537</v>
      </c>
      <c r="X24" s="6" t="str">
        <f t="shared" si="0"/>
        <v>LOW</v>
      </c>
      <c r="Y24" s="8" t="str">
        <f t="shared" si="1"/>
        <v>Documentary</v>
      </c>
      <c r="Z24" s="10" t="str">
        <f t="shared" si="2"/>
        <v>Drama</v>
      </c>
      <c r="AA24" s="8" t="str">
        <f t="shared" si="3"/>
        <v>NO</v>
      </c>
      <c r="AB24" s="6" t="str">
        <f t="shared" si="4"/>
        <v>YES</v>
      </c>
    </row>
    <row r="25" spans="1:28" x14ac:dyDescent="0.3">
      <c r="A25">
        <v>25</v>
      </c>
      <c r="B25" t="s">
        <v>34</v>
      </c>
      <c r="C25" t="s">
        <v>72</v>
      </c>
      <c r="D25" s="1">
        <v>45487</v>
      </c>
      <c r="E25" s="2">
        <v>0.60902777777777772</v>
      </c>
      <c r="F25" t="s">
        <v>44</v>
      </c>
      <c r="G25">
        <v>941</v>
      </c>
      <c r="H25">
        <v>49207</v>
      </c>
      <c r="I25">
        <v>101</v>
      </c>
      <c r="J25" s="2">
        <v>7.2916666666666671E-2</v>
      </c>
      <c r="K25" t="s">
        <v>36</v>
      </c>
      <c r="L25" t="s">
        <v>49</v>
      </c>
      <c r="M25" t="s">
        <v>38</v>
      </c>
      <c r="N25" t="s">
        <v>69</v>
      </c>
      <c r="O25">
        <v>1932</v>
      </c>
      <c r="P25">
        <v>796</v>
      </c>
      <c r="Q25">
        <v>169</v>
      </c>
      <c r="R25">
        <v>3.5</v>
      </c>
      <c r="S25" t="s">
        <v>40</v>
      </c>
      <c r="T25" t="s">
        <v>31</v>
      </c>
      <c r="U25" t="s">
        <v>32</v>
      </c>
      <c r="V25" t="s">
        <v>67</v>
      </c>
      <c r="W25">
        <v>3202</v>
      </c>
      <c r="X25" s="6" t="str">
        <f t="shared" si="0"/>
        <v>LOW</v>
      </c>
      <c r="Y25" s="8" t="str">
        <f t="shared" si="1"/>
        <v>Series</v>
      </c>
      <c r="Z25" s="10" t="str">
        <f t="shared" si="2"/>
        <v>Action</v>
      </c>
      <c r="AA25" s="8" t="str">
        <f t="shared" si="3"/>
        <v>NO</v>
      </c>
      <c r="AB25" s="6" t="str">
        <f t="shared" si="4"/>
        <v>YES</v>
      </c>
    </row>
    <row r="26" spans="1:28" x14ac:dyDescent="0.3">
      <c r="A26">
        <v>26</v>
      </c>
      <c r="B26" t="s">
        <v>23</v>
      </c>
      <c r="C26" t="s">
        <v>61</v>
      </c>
      <c r="D26" s="1">
        <v>45477</v>
      </c>
      <c r="E26" s="2">
        <v>0.94166666666666665</v>
      </c>
      <c r="F26" t="s">
        <v>36</v>
      </c>
      <c r="G26">
        <v>191</v>
      </c>
      <c r="H26">
        <v>88949</v>
      </c>
      <c r="I26">
        <v>75</v>
      </c>
      <c r="J26" s="2">
        <v>6.3888888888888884E-2</v>
      </c>
      <c r="K26" t="s">
        <v>44</v>
      </c>
      <c r="L26" t="s">
        <v>49</v>
      </c>
      <c r="M26" t="s">
        <v>38</v>
      </c>
      <c r="N26" t="s">
        <v>29</v>
      </c>
      <c r="O26">
        <v>569</v>
      </c>
      <c r="P26">
        <v>1938</v>
      </c>
      <c r="Q26">
        <v>295</v>
      </c>
      <c r="R26">
        <v>2.6</v>
      </c>
      <c r="S26" t="s">
        <v>60</v>
      </c>
      <c r="T26" t="s">
        <v>45</v>
      </c>
      <c r="U26" t="s">
        <v>57</v>
      </c>
      <c r="V26" t="s">
        <v>33</v>
      </c>
      <c r="W26">
        <v>9550</v>
      </c>
      <c r="X26" s="6" t="str">
        <f t="shared" si="0"/>
        <v>LOW</v>
      </c>
      <c r="Y26" s="8" t="str">
        <f t="shared" si="1"/>
        <v>Movie</v>
      </c>
      <c r="Z26" s="10" t="str">
        <f t="shared" si="2"/>
        <v>History</v>
      </c>
      <c r="AA26" s="8" t="str">
        <f t="shared" si="3"/>
        <v>NO</v>
      </c>
      <c r="AB26" s="6" t="str">
        <f t="shared" si="4"/>
        <v>NO</v>
      </c>
    </row>
    <row r="27" spans="1:28" x14ac:dyDescent="0.3">
      <c r="A27">
        <v>27</v>
      </c>
      <c r="B27" t="s">
        <v>23</v>
      </c>
      <c r="C27" t="s">
        <v>55</v>
      </c>
      <c r="D27" s="1">
        <v>45534</v>
      </c>
      <c r="E27" s="2">
        <v>0.36666666666666664</v>
      </c>
      <c r="F27" t="s">
        <v>73</v>
      </c>
      <c r="G27">
        <v>146</v>
      </c>
      <c r="H27">
        <v>96130</v>
      </c>
      <c r="I27">
        <v>45</v>
      </c>
      <c r="J27" s="2">
        <v>0.1076388888888889</v>
      </c>
      <c r="K27" t="s">
        <v>62</v>
      </c>
      <c r="L27" t="s">
        <v>27</v>
      </c>
      <c r="M27" t="s">
        <v>38</v>
      </c>
      <c r="N27" t="s">
        <v>76</v>
      </c>
      <c r="O27">
        <v>1758</v>
      </c>
      <c r="P27">
        <v>847</v>
      </c>
      <c r="Q27">
        <v>414</v>
      </c>
      <c r="R27">
        <v>2.1</v>
      </c>
      <c r="S27" t="s">
        <v>60</v>
      </c>
      <c r="T27" t="s">
        <v>31</v>
      </c>
      <c r="U27" t="s">
        <v>32</v>
      </c>
      <c r="V27" t="s">
        <v>42</v>
      </c>
      <c r="W27">
        <v>12589</v>
      </c>
      <c r="X27" s="6" t="str">
        <f t="shared" si="0"/>
        <v>LOW</v>
      </c>
      <c r="Y27" s="8" t="str">
        <f t="shared" si="1"/>
        <v>Movie</v>
      </c>
      <c r="Z27" s="10" t="str">
        <f t="shared" si="2"/>
        <v>Fantasy</v>
      </c>
      <c r="AA27" s="8" t="str">
        <f t="shared" si="3"/>
        <v>NO</v>
      </c>
      <c r="AB27" s="6" t="str">
        <f t="shared" si="4"/>
        <v>NO</v>
      </c>
    </row>
    <row r="28" spans="1:28" x14ac:dyDescent="0.3">
      <c r="A28">
        <v>28</v>
      </c>
      <c r="B28" t="s">
        <v>23</v>
      </c>
      <c r="C28" t="s">
        <v>72</v>
      </c>
      <c r="D28" s="1">
        <v>45546</v>
      </c>
      <c r="E28" s="2">
        <v>0.55138888888888893</v>
      </c>
      <c r="F28" t="s">
        <v>68</v>
      </c>
      <c r="G28">
        <v>151</v>
      </c>
      <c r="H28">
        <v>23044</v>
      </c>
      <c r="I28">
        <v>27</v>
      </c>
      <c r="J28" s="2">
        <v>0.28541666666666665</v>
      </c>
      <c r="K28" t="s">
        <v>26</v>
      </c>
      <c r="L28" t="s">
        <v>27</v>
      </c>
      <c r="M28" t="s">
        <v>38</v>
      </c>
      <c r="N28" t="s">
        <v>59</v>
      </c>
      <c r="O28">
        <v>1747</v>
      </c>
      <c r="P28">
        <v>698</v>
      </c>
      <c r="Q28">
        <v>1318</v>
      </c>
      <c r="R28">
        <v>2.1</v>
      </c>
      <c r="S28" t="s">
        <v>60</v>
      </c>
      <c r="T28" t="s">
        <v>31</v>
      </c>
      <c r="U28" t="s">
        <v>70</v>
      </c>
      <c r="V28" t="s">
        <v>47</v>
      </c>
      <c r="W28">
        <v>17516</v>
      </c>
      <c r="X28" s="6" t="str">
        <f t="shared" si="0"/>
        <v>LOW</v>
      </c>
      <c r="Y28" s="8" t="str">
        <f t="shared" si="1"/>
        <v>Movie</v>
      </c>
      <c r="Z28" s="10" t="str">
        <f t="shared" si="2"/>
        <v>Action</v>
      </c>
      <c r="AA28" s="8" t="str">
        <f t="shared" si="3"/>
        <v>NO</v>
      </c>
      <c r="AB28" s="6" t="str">
        <f t="shared" si="4"/>
        <v>NO</v>
      </c>
    </row>
    <row r="29" spans="1:28" x14ac:dyDescent="0.3">
      <c r="A29">
        <v>29</v>
      </c>
      <c r="B29" t="s">
        <v>54</v>
      </c>
      <c r="C29" t="s">
        <v>72</v>
      </c>
      <c r="D29" s="1">
        <v>45526</v>
      </c>
      <c r="E29" s="2">
        <v>0.47152777777777777</v>
      </c>
      <c r="F29" t="s">
        <v>25</v>
      </c>
      <c r="G29">
        <v>97</v>
      </c>
      <c r="H29">
        <v>65258</v>
      </c>
      <c r="I29">
        <v>39</v>
      </c>
      <c r="J29" s="2">
        <v>0.48888888888888887</v>
      </c>
      <c r="K29" t="s">
        <v>36</v>
      </c>
      <c r="L29" t="s">
        <v>49</v>
      </c>
      <c r="M29" t="s">
        <v>38</v>
      </c>
      <c r="N29" t="s">
        <v>39</v>
      </c>
      <c r="O29">
        <v>447</v>
      </c>
      <c r="P29">
        <v>20</v>
      </c>
      <c r="Q29">
        <v>87</v>
      </c>
      <c r="R29">
        <v>3</v>
      </c>
      <c r="S29" t="s">
        <v>60</v>
      </c>
      <c r="T29" t="s">
        <v>63</v>
      </c>
      <c r="U29" t="s">
        <v>66</v>
      </c>
      <c r="V29" t="s">
        <v>67</v>
      </c>
      <c r="W29">
        <v>17132</v>
      </c>
      <c r="X29" s="6" t="str">
        <f t="shared" si="0"/>
        <v>LOW</v>
      </c>
      <c r="Y29" s="8" t="str">
        <f t="shared" si="1"/>
        <v>Documentary</v>
      </c>
      <c r="Z29" s="10" t="str">
        <f t="shared" si="2"/>
        <v>Action</v>
      </c>
      <c r="AA29" s="8" t="str">
        <f t="shared" si="3"/>
        <v>NO</v>
      </c>
      <c r="AB29" s="6" t="str">
        <f t="shared" si="4"/>
        <v>YES</v>
      </c>
    </row>
    <row r="30" spans="1:28" x14ac:dyDescent="0.3">
      <c r="A30">
        <v>30</v>
      </c>
      <c r="B30" t="s">
        <v>23</v>
      </c>
      <c r="C30" t="s">
        <v>61</v>
      </c>
      <c r="D30" s="1">
        <v>45840</v>
      </c>
      <c r="E30" s="2">
        <v>0.87152777777777779</v>
      </c>
      <c r="F30" t="s">
        <v>25</v>
      </c>
      <c r="G30">
        <v>182</v>
      </c>
      <c r="H30">
        <v>1467</v>
      </c>
      <c r="I30">
        <v>130</v>
      </c>
      <c r="J30" s="2">
        <v>0.19166666666666668</v>
      </c>
      <c r="K30" t="s">
        <v>44</v>
      </c>
      <c r="L30" t="s">
        <v>49</v>
      </c>
      <c r="M30" t="s">
        <v>28</v>
      </c>
      <c r="N30" t="s">
        <v>71</v>
      </c>
      <c r="O30">
        <v>1526</v>
      </c>
      <c r="P30">
        <v>1225</v>
      </c>
      <c r="Q30">
        <v>1229</v>
      </c>
      <c r="R30">
        <v>4.5999999999999996</v>
      </c>
      <c r="S30" t="s">
        <v>30</v>
      </c>
      <c r="T30" t="s">
        <v>31</v>
      </c>
      <c r="U30" t="s">
        <v>46</v>
      </c>
      <c r="V30" t="s">
        <v>42</v>
      </c>
      <c r="W30">
        <v>5140</v>
      </c>
      <c r="X30" s="6" t="str">
        <f t="shared" si="0"/>
        <v>LOW</v>
      </c>
      <c r="Y30" s="8" t="str">
        <f t="shared" si="1"/>
        <v>Movie</v>
      </c>
      <c r="Z30" s="10" t="str">
        <f t="shared" si="2"/>
        <v>History</v>
      </c>
      <c r="AA30" s="8" t="str">
        <f t="shared" si="3"/>
        <v>NO</v>
      </c>
      <c r="AB30" s="6" t="str">
        <f t="shared" si="4"/>
        <v>YES</v>
      </c>
    </row>
    <row r="31" spans="1:28" x14ac:dyDescent="0.3">
      <c r="A31">
        <v>31</v>
      </c>
      <c r="B31" t="s">
        <v>34</v>
      </c>
      <c r="C31" t="s">
        <v>35</v>
      </c>
      <c r="D31" s="1">
        <v>45508</v>
      </c>
      <c r="E31" s="2">
        <v>0.50972222222222219</v>
      </c>
      <c r="F31" t="s">
        <v>25</v>
      </c>
      <c r="G31">
        <v>957</v>
      </c>
      <c r="H31">
        <v>18777</v>
      </c>
      <c r="I31">
        <v>90</v>
      </c>
      <c r="J31" s="2">
        <v>0.76527777777777772</v>
      </c>
      <c r="K31" t="s">
        <v>26</v>
      </c>
      <c r="L31" t="s">
        <v>27</v>
      </c>
      <c r="M31" t="s">
        <v>28</v>
      </c>
      <c r="N31" t="s">
        <v>65</v>
      </c>
      <c r="O31">
        <v>242</v>
      </c>
      <c r="P31">
        <v>1401</v>
      </c>
      <c r="Q31">
        <v>419</v>
      </c>
      <c r="R31">
        <v>2.2000000000000002</v>
      </c>
      <c r="S31" t="s">
        <v>30</v>
      </c>
      <c r="T31" t="s">
        <v>31</v>
      </c>
      <c r="U31" t="s">
        <v>41</v>
      </c>
      <c r="V31" t="s">
        <v>42</v>
      </c>
      <c r="W31">
        <v>2287</v>
      </c>
      <c r="X31" s="6" t="str">
        <f t="shared" si="0"/>
        <v>LOW</v>
      </c>
      <c r="Y31" s="8" t="str">
        <f t="shared" si="1"/>
        <v>Series</v>
      </c>
      <c r="Z31" s="10" t="str">
        <f t="shared" si="2"/>
        <v>Comedy</v>
      </c>
      <c r="AA31" s="8" t="str">
        <f t="shared" si="3"/>
        <v>NO</v>
      </c>
      <c r="AB31" s="6" t="str">
        <f t="shared" si="4"/>
        <v>NO</v>
      </c>
    </row>
    <row r="32" spans="1:28" x14ac:dyDescent="0.3">
      <c r="A32">
        <v>32</v>
      </c>
      <c r="B32" t="s">
        <v>54</v>
      </c>
      <c r="C32" t="s">
        <v>64</v>
      </c>
      <c r="D32" s="1">
        <v>45492</v>
      </c>
      <c r="E32" s="2">
        <v>0.70833333333333337</v>
      </c>
      <c r="F32" t="s">
        <v>26</v>
      </c>
      <c r="G32">
        <v>54</v>
      </c>
      <c r="H32">
        <v>37129</v>
      </c>
      <c r="I32">
        <v>33</v>
      </c>
      <c r="J32" s="2">
        <v>0.78680555555555554</v>
      </c>
      <c r="K32" t="s">
        <v>36</v>
      </c>
      <c r="L32" t="s">
        <v>37</v>
      </c>
      <c r="M32" t="s">
        <v>38</v>
      </c>
      <c r="N32" t="s">
        <v>39</v>
      </c>
      <c r="O32">
        <v>207</v>
      </c>
      <c r="P32">
        <v>89</v>
      </c>
      <c r="Q32">
        <v>368</v>
      </c>
      <c r="R32">
        <v>1.2</v>
      </c>
      <c r="S32" t="s">
        <v>30</v>
      </c>
      <c r="T32" t="s">
        <v>63</v>
      </c>
      <c r="U32" t="s">
        <v>41</v>
      </c>
      <c r="V32" t="s">
        <v>47</v>
      </c>
      <c r="W32">
        <v>3065</v>
      </c>
      <c r="X32" s="6" t="str">
        <f t="shared" ref="X32" si="7">IF(H32&gt;15000,"HIGH",IF(H32&gt;80000,"MEDIUM","LOW"))</f>
        <v>HIGH</v>
      </c>
      <c r="Y32" s="8" t="str">
        <f t="shared" si="1"/>
        <v>Documentary</v>
      </c>
      <c r="Z32" s="10" t="str">
        <f t="shared" si="2"/>
        <v>Drama</v>
      </c>
      <c r="AA32" s="8" t="str">
        <f t="shared" si="3"/>
        <v>NO</v>
      </c>
      <c r="AB32" s="6" t="str">
        <f t="shared" si="4"/>
        <v>NO</v>
      </c>
    </row>
    <row r="33" spans="1:28" x14ac:dyDescent="0.3">
      <c r="A33">
        <v>33</v>
      </c>
      <c r="B33" t="s">
        <v>23</v>
      </c>
      <c r="C33" t="s">
        <v>72</v>
      </c>
      <c r="D33" s="1">
        <v>45536</v>
      </c>
      <c r="E33" s="2">
        <v>0.15694444444444444</v>
      </c>
      <c r="F33" t="s">
        <v>26</v>
      </c>
      <c r="G33">
        <v>164</v>
      </c>
      <c r="H33">
        <v>25260</v>
      </c>
      <c r="I33">
        <v>64</v>
      </c>
      <c r="J33" s="2">
        <v>0.84652777777777777</v>
      </c>
      <c r="K33" t="s">
        <v>36</v>
      </c>
      <c r="L33" t="s">
        <v>37</v>
      </c>
      <c r="M33" t="s">
        <v>38</v>
      </c>
      <c r="N33" t="s">
        <v>76</v>
      </c>
      <c r="O33">
        <v>402</v>
      </c>
      <c r="P33">
        <v>734</v>
      </c>
      <c r="Q33">
        <v>447</v>
      </c>
      <c r="R33">
        <v>3.4</v>
      </c>
      <c r="S33" t="s">
        <v>40</v>
      </c>
      <c r="T33" t="s">
        <v>63</v>
      </c>
      <c r="U33" t="s">
        <v>46</v>
      </c>
      <c r="V33" t="s">
        <v>33</v>
      </c>
      <c r="W33">
        <v>11355</v>
      </c>
      <c r="X33" s="6" t="str">
        <f t="shared" si="0"/>
        <v>LOW</v>
      </c>
      <c r="Y33" s="8" t="str">
        <f t="shared" si="1"/>
        <v>Movie</v>
      </c>
      <c r="Z33" s="10" t="str">
        <f t="shared" si="2"/>
        <v>Action</v>
      </c>
      <c r="AA33" s="8" t="str">
        <f t="shared" si="3"/>
        <v>NO</v>
      </c>
      <c r="AB33" s="6" t="str">
        <f t="shared" si="4"/>
        <v>YES</v>
      </c>
    </row>
    <row r="34" spans="1:28" x14ac:dyDescent="0.3">
      <c r="A34">
        <v>34</v>
      </c>
      <c r="B34" t="s">
        <v>34</v>
      </c>
      <c r="C34" t="s">
        <v>48</v>
      </c>
      <c r="D34" s="1">
        <v>45496</v>
      </c>
      <c r="E34" s="2">
        <v>0.64375000000000004</v>
      </c>
      <c r="F34" t="s">
        <v>44</v>
      </c>
      <c r="G34">
        <v>155</v>
      </c>
      <c r="H34">
        <v>67195</v>
      </c>
      <c r="I34">
        <v>73</v>
      </c>
      <c r="J34" s="2">
        <v>0.43125000000000002</v>
      </c>
      <c r="K34" t="s">
        <v>44</v>
      </c>
      <c r="L34" t="s">
        <v>27</v>
      </c>
      <c r="M34" t="s">
        <v>38</v>
      </c>
      <c r="N34" t="s">
        <v>65</v>
      </c>
      <c r="O34">
        <v>2850</v>
      </c>
      <c r="P34">
        <v>582</v>
      </c>
      <c r="Q34">
        <v>1469</v>
      </c>
      <c r="R34">
        <v>2.5</v>
      </c>
      <c r="S34" t="s">
        <v>40</v>
      </c>
      <c r="T34" t="s">
        <v>31</v>
      </c>
      <c r="U34" t="s">
        <v>66</v>
      </c>
      <c r="V34" t="s">
        <v>42</v>
      </c>
      <c r="W34">
        <v>5754</v>
      </c>
      <c r="X34" s="6" t="str">
        <f t="shared" si="0"/>
        <v>LOW</v>
      </c>
      <c r="Y34" s="8" t="str">
        <f t="shared" si="1"/>
        <v>Series</v>
      </c>
      <c r="Z34" s="10" t="str">
        <f t="shared" si="2"/>
        <v>Romance</v>
      </c>
      <c r="AA34" s="8" t="str">
        <f t="shared" si="3"/>
        <v>NO</v>
      </c>
      <c r="AB34" s="6" t="str">
        <f t="shared" si="4"/>
        <v>NO</v>
      </c>
    </row>
    <row r="35" spans="1:28" x14ac:dyDescent="0.3">
      <c r="A35">
        <v>35</v>
      </c>
      <c r="B35" t="s">
        <v>34</v>
      </c>
      <c r="C35" t="s">
        <v>55</v>
      </c>
      <c r="D35" s="1">
        <v>45518</v>
      </c>
      <c r="E35" s="2">
        <v>0.34097222222222223</v>
      </c>
      <c r="F35" t="s">
        <v>68</v>
      </c>
      <c r="G35">
        <v>402</v>
      </c>
      <c r="H35">
        <v>73472</v>
      </c>
      <c r="I35">
        <v>107</v>
      </c>
      <c r="J35" s="2">
        <v>0.46041666666666664</v>
      </c>
      <c r="K35" t="s">
        <v>62</v>
      </c>
      <c r="L35" t="s">
        <v>56</v>
      </c>
      <c r="M35" t="s">
        <v>38</v>
      </c>
      <c r="N35" t="s">
        <v>29</v>
      </c>
      <c r="O35">
        <v>597</v>
      </c>
      <c r="P35">
        <v>631</v>
      </c>
      <c r="Q35">
        <v>635</v>
      </c>
      <c r="R35">
        <v>4.9000000000000004</v>
      </c>
      <c r="S35" t="s">
        <v>30</v>
      </c>
      <c r="T35" t="s">
        <v>63</v>
      </c>
      <c r="U35" t="s">
        <v>57</v>
      </c>
      <c r="V35" t="s">
        <v>53</v>
      </c>
      <c r="W35">
        <v>19776</v>
      </c>
      <c r="X35" s="6" t="str">
        <f t="shared" si="0"/>
        <v>LOW</v>
      </c>
      <c r="Y35" s="8" t="str">
        <f t="shared" si="1"/>
        <v>Series</v>
      </c>
      <c r="Z35" s="10" t="str">
        <f t="shared" si="2"/>
        <v>Fantasy</v>
      </c>
      <c r="AA35" s="8" t="str">
        <f t="shared" si="3"/>
        <v>NO</v>
      </c>
      <c r="AB35" s="6" t="str">
        <f t="shared" si="4"/>
        <v>YES</v>
      </c>
    </row>
    <row r="36" spans="1:28" x14ac:dyDescent="0.3">
      <c r="A36">
        <v>36</v>
      </c>
      <c r="B36" t="s">
        <v>23</v>
      </c>
      <c r="C36" t="s">
        <v>48</v>
      </c>
      <c r="D36" s="1">
        <v>45540</v>
      </c>
      <c r="E36" s="2">
        <v>0.30486111111111114</v>
      </c>
      <c r="F36" t="s">
        <v>62</v>
      </c>
      <c r="G36">
        <v>113</v>
      </c>
      <c r="H36">
        <v>50183</v>
      </c>
      <c r="I36">
        <v>68</v>
      </c>
      <c r="J36" s="2">
        <v>0.98333333333333328</v>
      </c>
      <c r="K36" t="s">
        <v>26</v>
      </c>
      <c r="L36" t="s">
        <v>27</v>
      </c>
      <c r="M36" t="s">
        <v>28</v>
      </c>
      <c r="N36" t="s">
        <v>76</v>
      </c>
      <c r="O36">
        <v>1147</v>
      </c>
      <c r="P36">
        <v>1539</v>
      </c>
      <c r="Q36">
        <v>130</v>
      </c>
      <c r="R36">
        <v>2</v>
      </c>
      <c r="S36" t="s">
        <v>60</v>
      </c>
      <c r="T36" t="s">
        <v>45</v>
      </c>
      <c r="U36" t="s">
        <v>52</v>
      </c>
      <c r="V36" t="s">
        <v>47</v>
      </c>
      <c r="W36">
        <v>10031</v>
      </c>
      <c r="X36" s="6" t="str">
        <f t="shared" si="0"/>
        <v>LOW</v>
      </c>
      <c r="Y36" s="8" t="str">
        <f t="shared" si="1"/>
        <v>Movie</v>
      </c>
      <c r="Z36" s="10" t="str">
        <f t="shared" si="2"/>
        <v>Romance</v>
      </c>
      <c r="AA36" s="8" t="str">
        <f t="shared" si="3"/>
        <v>NO</v>
      </c>
      <c r="AB36" s="6" t="str">
        <f t="shared" si="4"/>
        <v>NO</v>
      </c>
    </row>
    <row r="37" spans="1:28" x14ac:dyDescent="0.3">
      <c r="A37">
        <v>37</v>
      </c>
      <c r="B37" t="s">
        <v>54</v>
      </c>
      <c r="C37" t="s">
        <v>75</v>
      </c>
      <c r="D37" s="1">
        <v>45524</v>
      </c>
      <c r="E37" s="2">
        <v>0.86736111111111114</v>
      </c>
      <c r="F37" t="s">
        <v>62</v>
      </c>
      <c r="G37">
        <v>87</v>
      </c>
      <c r="H37">
        <v>78948</v>
      </c>
      <c r="I37">
        <v>27</v>
      </c>
      <c r="J37" s="2">
        <v>0.39652777777777776</v>
      </c>
      <c r="K37" t="s">
        <v>36</v>
      </c>
      <c r="L37" t="s">
        <v>49</v>
      </c>
      <c r="M37" t="s">
        <v>28</v>
      </c>
      <c r="N37" t="s">
        <v>29</v>
      </c>
      <c r="O37">
        <v>2677</v>
      </c>
      <c r="P37">
        <v>510</v>
      </c>
      <c r="Q37">
        <v>873</v>
      </c>
      <c r="R37">
        <v>1.6</v>
      </c>
      <c r="S37" t="s">
        <v>60</v>
      </c>
      <c r="T37" t="s">
        <v>45</v>
      </c>
      <c r="U37" t="s">
        <v>41</v>
      </c>
      <c r="V37" t="s">
        <v>47</v>
      </c>
      <c r="W37">
        <v>12261</v>
      </c>
      <c r="X37" s="6" t="str">
        <f t="shared" si="0"/>
        <v>LOW</v>
      </c>
      <c r="Y37" s="8" t="str">
        <f t="shared" si="1"/>
        <v>Documentary</v>
      </c>
      <c r="Z37" s="10" t="str">
        <f t="shared" si="2"/>
        <v>Nature</v>
      </c>
      <c r="AA37" s="8" t="str">
        <f t="shared" si="3"/>
        <v>NO</v>
      </c>
      <c r="AB37" s="6" t="str">
        <f t="shared" si="4"/>
        <v>NO</v>
      </c>
    </row>
    <row r="38" spans="1:28" x14ac:dyDescent="0.3">
      <c r="A38">
        <v>38</v>
      </c>
      <c r="B38" t="s">
        <v>23</v>
      </c>
      <c r="C38" t="s">
        <v>35</v>
      </c>
      <c r="D38" s="1">
        <v>45505</v>
      </c>
      <c r="E38" s="2">
        <v>0.48819444444444443</v>
      </c>
      <c r="F38" t="s">
        <v>26</v>
      </c>
      <c r="G38">
        <v>105</v>
      </c>
      <c r="H38">
        <v>58718</v>
      </c>
      <c r="I38">
        <v>88</v>
      </c>
      <c r="J38" s="2">
        <v>0.64236111111111116</v>
      </c>
      <c r="K38" t="s">
        <v>44</v>
      </c>
      <c r="L38" t="s">
        <v>27</v>
      </c>
      <c r="M38" t="s">
        <v>28</v>
      </c>
      <c r="N38" t="s">
        <v>76</v>
      </c>
      <c r="O38">
        <v>1535</v>
      </c>
      <c r="P38">
        <v>1641</v>
      </c>
      <c r="Q38">
        <v>1414</v>
      </c>
      <c r="R38">
        <v>3</v>
      </c>
      <c r="S38" t="s">
        <v>60</v>
      </c>
      <c r="T38" t="s">
        <v>45</v>
      </c>
      <c r="U38" t="s">
        <v>32</v>
      </c>
      <c r="V38" t="s">
        <v>53</v>
      </c>
      <c r="W38">
        <v>2871</v>
      </c>
      <c r="X38" s="6" t="str">
        <f t="shared" si="0"/>
        <v>LOW</v>
      </c>
      <c r="Y38" s="8" t="str">
        <f t="shared" si="1"/>
        <v>Movie</v>
      </c>
      <c r="Z38" s="10" t="str">
        <f t="shared" si="2"/>
        <v>Comedy</v>
      </c>
      <c r="AA38" s="8" t="str">
        <f t="shared" si="3"/>
        <v>NO</v>
      </c>
      <c r="AB38" s="6" t="str">
        <f t="shared" si="4"/>
        <v>YES</v>
      </c>
    </row>
    <row r="39" spans="1:28" x14ac:dyDescent="0.3">
      <c r="A39">
        <v>39</v>
      </c>
      <c r="B39" t="s">
        <v>23</v>
      </c>
      <c r="C39" t="s">
        <v>35</v>
      </c>
      <c r="D39" s="1">
        <v>45506</v>
      </c>
      <c r="E39" s="2">
        <v>0.90833333333333333</v>
      </c>
      <c r="F39" t="s">
        <v>26</v>
      </c>
      <c r="G39">
        <v>169</v>
      </c>
      <c r="H39">
        <v>74558</v>
      </c>
      <c r="I39">
        <v>101</v>
      </c>
      <c r="J39" s="2">
        <v>0.10972222222222222</v>
      </c>
      <c r="K39" t="s">
        <v>68</v>
      </c>
      <c r="L39" t="s">
        <v>27</v>
      </c>
      <c r="M39" t="s">
        <v>38</v>
      </c>
      <c r="N39" t="s">
        <v>39</v>
      </c>
      <c r="O39">
        <v>911</v>
      </c>
      <c r="P39">
        <v>1783</v>
      </c>
      <c r="Q39">
        <v>555</v>
      </c>
      <c r="R39">
        <v>4.0999999999999996</v>
      </c>
      <c r="S39" t="s">
        <v>30</v>
      </c>
      <c r="T39" t="s">
        <v>63</v>
      </c>
      <c r="U39" t="s">
        <v>52</v>
      </c>
      <c r="V39" t="s">
        <v>67</v>
      </c>
      <c r="W39">
        <v>13295</v>
      </c>
      <c r="X39" s="6" t="str">
        <f t="shared" si="0"/>
        <v>LOW</v>
      </c>
      <c r="Y39" s="8" t="str">
        <f t="shared" si="1"/>
        <v>Movie</v>
      </c>
      <c r="Z39" s="10" t="str">
        <f t="shared" si="2"/>
        <v>Comedy</v>
      </c>
      <c r="AA39" s="8" t="str">
        <f t="shared" si="3"/>
        <v>NO</v>
      </c>
      <c r="AB39" s="6" t="str">
        <f t="shared" si="4"/>
        <v>YES</v>
      </c>
    </row>
    <row r="40" spans="1:28" x14ac:dyDescent="0.3">
      <c r="A40">
        <v>40</v>
      </c>
      <c r="B40" t="s">
        <v>34</v>
      </c>
      <c r="C40" t="s">
        <v>24</v>
      </c>
      <c r="D40" s="1">
        <v>45517</v>
      </c>
      <c r="E40" s="2">
        <v>0.49791666666666667</v>
      </c>
      <c r="F40" t="s">
        <v>25</v>
      </c>
      <c r="G40">
        <v>410</v>
      </c>
      <c r="H40">
        <v>52177</v>
      </c>
      <c r="I40">
        <v>99</v>
      </c>
      <c r="J40" s="2">
        <v>0.92083333333333328</v>
      </c>
      <c r="K40" t="s">
        <v>62</v>
      </c>
      <c r="L40" t="s">
        <v>56</v>
      </c>
      <c r="M40" t="s">
        <v>38</v>
      </c>
      <c r="N40" t="s">
        <v>71</v>
      </c>
      <c r="O40">
        <v>101</v>
      </c>
      <c r="P40">
        <v>1541</v>
      </c>
      <c r="Q40">
        <v>538</v>
      </c>
      <c r="R40">
        <v>2.8</v>
      </c>
      <c r="S40" t="s">
        <v>40</v>
      </c>
      <c r="T40" t="s">
        <v>63</v>
      </c>
      <c r="U40" t="s">
        <v>66</v>
      </c>
      <c r="V40" t="s">
        <v>58</v>
      </c>
      <c r="W40">
        <v>16993</v>
      </c>
      <c r="X40" s="6" t="str">
        <f t="shared" si="0"/>
        <v>LOW</v>
      </c>
      <c r="Y40" s="8" t="str">
        <f t="shared" si="1"/>
        <v>Series</v>
      </c>
      <c r="Z40" s="10" t="str">
        <f t="shared" si="2"/>
        <v>Thriller</v>
      </c>
      <c r="AA40" s="8" t="str">
        <f t="shared" si="3"/>
        <v>NO</v>
      </c>
      <c r="AB40" s="6" t="str">
        <f t="shared" si="4"/>
        <v>YES</v>
      </c>
    </row>
    <row r="41" spans="1:28" x14ac:dyDescent="0.3">
      <c r="A41">
        <v>41</v>
      </c>
      <c r="B41" t="s">
        <v>23</v>
      </c>
      <c r="C41" t="s">
        <v>48</v>
      </c>
      <c r="D41" s="1">
        <v>45482</v>
      </c>
      <c r="E41" s="2">
        <v>0.82499999999999996</v>
      </c>
      <c r="F41" t="s">
        <v>36</v>
      </c>
      <c r="G41">
        <v>143</v>
      </c>
      <c r="H41">
        <v>6133</v>
      </c>
      <c r="I41">
        <v>69</v>
      </c>
      <c r="J41" s="2">
        <v>0.24444444444444444</v>
      </c>
      <c r="K41" t="s">
        <v>73</v>
      </c>
      <c r="L41" t="s">
        <v>49</v>
      </c>
      <c r="M41" t="s">
        <v>38</v>
      </c>
      <c r="N41" t="s">
        <v>71</v>
      </c>
      <c r="O41">
        <v>2673</v>
      </c>
      <c r="P41">
        <v>374</v>
      </c>
      <c r="Q41">
        <v>145</v>
      </c>
      <c r="R41">
        <v>4.9000000000000004</v>
      </c>
      <c r="S41" t="s">
        <v>40</v>
      </c>
      <c r="T41" t="s">
        <v>45</v>
      </c>
      <c r="U41" t="s">
        <v>57</v>
      </c>
      <c r="V41" t="s">
        <v>67</v>
      </c>
      <c r="W41">
        <v>12597</v>
      </c>
      <c r="X41" s="6" t="str">
        <f t="shared" si="0"/>
        <v>LOW</v>
      </c>
      <c r="Y41" s="8" t="str">
        <f t="shared" si="1"/>
        <v>Movie</v>
      </c>
      <c r="Z41" s="10" t="str">
        <f t="shared" si="2"/>
        <v>Romance</v>
      </c>
      <c r="AA41" s="8" t="str">
        <f t="shared" si="3"/>
        <v>NO</v>
      </c>
      <c r="AB41" s="6" t="str">
        <f t="shared" si="4"/>
        <v>YES</v>
      </c>
    </row>
    <row r="42" spans="1:28" x14ac:dyDescent="0.3">
      <c r="A42">
        <v>42</v>
      </c>
      <c r="B42" t="s">
        <v>54</v>
      </c>
      <c r="C42" t="s">
        <v>61</v>
      </c>
      <c r="D42" s="1">
        <v>45502</v>
      </c>
      <c r="E42" s="2">
        <v>0.10833333333333334</v>
      </c>
      <c r="F42" t="s">
        <v>26</v>
      </c>
      <c r="G42">
        <v>100</v>
      </c>
      <c r="H42">
        <v>59999</v>
      </c>
      <c r="I42">
        <v>28</v>
      </c>
      <c r="J42" s="2">
        <v>9.375E-2</v>
      </c>
      <c r="K42" t="s">
        <v>25</v>
      </c>
      <c r="L42" t="s">
        <v>27</v>
      </c>
      <c r="M42" t="s">
        <v>28</v>
      </c>
      <c r="N42" t="s">
        <v>65</v>
      </c>
      <c r="O42">
        <v>2976</v>
      </c>
      <c r="P42">
        <v>701</v>
      </c>
      <c r="Q42">
        <v>675</v>
      </c>
      <c r="R42">
        <v>4.5</v>
      </c>
      <c r="S42" t="s">
        <v>51</v>
      </c>
      <c r="T42" t="s">
        <v>63</v>
      </c>
      <c r="U42" t="s">
        <v>32</v>
      </c>
      <c r="V42" t="s">
        <v>67</v>
      </c>
      <c r="W42">
        <v>8707</v>
      </c>
      <c r="X42" s="6" t="str">
        <f t="shared" ref="X42" si="8">IF(H42&gt;15000,"HIGH",IF(H42&gt;80000,"MEDIUM","LOW"))</f>
        <v>HIGH</v>
      </c>
      <c r="Y42" s="8" t="str">
        <f t="shared" si="1"/>
        <v>Documentary</v>
      </c>
      <c r="Z42" s="10" t="str">
        <f t="shared" si="2"/>
        <v>History</v>
      </c>
      <c r="AA42" s="8" t="str">
        <f t="shared" si="3"/>
        <v>NO</v>
      </c>
      <c r="AB42" s="6" t="str">
        <f t="shared" si="4"/>
        <v>YES</v>
      </c>
    </row>
    <row r="43" spans="1:28" x14ac:dyDescent="0.3">
      <c r="A43">
        <v>43</v>
      </c>
      <c r="B43" t="s">
        <v>34</v>
      </c>
      <c r="C43" t="s">
        <v>64</v>
      </c>
      <c r="D43" s="1">
        <v>45485</v>
      </c>
      <c r="E43" s="2">
        <v>0.24930555555555556</v>
      </c>
      <c r="F43" t="s">
        <v>25</v>
      </c>
      <c r="G43">
        <v>565</v>
      </c>
      <c r="H43">
        <v>66696</v>
      </c>
      <c r="I43">
        <v>32</v>
      </c>
      <c r="J43" s="2">
        <v>0.56944444444444442</v>
      </c>
      <c r="K43" t="s">
        <v>26</v>
      </c>
      <c r="L43" t="s">
        <v>49</v>
      </c>
      <c r="M43" t="s">
        <v>28</v>
      </c>
      <c r="N43" t="s">
        <v>65</v>
      </c>
      <c r="O43">
        <v>2394</v>
      </c>
      <c r="P43">
        <v>529</v>
      </c>
      <c r="Q43">
        <v>285</v>
      </c>
      <c r="R43">
        <v>2.8</v>
      </c>
      <c r="S43" t="s">
        <v>51</v>
      </c>
      <c r="T43" t="s">
        <v>31</v>
      </c>
      <c r="U43" t="s">
        <v>70</v>
      </c>
      <c r="V43" t="s">
        <v>47</v>
      </c>
      <c r="W43">
        <v>745</v>
      </c>
      <c r="X43" s="6" t="str">
        <f t="shared" si="0"/>
        <v>LOW</v>
      </c>
      <c r="Y43" s="8" t="str">
        <f t="shared" si="1"/>
        <v>Series</v>
      </c>
      <c r="Z43" s="10" t="str">
        <f t="shared" si="2"/>
        <v>Drama</v>
      </c>
      <c r="AA43" s="8" t="str">
        <f t="shared" si="3"/>
        <v>NO</v>
      </c>
      <c r="AB43" s="6" t="str">
        <f t="shared" si="4"/>
        <v>YES</v>
      </c>
    </row>
    <row r="44" spans="1:28" x14ac:dyDescent="0.3">
      <c r="A44">
        <v>44</v>
      </c>
      <c r="B44" t="s">
        <v>34</v>
      </c>
      <c r="C44" t="s">
        <v>35</v>
      </c>
      <c r="D44" s="1">
        <v>45523</v>
      </c>
      <c r="E44" s="2">
        <v>0.83958333333333335</v>
      </c>
      <c r="F44" t="s">
        <v>62</v>
      </c>
      <c r="G44">
        <v>484</v>
      </c>
      <c r="H44">
        <v>31423</v>
      </c>
      <c r="I44">
        <v>79</v>
      </c>
      <c r="J44" s="2">
        <v>0.85902777777777772</v>
      </c>
      <c r="K44" t="s">
        <v>36</v>
      </c>
      <c r="L44" t="s">
        <v>56</v>
      </c>
      <c r="M44" t="s">
        <v>38</v>
      </c>
      <c r="N44" t="s">
        <v>29</v>
      </c>
      <c r="O44">
        <v>2610</v>
      </c>
      <c r="P44">
        <v>1327</v>
      </c>
      <c r="Q44">
        <v>881</v>
      </c>
      <c r="R44">
        <v>4.9000000000000004</v>
      </c>
      <c r="S44" t="s">
        <v>60</v>
      </c>
      <c r="T44" t="s">
        <v>31</v>
      </c>
      <c r="U44" t="s">
        <v>70</v>
      </c>
      <c r="V44" t="s">
        <v>58</v>
      </c>
      <c r="W44">
        <v>19509</v>
      </c>
      <c r="X44" s="6" t="str">
        <f t="shared" si="0"/>
        <v>LOW</v>
      </c>
      <c r="Y44" s="8" t="str">
        <f t="shared" si="1"/>
        <v>Series</v>
      </c>
      <c r="Z44" s="10" t="str">
        <f t="shared" si="2"/>
        <v>Comedy</v>
      </c>
      <c r="AA44" s="8" t="str">
        <f t="shared" si="3"/>
        <v>NO</v>
      </c>
      <c r="AB44" s="6" t="str">
        <f t="shared" si="4"/>
        <v>YES</v>
      </c>
    </row>
    <row r="45" spans="1:28" x14ac:dyDescent="0.3">
      <c r="A45">
        <v>45</v>
      </c>
      <c r="B45" t="s">
        <v>23</v>
      </c>
      <c r="C45" t="s">
        <v>61</v>
      </c>
      <c r="D45" s="1">
        <v>45501</v>
      </c>
      <c r="E45" s="2">
        <v>0.99513888888888891</v>
      </c>
      <c r="F45" t="s">
        <v>62</v>
      </c>
      <c r="G45">
        <v>141</v>
      </c>
      <c r="H45">
        <v>57107</v>
      </c>
      <c r="I45">
        <v>49</v>
      </c>
      <c r="J45" s="2">
        <v>9.2361111111111116E-2</v>
      </c>
      <c r="K45" t="s">
        <v>44</v>
      </c>
      <c r="L45" t="s">
        <v>37</v>
      </c>
      <c r="M45" t="s">
        <v>28</v>
      </c>
      <c r="N45" t="s">
        <v>71</v>
      </c>
      <c r="O45">
        <v>2162</v>
      </c>
      <c r="P45">
        <v>355</v>
      </c>
      <c r="Q45">
        <v>923</v>
      </c>
      <c r="R45">
        <v>4.2</v>
      </c>
      <c r="S45" t="s">
        <v>60</v>
      </c>
      <c r="T45" t="s">
        <v>45</v>
      </c>
      <c r="U45" t="s">
        <v>66</v>
      </c>
      <c r="V45" t="s">
        <v>42</v>
      </c>
      <c r="W45">
        <v>9136</v>
      </c>
      <c r="X45" s="6" t="str">
        <f t="shared" si="0"/>
        <v>LOW</v>
      </c>
      <c r="Y45" s="8" t="str">
        <f t="shared" si="1"/>
        <v>Movie</v>
      </c>
      <c r="Z45" s="10" t="str">
        <f t="shared" si="2"/>
        <v>History</v>
      </c>
      <c r="AA45" s="8" t="str">
        <f t="shared" si="3"/>
        <v>NO</v>
      </c>
      <c r="AB45" s="6" t="str">
        <f t="shared" si="4"/>
        <v>YES</v>
      </c>
    </row>
    <row r="46" spans="1:28" x14ac:dyDescent="0.3">
      <c r="A46">
        <v>46</v>
      </c>
      <c r="B46" t="s">
        <v>54</v>
      </c>
      <c r="C46" t="s">
        <v>48</v>
      </c>
      <c r="D46" s="1">
        <v>45529</v>
      </c>
      <c r="E46" s="2">
        <v>0.87638888888888888</v>
      </c>
      <c r="F46" t="s">
        <v>68</v>
      </c>
      <c r="G46">
        <v>81</v>
      </c>
      <c r="H46">
        <v>83904</v>
      </c>
      <c r="I46">
        <v>51</v>
      </c>
      <c r="J46" s="2">
        <v>0.20416666666666666</v>
      </c>
      <c r="K46" t="s">
        <v>62</v>
      </c>
      <c r="L46" t="s">
        <v>27</v>
      </c>
      <c r="M46" t="s">
        <v>38</v>
      </c>
      <c r="N46" t="s">
        <v>69</v>
      </c>
      <c r="O46">
        <v>1707</v>
      </c>
      <c r="P46">
        <v>79</v>
      </c>
      <c r="Q46">
        <v>1433</v>
      </c>
      <c r="R46">
        <v>1.2</v>
      </c>
      <c r="S46" t="s">
        <v>30</v>
      </c>
      <c r="T46" t="s">
        <v>63</v>
      </c>
      <c r="U46" t="s">
        <v>74</v>
      </c>
      <c r="V46" t="s">
        <v>42</v>
      </c>
      <c r="W46">
        <v>19566</v>
      </c>
      <c r="X46" s="6" t="str">
        <f t="shared" si="0"/>
        <v>LOW</v>
      </c>
      <c r="Y46" s="8" t="str">
        <f t="shared" si="1"/>
        <v>Documentary</v>
      </c>
      <c r="Z46" s="10" t="str">
        <f t="shared" si="2"/>
        <v>Romance</v>
      </c>
      <c r="AA46" s="8" t="str">
        <f t="shared" si="3"/>
        <v>NO</v>
      </c>
      <c r="AB46" s="6" t="str">
        <f t="shared" si="4"/>
        <v>NO</v>
      </c>
    </row>
    <row r="47" spans="1:28" x14ac:dyDescent="0.3">
      <c r="A47">
        <v>47</v>
      </c>
      <c r="B47" t="s">
        <v>54</v>
      </c>
      <c r="C47" t="s">
        <v>75</v>
      </c>
      <c r="D47" s="1">
        <v>45524</v>
      </c>
      <c r="E47" s="2">
        <v>1.1805555555555555E-2</v>
      </c>
      <c r="F47" t="s">
        <v>25</v>
      </c>
      <c r="G47">
        <v>63</v>
      </c>
      <c r="H47">
        <v>33253</v>
      </c>
      <c r="I47">
        <v>48</v>
      </c>
      <c r="J47" s="2">
        <v>0.63541666666666663</v>
      </c>
      <c r="K47" t="s">
        <v>26</v>
      </c>
      <c r="L47" t="s">
        <v>49</v>
      </c>
      <c r="M47" t="s">
        <v>28</v>
      </c>
      <c r="N47" t="s">
        <v>39</v>
      </c>
      <c r="O47">
        <v>327</v>
      </c>
      <c r="P47">
        <v>125</v>
      </c>
      <c r="Q47">
        <v>287</v>
      </c>
      <c r="R47">
        <v>1</v>
      </c>
      <c r="S47" t="s">
        <v>40</v>
      </c>
      <c r="T47" t="s">
        <v>31</v>
      </c>
      <c r="U47" t="s">
        <v>74</v>
      </c>
      <c r="V47" t="s">
        <v>47</v>
      </c>
      <c r="W47">
        <v>212</v>
      </c>
      <c r="X47" s="6" t="str">
        <f t="shared" si="0"/>
        <v>LOW</v>
      </c>
      <c r="Y47" s="8" t="str">
        <f t="shared" si="1"/>
        <v>Documentary</v>
      </c>
      <c r="Z47" s="10" t="str">
        <f t="shared" si="2"/>
        <v>Nature</v>
      </c>
      <c r="AA47" s="8" t="str">
        <f t="shared" si="3"/>
        <v>NO</v>
      </c>
      <c r="AB47" s="6" t="str">
        <f t="shared" si="4"/>
        <v>NO</v>
      </c>
    </row>
    <row r="48" spans="1:28" x14ac:dyDescent="0.3">
      <c r="A48">
        <v>48</v>
      </c>
      <c r="B48" t="s">
        <v>23</v>
      </c>
      <c r="C48" t="s">
        <v>35</v>
      </c>
      <c r="D48" s="1">
        <v>45478</v>
      </c>
      <c r="E48" s="2">
        <v>0.8833333333333333</v>
      </c>
      <c r="F48" t="s">
        <v>25</v>
      </c>
      <c r="G48">
        <v>196</v>
      </c>
      <c r="H48">
        <v>94321</v>
      </c>
      <c r="I48">
        <v>105</v>
      </c>
      <c r="J48" s="2">
        <v>0.47222222222222221</v>
      </c>
      <c r="K48" t="s">
        <v>36</v>
      </c>
      <c r="L48" t="s">
        <v>27</v>
      </c>
      <c r="M48" t="s">
        <v>38</v>
      </c>
      <c r="N48" t="s">
        <v>59</v>
      </c>
      <c r="O48">
        <v>127</v>
      </c>
      <c r="P48">
        <v>47</v>
      </c>
      <c r="Q48">
        <v>952</v>
      </c>
      <c r="R48">
        <v>2</v>
      </c>
      <c r="S48" t="s">
        <v>51</v>
      </c>
      <c r="T48" t="s">
        <v>63</v>
      </c>
      <c r="U48" t="s">
        <v>41</v>
      </c>
      <c r="V48" t="s">
        <v>47</v>
      </c>
      <c r="W48">
        <v>4730</v>
      </c>
      <c r="X48" s="6" t="str">
        <f t="shared" si="0"/>
        <v>LOW</v>
      </c>
      <c r="Y48" s="8" t="str">
        <f t="shared" si="1"/>
        <v>Movie</v>
      </c>
      <c r="Z48" s="10" t="str">
        <f t="shared" si="2"/>
        <v>Comedy</v>
      </c>
      <c r="AA48" s="8" t="str">
        <f t="shared" si="3"/>
        <v>NO</v>
      </c>
      <c r="AB48" s="6" t="str">
        <f t="shared" si="4"/>
        <v>NO</v>
      </c>
    </row>
    <row r="49" spans="1:28" x14ac:dyDescent="0.3">
      <c r="A49">
        <v>49</v>
      </c>
      <c r="B49" t="s">
        <v>23</v>
      </c>
      <c r="C49" t="s">
        <v>55</v>
      </c>
      <c r="D49" s="1">
        <v>45509</v>
      </c>
      <c r="E49" s="2">
        <v>0.49305555555555558</v>
      </c>
      <c r="F49" t="s">
        <v>26</v>
      </c>
      <c r="G49">
        <v>142</v>
      </c>
      <c r="H49">
        <v>30535</v>
      </c>
      <c r="I49">
        <v>74</v>
      </c>
      <c r="J49" s="2">
        <v>0.79027777777777775</v>
      </c>
      <c r="K49" t="s">
        <v>44</v>
      </c>
      <c r="L49" t="s">
        <v>37</v>
      </c>
      <c r="M49" t="s">
        <v>38</v>
      </c>
      <c r="N49" t="s">
        <v>76</v>
      </c>
      <c r="O49">
        <v>1187</v>
      </c>
      <c r="P49">
        <v>721</v>
      </c>
      <c r="Q49">
        <v>715</v>
      </c>
      <c r="R49">
        <v>1</v>
      </c>
      <c r="S49" t="s">
        <v>30</v>
      </c>
      <c r="T49" t="s">
        <v>45</v>
      </c>
      <c r="U49" t="s">
        <v>41</v>
      </c>
      <c r="V49" t="s">
        <v>58</v>
      </c>
      <c r="W49">
        <v>3019</v>
      </c>
      <c r="X49" s="6" t="str">
        <f t="shared" si="0"/>
        <v>LOW</v>
      </c>
      <c r="Y49" s="8" t="str">
        <f t="shared" si="1"/>
        <v>Movie</v>
      </c>
      <c r="Z49" s="10" t="str">
        <f t="shared" si="2"/>
        <v>Fantasy</v>
      </c>
      <c r="AA49" s="8" t="str">
        <f t="shared" si="3"/>
        <v>NO</v>
      </c>
      <c r="AB49" s="6" t="str">
        <f t="shared" si="4"/>
        <v>NO</v>
      </c>
    </row>
    <row r="50" spans="1:28" x14ac:dyDescent="0.3">
      <c r="A50">
        <v>50</v>
      </c>
      <c r="B50" t="s">
        <v>23</v>
      </c>
      <c r="C50" t="s">
        <v>61</v>
      </c>
      <c r="D50" s="1">
        <v>45543</v>
      </c>
      <c r="E50" s="2">
        <v>5.9722222222222225E-2</v>
      </c>
      <c r="F50" t="s">
        <v>44</v>
      </c>
      <c r="G50">
        <v>161</v>
      </c>
      <c r="H50">
        <v>12332</v>
      </c>
      <c r="I50">
        <v>113</v>
      </c>
      <c r="J50" s="2">
        <v>6.1111111111111109E-2</v>
      </c>
      <c r="K50" t="s">
        <v>26</v>
      </c>
      <c r="L50" t="s">
        <v>49</v>
      </c>
      <c r="M50" t="s">
        <v>28</v>
      </c>
      <c r="N50" t="s">
        <v>50</v>
      </c>
      <c r="O50">
        <v>2058</v>
      </c>
      <c r="P50">
        <v>1825</v>
      </c>
      <c r="Q50">
        <v>276</v>
      </c>
      <c r="R50">
        <v>4.5</v>
      </c>
      <c r="S50" t="s">
        <v>51</v>
      </c>
      <c r="T50" t="s">
        <v>45</v>
      </c>
      <c r="U50" t="s">
        <v>66</v>
      </c>
      <c r="V50" t="s">
        <v>53</v>
      </c>
      <c r="W50">
        <v>10089</v>
      </c>
      <c r="X50" s="6" t="str">
        <f t="shared" si="0"/>
        <v>LOW</v>
      </c>
      <c r="Y50" s="8" t="str">
        <f t="shared" si="1"/>
        <v>Movie</v>
      </c>
      <c r="Z50" s="10" t="str">
        <f t="shared" si="2"/>
        <v>History</v>
      </c>
      <c r="AA50" s="8" t="str">
        <f t="shared" si="3"/>
        <v>NO</v>
      </c>
      <c r="AB50" s="6" t="str">
        <f t="shared" si="4"/>
        <v>YES</v>
      </c>
    </row>
    <row r="51" spans="1:28" x14ac:dyDescent="0.3">
      <c r="A51">
        <v>51</v>
      </c>
      <c r="B51" t="s">
        <v>54</v>
      </c>
      <c r="C51" t="s">
        <v>24</v>
      </c>
      <c r="D51" s="1">
        <v>45533</v>
      </c>
      <c r="E51" s="2">
        <v>0.10555555555555556</v>
      </c>
      <c r="F51" t="s">
        <v>25</v>
      </c>
      <c r="G51">
        <v>88</v>
      </c>
      <c r="H51">
        <v>56163</v>
      </c>
      <c r="I51">
        <v>31</v>
      </c>
      <c r="J51" s="2">
        <v>0.7895833333333333</v>
      </c>
      <c r="K51" t="s">
        <v>36</v>
      </c>
      <c r="L51" t="s">
        <v>37</v>
      </c>
      <c r="M51" t="s">
        <v>38</v>
      </c>
      <c r="N51" t="s">
        <v>50</v>
      </c>
      <c r="O51">
        <v>2624</v>
      </c>
      <c r="P51">
        <v>1300</v>
      </c>
      <c r="Q51">
        <v>1285</v>
      </c>
      <c r="R51">
        <v>1.3</v>
      </c>
      <c r="S51" t="s">
        <v>40</v>
      </c>
      <c r="T51" t="s">
        <v>63</v>
      </c>
      <c r="U51" t="s">
        <v>52</v>
      </c>
      <c r="V51" t="s">
        <v>42</v>
      </c>
      <c r="W51">
        <v>4131</v>
      </c>
      <c r="X51" s="6" t="str">
        <f t="shared" si="0"/>
        <v>LOW</v>
      </c>
      <c r="Y51" s="8" t="str">
        <f t="shared" si="1"/>
        <v>Documentary</v>
      </c>
      <c r="Z51" s="10" t="str">
        <f t="shared" si="2"/>
        <v>Thriller</v>
      </c>
      <c r="AA51" s="8" t="str">
        <f t="shared" si="3"/>
        <v>NO</v>
      </c>
      <c r="AB51" s="6" t="str">
        <f t="shared" si="4"/>
        <v>NO</v>
      </c>
    </row>
    <row r="52" spans="1:28" x14ac:dyDescent="0.3">
      <c r="A52">
        <v>52</v>
      </c>
      <c r="B52" t="s">
        <v>54</v>
      </c>
      <c r="C52" t="s">
        <v>61</v>
      </c>
      <c r="D52" s="1">
        <v>45516</v>
      </c>
      <c r="E52" s="2">
        <v>0.27986111111111112</v>
      </c>
      <c r="F52" t="s">
        <v>25</v>
      </c>
      <c r="G52">
        <v>101</v>
      </c>
      <c r="H52">
        <v>63899</v>
      </c>
      <c r="I52">
        <v>76</v>
      </c>
      <c r="J52" s="2">
        <v>0.99722222222222223</v>
      </c>
      <c r="K52" t="s">
        <v>36</v>
      </c>
      <c r="L52" t="s">
        <v>37</v>
      </c>
      <c r="M52" t="s">
        <v>38</v>
      </c>
      <c r="N52" t="s">
        <v>59</v>
      </c>
      <c r="O52">
        <v>1068</v>
      </c>
      <c r="P52">
        <v>1792</v>
      </c>
      <c r="Q52">
        <v>610</v>
      </c>
      <c r="R52">
        <v>2.1</v>
      </c>
      <c r="S52" t="s">
        <v>40</v>
      </c>
      <c r="T52" t="s">
        <v>63</v>
      </c>
      <c r="U52" t="s">
        <v>70</v>
      </c>
      <c r="V52" t="s">
        <v>53</v>
      </c>
      <c r="W52">
        <v>901</v>
      </c>
      <c r="X52" s="6" t="str">
        <f t="shared" ref="X52" si="9">IF(H52&gt;15000,"HIGH",IF(H52&gt;80000,"MEDIUM","LOW"))</f>
        <v>HIGH</v>
      </c>
      <c r="Y52" s="8" t="str">
        <f t="shared" si="1"/>
        <v>Documentary</v>
      </c>
      <c r="Z52" s="10" t="str">
        <f t="shared" si="2"/>
        <v>History</v>
      </c>
      <c r="AA52" s="8" t="str">
        <f t="shared" si="3"/>
        <v>NO</v>
      </c>
      <c r="AB52" s="6" t="str">
        <f t="shared" si="4"/>
        <v>NO</v>
      </c>
    </row>
    <row r="53" spans="1:28" x14ac:dyDescent="0.3">
      <c r="A53">
        <v>53</v>
      </c>
      <c r="B53" t="s">
        <v>34</v>
      </c>
      <c r="C53" t="s">
        <v>48</v>
      </c>
      <c r="D53" s="1">
        <v>45541</v>
      </c>
      <c r="E53" s="2">
        <v>0.42291666666666666</v>
      </c>
      <c r="F53" t="s">
        <v>26</v>
      </c>
      <c r="G53">
        <v>800</v>
      </c>
      <c r="H53">
        <v>55964</v>
      </c>
      <c r="I53">
        <v>82</v>
      </c>
      <c r="J53" s="2">
        <v>0.49305555555555558</v>
      </c>
      <c r="K53" t="s">
        <v>44</v>
      </c>
      <c r="L53" t="s">
        <v>37</v>
      </c>
      <c r="M53" t="s">
        <v>38</v>
      </c>
      <c r="N53" t="s">
        <v>29</v>
      </c>
      <c r="O53">
        <v>71</v>
      </c>
      <c r="P53">
        <v>1059</v>
      </c>
      <c r="Q53">
        <v>140</v>
      </c>
      <c r="R53">
        <v>3.8</v>
      </c>
      <c r="S53" t="s">
        <v>30</v>
      </c>
      <c r="T53" t="s">
        <v>63</v>
      </c>
      <c r="U53" t="s">
        <v>41</v>
      </c>
      <c r="V53" t="s">
        <v>53</v>
      </c>
      <c r="W53">
        <v>3292</v>
      </c>
      <c r="X53" s="6" t="str">
        <f t="shared" si="0"/>
        <v>LOW</v>
      </c>
      <c r="Y53" s="8" t="str">
        <f t="shared" si="1"/>
        <v>Series</v>
      </c>
      <c r="Z53" s="10" t="str">
        <f t="shared" si="2"/>
        <v>Romance</v>
      </c>
      <c r="AA53" s="8" t="str">
        <f t="shared" si="3"/>
        <v>NO</v>
      </c>
      <c r="AB53" s="6" t="str">
        <f t="shared" si="4"/>
        <v>YES</v>
      </c>
    </row>
    <row r="54" spans="1:28" x14ac:dyDescent="0.3">
      <c r="A54">
        <v>54</v>
      </c>
      <c r="B54" t="s">
        <v>34</v>
      </c>
      <c r="C54" t="s">
        <v>72</v>
      </c>
      <c r="D54" s="1">
        <v>45549</v>
      </c>
      <c r="E54" s="2">
        <v>0.88749999999999996</v>
      </c>
      <c r="F54" t="s">
        <v>36</v>
      </c>
      <c r="G54">
        <v>692</v>
      </c>
      <c r="H54">
        <v>40865</v>
      </c>
      <c r="I54">
        <v>42</v>
      </c>
      <c r="J54" s="2">
        <v>0.52847222222222223</v>
      </c>
      <c r="K54" t="s">
        <v>62</v>
      </c>
      <c r="L54" t="s">
        <v>37</v>
      </c>
      <c r="M54" t="s">
        <v>28</v>
      </c>
      <c r="N54" t="s">
        <v>29</v>
      </c>
      <c r="O54">
        <v>529</v>
      </c>
      <c r="P54">
        <v>1878</v>
      </c>
      <c r="Q54">
        <v>155</v>
      </c>
      <c r="R54">
        <v>2.2999999999999998</v>
      </c>
      <c r="S54" t="s">
        <v>51</v>
      </c>
      <c r="T54" t="s">
        <v>63</v>
      </c>
      <c r="U54" t="s">
        <v>32</v>
      </c>
      <c r="V54" t="s">
        <v>67</v>
      </c>
      <c r="W54">
        <v>8804</v>
      </c>
      <c r="X54" s="6" t="str">
        <f t="shared" si="0"/>
        <v>LOW</v>
      </c>
      <c r="Y54" s="8" t="str">
        <f t="shared" si="1"/>
        <v>Series</v>
      </c>
      <c r="Z54" s="10" t="str">
        <f t="shared" si="2"/>
        <v>Action</v>
      </c>
      <c r="AA54" s="8" t="str">
        <f t="shared" si="3"/>
        <v>NO</v>
      </c>
      <c r="AB54" s="6" t="str">
        <f t="shared" si="4"/>
        <v>NO</v>
      </c>
    </row>
    <row r="55" spans="1:28" x14ac:dyDescent="0.3">
      <c r="A55">
        <v>55</v>
      </c>
      <c r="B55" t="s">
        <v>54</v>
      </c>
      <c r="C55" t="s">
        <v>43</v>
      </c>
      <c r="D55" s="1">
        <v>45482</v>
      </c>
      <c r="E55" s="2">
        <v>0.78472222222222221</v>
      </c>
      <c r="F55" t="s">
        <v>68</v>
      </c>
      <c r="G55">
        <v>51</v>
      </c>
      <c r="H55">
        <v>33225</v>
      </c>
      <c r="I55">
        <v>37</v>
      </c>
      <c r="J55" s="2">
        <v>0.35069444444444442</v>
      </c>
      <c r="K55" t="s">
        <v>26</v>
      </c>
      <c r="L55" t="s">
        <v>49</v>
      </c>
      <c r="M55" t="s">
        <v>28</v>
      </c>
      <c r="N55" t="s">
        <v>29</v>
      </c>
      <c r="O55">
        <v>1539</v>
      </c>
      <c r="P55">
        <v>763</v>
      </c>
      <c r="Q55">
        <v>427</v>
      </c>
      <c r="R55">
        <v>2.7</v>
      </c>
      <c r="S55" t="s">
        <v>60</v>
      </c>
      <c r="T55" t="s">
        <v>45</v>
      </c>
      <c r="U55" t="s">
        <v>41</v>
      </c>
      <c r="V55" t="s">
        <v>47</v>
      </c>
      <c r="W55">
        <v>5164</v>
      </c>
      <c r="X55" s="6" t="str">
        <f t="shared" si="0"/>
        <v>LOW</v>
      </c>
      <c r="Y55" s="8" t="str">
        <f t="shared" si="1"/>
        <v>Documentary</v>
      </c>
      <c r="Z55" s="10" t="str">
        <f t="shared" si="2"/>
        <v>Sci-Fi</v>
      </c>
      <c r="AA55" s="8" t="str">
        <f t="shared" si="3"/>
        <v>NO</v>
      </c>
      <c r="AB55" s="6" t="str">
        <f t="shared" si="4"/>
        <v>NO</v>
      </c>
    </row>
    <row r="56" spans="1:28" x14ac:dyDescent="0.3">
      <c r="A56">
        <v>56</v>
      </c>
      <c r="B56" t="s">
        <v>23</v>
      </c>
      <c r="C56" t="s">
        <v>24</v>
      </c>
      <c r="D56" s="1">
        <v>45545</v>
      </c>
      <c r="E56" s="2">
        <v>5.6944444444444443E-2</v>
      </c>
      <c r="F56" t="s">
        <v>62</v>
      </c>
      <c r="G56">
        <v>190</v>
      </c>
      <c r="H56">
        <v>30567</v>
      </c>
      <c r="I56">
        <v>110</v>
      </c>
      <c r="J56" s="2">
        <v>0.69791666666666663</v>
      </c>
      <c r="K56" t="s">
        <v>36</v>
      </c>
      <c r="L56" t="s">
        <v>56</v>
      </c>
      <c r="M56" t="s">
        <v>28</v>
      </c>
      <c r="N56" t="s">
        <v>50</v>
      </c>
      <c r="O56">
        <v>2080</v>
      </c>
      <c r="P56">
        <v>728</v>
      </c>
      <c r="Q56">
        <v>145</v>
      </c>
      <c r="R56">
        <v>3</v>
      </c>
      <c r="S56" t="s">
        <v>60</v>
      </c>
      <c r="T56" t="s">
        <v>31</v>
      </c>
      <c r="U56" t="s">
        <v>41</v>
      </c>
      <c r="V56" t="s">
        <v>67</v>
      </c>
      <c r="W56">
        <v>5149</v>
      </c>
      <c r="X56" s="6" t="str">
        <f t="shared" si="0"/>
        <v>LOW</v>
      </c>
      <c r="Y56" s="8" t="str">
        <f t="shared" si="1"/>
        <v>Movie</v>
      </c>
      <c r="Z56" s="10" t="str">
        <f t="shared" si="2"/>
        <v>Thriller</v>
      </c>
      <c r="AA56" s="8" t="str">
        <f t="shared" si="3"/>
        <v>NO</v>
      </c>
      <c r="AB56" s="6" t="str">
        <f t="shared" si="4"/>
        <v>YES</v>
      </c>
    </row>
    <row r="57" spans="1:28" x14ac:dyDescent="0.3">
      <c r="A57">
        <v>57</v>
      </c>
      <c r="B57" t="s">
        <v>54</v>
      </c>
      <c r="C57" t="s">
        <v>24</v>
      </c>
      <c r="D57" s="1">
        <v>45532</v>
      </c>
      <c r="E57" s="2">
        <v>0.27291666666666664</v>
      </c>
      <c r="F57" t="s">
        <v>44</v>
      </c>
      <c r="G57">
        <v>59</v>
      </c>
      <c r="H57">
        <v>90351</v>
      </c>
      <c r="I57">
        <v>42</v>
      </c>
      <c r="J57" s="2">
        <v>0.22430555555555556</v>
      </c>
      <c r="K57" t="s">
        <v>44</v>
      </c>
      <c r="L57" t="s">
        <v>37</v>
      </c>
      <c r="M57" t="s">
        <v>38</v>
      </c>
      <c r="N57" t="s">
        <v>76</v>
      </c>
      <c r="O57">
        <v>1130</v>
      </c>
      <c r="P57">
        <v>817</v>
      </c>
      <c r="Q57">
        <v>325</v>
      </c>
      <c r="R57">
        <v>1.8</v>
      </c>
      <c r="S57" t="s">
        <v>60</v>
      </c>
      <c r="T57" t="s">
        <v>31</v>
      </c>
      <c r="U57" t="s">
        <v>32</v>
      </c>
      <c r="V57" t="s">
        <v>33</v>
      </c>
      <c r="W57">
        <v>13274</v>
      </c>
      <c r="X57" s="6" t="str">
        <f t="shared" si="0"/>
        <v>LOW</v>
      </c>
      <c r="Y57" s="8" t="str">
        <f t="shared" si="1"/>
        <v>Documentary</v>
      </c>
      <c r="Z57" s="10" t="str">
        <f t="shared" si="2"/>
        <v>Thriller</v>
      </c>
      <c r="AA57" s="8" t="str">
        <f t="shared" si="3"/>
        <v>NO</v>
      </c>
      <c r="AB57" s="6" t="str">
        <f t="shared" si="4"/>
        <v>NO</v>
      </c>
    </row>
    <row r="58" spans="1:28" x14ac:dyDescent="0.3">
      <c r="A58">
        <v>58</v>
      </c>
      <c r="B58" t="s">
        <v>34</v>
      </c>
      <c r="C58" t="s">
        <v>48</v>
      </c>
      <c r="D58" s="1">
        <v>45501</v>
      </c>
      <c r="E58" s="2">
        <v>0.28819444444444442</v>
      </c>
      <c r="F58" t="s">
        <v>36</v>
      </c>
      <c r="G58">
        <v>567</v>
      </c>
      <c r="H58">
        <v>65440</v>
      </c>
      <c r="I58">
        <v>52</v>
      </c>
      <c r="J58" s="2">
        <v>0.58611111111111114</v>
      </c>
      <c r="K58" t="s">
        <v>26</v>
      </c>
      <c r="L58" t="s">
        <v>49</v>
      </c>
      <c r="M58" t="s">
        <v>38</v>
      </c>
      <c r="N58" t="s">
        <v>71</v>
      </c>
      <c r="O58">
        <v>230</v>
      </c>
      <c r="P58">
        <v>1265</v>
      </c>
      <c r="Q58">
        <v>181</v>
      </c>
      <c r="R58">
        <v>2.9</v>
      </c>
      <c r="S58" t="s">
        <v>40</v>
      </c>
      <c r="T58" t="s">
        <v>31</v>
      </c>
      <c r="U58" t="s">
        <v>41</v>
      </c>
      <c r="V58" t="s">
        <v>67</v>
      </c>
      <c r="W58">
        <v>3273</v>
      </c>
      <c r="X58" s="6" t="str">
        <f t="shared" si="0"/>
        <v>LOW</v>
      </c>
      <c r="Y58" s="8" t="str">
        <f t="shared" si="1"/>
        <v>Series</v>
      </c>
      <c r="Z58" s="10" t="str">
        <f t="shared" si="2"/>
        <v>Romance</v>
      </c>
      <c r="AA58" s="8" t="str">
        <f t="shared" si="3"/>
        <v>NO</v>
      </c>
      <c r="AB58" s="6" t="str">
        <f t="shared" si="4"/>
        <v>YES</v>
      </c>
    </row>
    <row r="59" spans="1:28" x14ac:dyDescent="0.3">
      <c r="A59">
        <v>59</v>
      </c>
      <c r="B59" t="s">
        <v>23</v>
      </c>
      <c r="C59" t="s">
        <v>61</v>
      </c>
      <c r="D59" s="1">
        <v>45538</v>
      </c>
      <c r="E59" s="2">
        <v>0.36388888888888887</v>
      </c>
      <c r="F59" t="s">
        <v>26</v>
      </c>
      <c r="G59">
        <v>147</v>
      </c>
      <c r="H59">
        <v>63101</v>
      </c>
      <c r="I59">
        <v>50</v>
      </c>
      <c r="J59" s="2">
        <v>0.30208333333333331</v>
      </c>
      <c r="K59" t="s">
        <v>36</v>
      </c>
      <c r="L59" t="s">
        <v>49</v>
      </c>
      <c r="M59" t="s">
        <v>38</v>
      </c>
      <c r="N59" t="s">
        <v>65</v>
      </c>
      <c r="O59">
        <v>2943</v>
      </c>
      <c r="P59">
        <v>748</v>
      </c>
      <c r="Q59">
        <v>1476</v>
      </c>
      <c r="R59">
        <v>1.2</v>
      </c>
      <c r="S59" t="s">
        <v>51</v>
      </c>
      <c r="T59" t="s">
        <v>45</v>
      </c>
      <c r="U59" t="s">
        <v>46</v>
      </c>
      <c r="V59" t="s">
        <v>58</v>
      </c>
      <c r="W59">
        <v>3221</v>
      </c>
      <c r="X59" s="6" t="str">
        <f t="shared" si="0"/>
        <v>LOW</v>
      </c>
      <c r="Y59" s="8" t="str">
        <f t="shared" si="1"/>
        <v>Movie</v>
      </c>
      <c r="Z59" s="10" t="str">
        <f t="shared" si="2"/>
        <v>History</v>
      </c>
      <c r="AA59" s="8" t="str">
        <f t="shared" si="3"/>
        <v>NO</v>
      </c>
      <c r="AB59" s="6" t="str">
        <f t="shared" si="4"/>
        <v>NO</v>
      </c>
    </row>
    <row r="60" spans="1:28" x14ac:dyDescent="0.3">
      <c r="A60">
        <v>60</v>
      </c>
      <c r="B60" t="s">
        <v>54</v>
      </c>
      <c r="C60" t="s">
        <v>72</v>
      </c>
      <c r="D60" s="1">
        <v>45508</v>
      </c>
      <c r="E60" s="2">
        <v>0.57708333333333328</v>
      </c>
      <c r="F60" t="s">
        <v>44</v>
      </c>
      <c r="G60">
        <v>77</v>
      </c>
      <c r="H60">
        <v>31137</v>
      </c>
      <c r="I60">
        <v>45</v>
      </c>
      <c r="J60" s="2">
        <v>4.583333333333333E-2</v>
      </c>
      <c r="K60" t="s">
        <v>44</v>
      </c>
      <c r="L60" t="s">
        <v>49</v>
      </c>
      <c r="M60" t="s">
        <v>38</v>
      </c>
      <c r="N60" t="s">
        <v>71</v>
      </c>
      <c r="O60">
        <v>2076</v>
      </c>
      <c r="P60">
        <v>587</v>
      </c>
      <c r="Q60">
        <v>470</v>
      </c>
      <c r="R60">
        <v>1</v>
      </c>
      <c r="S60" t="s">
        <v>60</v>
      </c>
      <c r="T60" t="s">
        <v>31</v>
      </c>
      <c r="U60" t="s">
        <v>32</v>
      </c>
      <c r="V60" t="s">
        <v>42</v>
      </c>
      <c r="W60">
        <v>16872</v>
      </c>
      <c r="X60" s="6" t="str">
        <f t="shared" si="0"/>
        <v>LOW</v>
      </c>
      <c r="Y60" s="8" t="str">
        <f t="shared" si="1"/>
        <v>Documentary</v>
      </c>
      <c r="Z60" s="10" t="str">
        <f t="shared" si="2"/>
        <v>Action</v>
      </c>
      <c r="AA60" s="8" t="str">
        <f t="shared" si="3"/>
        <v>NO</v>
      </c>
      <c r="AB60" s="6" t="str">
        <f t="shared" si="4"/>
        <v>NO</v>
      </c>
    </row>
    <row r="61" spans="1:28" x14ac:dyDescent="0.3">
      <c r="A61">
        <v>61</v>
      </c>
      <c r="B61" t="s">
        <v>23</v>
      </c>
      <c r="C61" t="s">
        <v>55</v>
      </c>
      <c r="D61" s="1">
        <v>45478</v>
      </c>
      <c r="E61" s="2">
        <v>0.98541666666666672</v>
      </c>
      <c r="F61" t="s">
        <v>36</v>
      </c>
      <c r="G61">
        <v>194</v>
      </c>
      <c r="H61">
        <v>23744</v>
      </c>
      <c r="I61">
        <v>42</v>
      </c>
      <c r="J61" s="2">
        <v>9.4444444444444442E-2</v>
      </c>
      <c r="K61" t="s">
        <v>26</v>
      </c>
      <c r="L61" t="s">
        <v>49</v>
      </c>
      <c r="M61" t="s">
        <v>38</v>
      </c>
      <c r="N61" t="s">
        <v>29</v>
      </c>
      <c r="O61">
        <v>1549</v>
      </c>
      <c r="P61">
        <v>789</v>
      </c>
      <c r="Q61">
        <v>859</v>
      </c>
      <c r="R61">
        <v>2.1</v>
      </c>
      <c r="S61" t="s">
        <v>51</v>
      </c>
      <c r="T61" t="s">
        <v>45</v>
      </c>
      <c r="U61" t="s">
        <v>32</v>
      </c>
      <c r="V61" t="s">
        <v>42</v>
      </c>
      <c r="W61">
        <v>12267</v>
      </c>
      <c r="X61" s="6" t="str">
        <f t="shared" si="0"/>
        <v>LOW</v>
      </c>
      <c r="Y61" s="8" t="str">
        <f t="shared" si="1"/>
        <v>Movie</v>
      </c>
      <c r="Z61" s="10" t="str">
        <f t="shared" si="2"/>
        <v>Fantasy</v>
      </c>
      <c r="AA61" s="8" t="str">
        <f t="shared" si="3"/>
        <v>NO</v>
      </c>
      <c r="AB61" s="6" t="str">
        <f t="shared" si="4"/>
        <v>NO</v>
      </c>
    </row>
    <row r="62" spans="1:28" x14ac:dyDescent="0.3">
      <c r="A62">
        <v>62</v>
      </c>
      <c r="B62" t="s">
        <v>23</v>
      </c>
      <c r="C62" t="s">
        <v>35</v>
      </c>
      <c r="D62" s="1">
        <v>45516</v>
      </c>
      <c r="E62" s="2">
        <v>0.30902777777777779</v>
      </c>
      <c r="F62" t="s">
        <v>26</v>
      </c>
      <c r="G62">
        <v>146</v>
      </c>
      <c r="H62">
        <v>52286</v>
      </c>
      <c r="I62">
        <v>69</v>
      </c>
      <c r="J62" s="2">
        <v>0.9916666666666667</v>
      </c>
      <c r="K62" t="s">
        <v>36</v>
      </c>
      <c r="L62" t="s">
        <v>56</v>
      </c>
      <c r="M62" t="s">
        <v>28</v>
      </c>
      <c r="N62" t="s">
        <v>65</v>
      </c>
      <c r="O62">
        <v>2331</v>
      </c>
      <c r="P62">
        <v>493</v>
      </c>
      <c r="Q62">
        <v>396</v>
      </c>
      <c r="R62">
        <v>1.7</v>
      </c>
      <c r="S62" t="s">
        <v>60</v>
      </c>
      <c r="T62" t="s">
        <v>31</v>
      </c>
      <c r="U62" t="s">
        <v>52</v>
      </c>
      <c r="V62" t="s">
        <v>58</v>
      </c>
      <c r="W62">
        <v>16051</v>
      </c>
      <c r="X62" s="6" t="str">
        <f t="shared" ref="X62" si="10">IF(H62&gt;15000,"HIGH",IF(H62&gt;80000,"MEDIUM","LOW"))</f>
        <v>HIGH</v>
      </c>
      <c r="Y62" s="8" t="str">
        <f t="shared" si="1"/>
        <v>Movie</v>
      </c>
      <c r="Z62" s="10" t="str">
        <f t="shared" si="2"/>
        <v>Comedy</v>
      </c>
      <c r="AA62" s="8" t="str">
        <f t="shared" si="3"/>
        <v>NO</v>
      </c>
      <c r="AB62" s="6" t="str">
        <f t="shared" si="4"/>
        <v>NO</v>
      </c>
    </row>
    <row r="63" spans="1:28" x14ac:dyDescent="0.3">
      <c r="A63">
        <v>63</v>
      </c>
      <c r="B63" t="s">
        <v>54</v>
      </c>
      <c r="C63" t="s">
        <v>75</v>
      </c>
      <c r="D63" s="1">
        <v>45519</v>
      </c>
      <c r="E63" s="2">
        <v>0.73402777777777772</v>
      </c>
      <c r="F63" t="s">
        <v>62</v>
      </c>
      <c r="G63">
        <v>82</v>
      </c>
      <c r="H63">
        <v>32682</v>
      </c>
      <c r="I63">
        <v>49</v>
      </c>
      <c r="J63" s="2">
        <v>0.95208333333333328</v>
      </c>
      <c r="K63" t="s">
        <v>36</v>
      </c>
      <c r="L63" t="s">
        <v>49</v>
      </c>
      <c r="M63" t="s">
        <v>28</v>
      </c>
      <c r="N63" t="s">
        <v>76</v>
      </c>
      <c r="O63">
        <v>2476</v>
      </c>
      <c r="P63">
        <v>682</v>
      </c>
      <c r="Q63">
        <v>123</v>
      </c>
      <c r="R63">
        <v>1.1000000000000001</v>
      </c>
      <c r="S63" t="s">
        <v>40</v>
      </c>
      <c r="T63" t="s">
        <v>45</v>
      </c>
      <c r="U63" t="s">
        <v>57</v>
      </c>
      <c r="V63" t="s">
        <v>67</v>
      </c>
      <c r="W63">
        <v>3112</v>
      </c>
      <c r="X63" s="6" t="str">
        <f t="shared" si="0"/>
        <v>LOW</v>
      </c>
      <c r="Y63" s="8" t="str">
        <f t="shared" si="1"/>
        <v>Documentary</v>
      </c>
      <c r="Z63" s="10" t="str">
        <f t="shared" si="2"/>
        <v>Nature</v>
      </c>
      <c r="AA63" s="8" t="str">
        <f t="shared" si="3"/>
        <v>NO</v>
      </c>
      <c r="AB63" s="6" t="str">
        <f t="shared" si="4"/>
        <v>NO</v>
      </c>
    </row>
    <row r="64" spans="1:28" x14ac:dyDescent="0.3">
      <c r="A64">
        <v>64</v>
      </c>
      <c r="B64" t="s">
        <v>23</v>
      </c>
      <c r="C64" t="s">
        <v>72</v>
      </c>
      <c r="D64" s="1">
        <v>45481</v>
      </c>
      <c r="E64" s="2">
        <v>0.33958333333333335</v>
      </c>
      <c r="F64" t="s">
        <v>36</v>
      </c>
      <c r="G64">
        <v>195</v>
      </c>
      <c r="H64">
        <v>70118</v>
      </c>
      <c r="I64">
        <v>50</v>
      </c>
      <c r="J64" s="2">
        <v>3.125E-2</v>
      </c>
      <c r="K64" t="s">
        <v>44</v>
      </c>
      <c r="L64" t="s">
        <v>56</v>
      </c>
      <c r="M64" t="s">
        <v>28</v>
      </c>
      <c r="N64" t="s">
        <v>69</v>
      </c>
      <c r="O64">
        <v>1630</v>
      </c>
      <c r="P64">
        <v>1068</v>
      </c>
      <c r="Q64">
        <v>433</v>
      </c>
      <c r="R64">
        <v>3.6</v>
      </c>
      <c r="S64" t="s">
        <v>60</v>
      </c>
      <c r="T64" t="s">
        <v>45</v>
      </c>
      <c r="U64" t="s">
        <v>46</v>
      </c>
      <c r="V64" t="s">
        <v>42</v>
      </c>
      <c r="W64">
        <v>13520</v>
      </c>
      <c r="X64" s="6" t="str">
        <f t="shared" si="0"/>
        <v>LOW</v>
      </c>
      <c r="Y64" s="8" t="str">
        <f t="shared" si="1"/>
        <v>Movie</v>
      </c>
      <c r="Z64" s="10" t="str">
        <f t="shared" si="2"/>
        <v>Action</v>
      </c>
      <c r="AA64" s="8" t="str">
        <f t="shared" si="3"/>
        <v>NO</v>
      </c>
      <c r="AB64" s="6" t="str">
        <f t="shared" si="4"/>
        <v>YES</v>
      </c>
    </row>
    <row r="65" spans="1:28" x14ac:dyDescent="0.3">
      <c r="A65">
        <v>65</v>
      </c>
      <c r="B65" t="s">
        <v>23</v>
      </c>
      <c r="C65" t="s">
        <v>35</v>
      </c>
      <c r="D65" s="1">
        <v>45474</v>
      </c>
      <c r="E65" s="2">
        <v>0.78888888888888886</v>
      </c>
      <c r="F65" t="s">
        <v>44</v>
      </c>
      <c r="G65">
        <v>111</v>
      </c>
      <c r="H65">
        <v>86517</v>
      </c>
      <c r="I65">
        <v>27</v>
      </c>
      <c r="J65" s="2">
        <v>0.89722222222222225</v>
      </c>
      <c r="K65" t="s">
        <v>62</v>
      </c>
      <c r="L65" t="s">
        <v>56</v>
      </c>
      <c r="M65" t="s">
        <v>28</v>
      </c>
      <c r="N65" t="s">
        <v>76</v>
      </c>
      <c r="O65">
        <v>2423</v>
      </c>
      <c r="P65">
        <v>1173</v>
      </c>
      <c r="Q65">
        <v>224</v>
      </c>
      <c r="R65">
        <v>1</v>
      </c>
      <c r="S65" t="s">
        <v>30</v>
      </c>
      <c r="T65" t="s">
        <v>63</v>
      </c>
      <c r="U65" t="s">
        <v>57</v>
      </c>
      <c r="V65" t="s">
        <v>58</v>
      </c>
      <c r="W65">
        <v>6549</v>
      </c>
      <c r="X65" s="6" t="str">
        <f t="shared" si="0"/>
        <v>LOW</v>
      </c>
      <c r="Y65" s="8" t="str">
        <f t="shared" si="1"/>
        <v>Movie</v>
      </c>
      <c r="Z65" s="10" t="str">
        <f t="shared" si="2"/>
        <v>Comedy</v>
      </c>
      <c r="AA65" s="8" t="str">
        <f t="shared" si="3"/>
        <v>NO</v>
      </c>
      <c r="AB65" s="6" t="str">
        <f t="shared" si="4"/>
        <v>NO</v>
      </c>
    </row>
    <row r="66" spans="1:28" x14ac:dyDescent="0.3">
      <c r="A66">
        <v>66</v>
      </c>
      <c r="B66" t="s">
        <v>23</v>
      </c>
      <c r="C66" t="s">
        <v>75</v>
      </c>
      <c r="D66" s="1">
        <v>45497</v>
      </c>
      <c r="E66" s="2">
        <v>0.94791666666666663</v>
      </c>
      <c r="F66" t="s">
        <v>36</v>
      </c>
      <c r="G66">
        <v>99</v>
      </c>
      <c r="H66">
        <v>95637</v>
      </c>
      <c r="I66">
        <v>79</v>
      </c>
      <c r="J66" s="2">
        <v>0.10208333333333333</v>
      </c>
      <c r="K66" t="s">
        <v>26</v>
      </c>
      <c r="L66" t="s">
        <v>56</v>
      </c>
      <c r="M66" t="s">
        <v>38</v>
      </c>
      <c r="N66" t="s">
        <v>71</v>
      </c>
      <c r="O66">
        <v>2489</v>
      </c>
      <c r="P66">
        <v>331</v>
      </c>
      <c r="Q66">
        <v>202</v>
      </c>
      <c r="R66">
        <v>1.3</v>
      </c>
      <c r="S66" t="s">
        <v>51</v>
      </c>
      <c r="T66" t="s">
        <v>45</v>
      </c>
      <c r="U66" t="s">
        <v>66</v>
      </c>
      <c r="V66" t="s">
        <v>67</v>
      </c>
      <c r="W66">
        <v>4324</v>
      </c>
      <c r="X66" s="6" t="str">
        <f t="shared" si="0"/>
        <v>LOW</v>
      </c>
      <c r="Y66" s="8" t="str">
        <f t="shared" si="1"/>
        <v>Movie</v>
      </c>
      <c r="Z66" s="10" t="str">
        <f t="shared" si="2"/>
        <v>Nature</v>
      </c>
      <c r="AA66" s="8" t="str">
        <f t="shared" si="3"/>
        <v>NO</v>
      </c>
      <c r="AB66" s="6" t="str">
        <f t="shared" si="4"/>
        <v>NO</v>
      </c>
    </row>
    <row r="67" spans="1:28" x14ac:dyDescent="0.3">
      <c r="A67">
        <v>67</v>
      </c>
      <c r="B67" t="s">
        <v>54</v>
      </c>
      <c r="C67" t="s">
        <v>72</v>
      </c>
      <c r="D67" s="1">
        <v>45500</v>
      </c>
      <c r="E67" s="2">
        <v>0.52430555555555558</v>
      </c>
      <c r="F67" t="s">
        <v>73</v>
      </c>
      <c r="G67">
        <v>94</v>
      </c>
      <c r="H67">
        <v>24373</v>
      </c>
      <c r="I67">
        <v>43</v>
      </c>
      <c r="J67" s="2">
        <v>0.10277777777777777</v>
      </c>
      <c r="K67" t="s">
        <v>36</v>
      </c>
      <c r="L67" t="s">
        <v>27</v>
      </c>
      <c r="M67" t="s">
        <v>28</v>
      </c>
      <c r="N67" t="s">
        <v>71</v>
      </c>
      <c r="O67">
        <v>1668</v>
      </c>
      <c r="P67">
        <v>483</v>
      </c>
      <c r="Q67">
        <v>985</v>
      </c>
      <c r="R67">
        <v>1.7</v>
      </c>
      <c r="S67" t="s">
        <v>51</v>
      </c>
      <c r="T67" t="s">
        <v>45</v>
      </c>
      <c r="U67" t="s">
        <v>66</v>
      </c>
      <c r="V67" t="s">
        <v>67</v>
      </c>
      <c r="W67">
        <v>17107</v>
      </c>
      <c r="X67" s="6" t="str">
        <f t="shared" ref="X67:X130" si="11">IF(H67&gt;100000,"HIGH","LOW")</f>
        <v>LOW</v>
      </c>
      <c r="Y67" s="8" t="str">
        <f t="shared" ref="Y67:Y130" si="12">VLOOKUP(A67,A:B,2,FALSE)</f>
        <v>Documentary</v>
      </c>
      <c r="Z67" s="10" t="str">
        <f t="shared" ref="Z67:Z130" si="13">INDEX(C:C,MATCH(A67,A:A,0))</f>
        <v>Action</v>
      </c>
      <c r="AA67" s="8" t="str">
        <f t="shared" ref="AA67:AA130" si="14">IF(AND(H67&gt;1000,V67="YES"),"YES","NO")</f>
        <v>NO</v>
      </c>
      <c r="AB67" s="6" t="str">
        <f t="shared" ref="AB67:AB130" si="15">IF(R67&gt;AVERAGE(R:R),"YES","NO")</f>
        <v>NO</v>
      </c>
    </row>
    <row r="68" spans="1:28" x14ac:dyDescent="0.3">
      <c r="A68">
        <v>68</v>
      </c>
      <c r="B68" t="s">
        <v>54</v>
      </c>
      <c r="C68" t="s">
        <v>64</v>
      </c>
      <c r="D68" s="1">
        <v>45502</v>
      </c>
      <c r="E68" s="2">
        <v>0.19930555555555557</v>
      </c>
      <c r="F68" t="s">
        <v>26</v>
      </c>
      <c r="G68">
        <v>117</v>
      </c>
      <c r="H68">
        <v>80794</v>
      </c>
      <c r="I68">
        <v>71</v>
      </c>
      <c r="J68" s="2">
        <v>0.92986111111111114</v>
      </c>
      <c r="K68" t="s">
        <v>44</v>
      </c>
      <c r="L68" t="s">
        <v>49</v>
      </c>
      <c r="M68" t="s">
        <v>28</v>
      </c>
      <c r="N68" t="s">
        <v>59</v>
      </c>
      <c r="O68">
        <v>1401</v>
      </c>
      <c r="P68">
        <v>1602</v>
      </c>
      <c r="Q68">
        <v>393</v>
      </c>
      <c r="R68">
        <v>1.3</v>
      </c>
      <c r="S68" t="s">
        <v>30</v>
      </c>
      <c r="T68" t="s">
        <v>63</v>
      </c>
      <c r="U68" t="s">
        <v>70</v>
      </c>
      <c r="V68" t="s">
        <v>58</v>
      </c>
      <c r="W68">
        <v>2191</v>
      </c>
      <c r="X68" s="6" t="str">
        <f t="shared" si="11"/>
        <v>LOW</v>
      </c>
      <c r="Y68" s="8" t="str">
        <f t="shared" si="12"/>
        <v>Documentary</v>
      </c>
      <c r="Z68" s="10" t="str">
        <f t="shared" si="13"/>
        <v>Drama</v>
      </c>
      <c r="AA68" s="8" t="str">
        <f t="shared" si="14"/>
        <v>NO</v>
      </c>
      <c r="AB68" s="6" t="str">
        <f t="shared" si="15"/>
        <v>NO</v>
      </c>
    </row>
    <row r="69" spans="1:28" x14ac:dyDescent="0.3">
      <c r="A69">
        <v>69</v>
      </c>
      <c r="B69" t="s">
        <v>34</v>
      </c>
      <c r="C69" t="s">
        <v>75</v>
      </c>
      <c r="D69" s="1">
        <v>45541</v>
      </c>
      <c r="E69" s="2">
        <v>0.5708333333333333</v>
      </c>
      <c r="F69" t="s">
        <v>44</v>
      </c>
      <c r="G69">
        <v>829</v>
      </c>
      <c r="H69">
        <v>53915</v>
      </c>
      <c r="I69">
        <v>69</v>
      </c>
      <c r="J69" s="2">
        <v>0.31458333333333333</v>
      </c>
      <c r="K69" t="s">
        <v>26</v>
      </c>
      <c r="L69" t="s">
        <v>49</v>
      </c>
      <c r="M69" t="s">
        <v>28</v>
      </c>
      <c r="N69" t="s">
        <v>39</v>
      </c>
      <c r="O69">
        <v>2385</v>
      </c>
      <c r="P69">
        <v>596</v>
      </c>
      <c r="Q69">
        <v>640</v>
      </c>
      <c r="R69">
        <v>1.9</v>
      </c>
      <c r="S69" t="s">
        <v>60</v>
      </c>
      <c r="T69" t="s">
        <v>31</v>
      </c>
      <c r="U69" t="s">
        <v>46</v>
      </c>
      <c r="V69" t="s">
        <v>47</v>
      </c>
      <c r="W69">
        <v>14809</v>
      </c>
      <c r="X69" s="6" t="str">
        <f t="shared" si="11"/>
        <v>LOW</v>
      </c>
      <c r="Y69" s="8" t="str">
        <f t="shared" si="12"/>
        <v>Series</v>
      </c>
      <c r="Z69" s="10" t="str">
        <f t="shared" si="13"/>
        <v>Nature</v>
      </c>
      <c r="AA69" s="8" t="str">
        <f t="shared" si="14"/>
        <v>NO</v>
      </c>
      <c r="AB69" s="6" t="str">
        <f t="shared" si="15"/>
        <v>NO</v>
      </c>
    </row>
    <row r="70" spans="1:28" x14ac:dyDescent="0.3">
      <c r="A70">
        <v>70</v>
      </c>
      <c r="B70" t="s">
        <v>23</v>
      </c>
      <c r="C70" t="s">
        <v>43</v>
      </c>
      <c r="D70" s="1">
        <v>45507</v>
      </c>
      <c r="E70" s="2">
        <v>0.69374999999999998</v>
      </c>
      <c r="F70" t="s">
        <v>68</v>
      </c>
      <c r="G70">
        <v>94</v>
      </c>
      <c r="H70">
        <v>97356</v>
      </c>
      <c r="I70">
        <v>49</v>
      </c>
      <c r="J70" s="2">
        <v>0.93819444444444444</v>
      </c>
      <c r="K70" t="s">
        <v>36</v>
      </c>
      <c r="L70" t="s">
        <v>49</v>
      </c>
      <c r="M70" t="s">
        <v>38</v>
      </c>
      <c r="N70" t="s">
        <v>76</v>
      </c>
      <c r="O70">
        <v>1274</v>
      </c>
      <c r="P70">
        <v>1720</v>
      </c>
      <c r="Q70">
        <v>281</v>
      </c>
      <c r="R70">
        <v>2.5</v>
      </c>
      <c r="S70" t="s">
        <v>51</v>
      </c>
      <c r="T70" t="s">
        <v>63</v>
      </c>
      <c r="U70" t="s">
        <v>74</v>
      </c>
      <c r="V70" t="s">
        <v>67</v>
      </c>
      <c r="W70">
        <v>3865</v>
      </c>
      <c r="X70" s="6" t="str">
        <f t="shared" si="11"/>
        <v>LOW</v>
      </c>
      <c r="Y70" s="8" t="str">
        <f t="shared" si="12"/>
        <v>Movie</v>
      </c>
      <c r="Z70" s="10" t="str">
        <f t="shared" si="13"/>
        <v>Sci-Fi</v>
      </c>
      <c r="AA70" s="8" t="str">
        <f t="shared" si="14"/>
        <v>NO</v>
      </c>
      <c r="AB70" s="6" t="str">
        <f t="shared" si="15"/>
        <v>NO</v>
      </c>
    </row>
    <row r="71" spans="1:28" x14ac:dyDescent="0.3">
      <c r="A71">
        <v>71</v>
      </c>
      <c r="B71" t="s">
        <v>34</v>
      </c>
      <c r="C71" t="s">
        <v>55</v>
      </c>
      <c r="D71" s="1">
        <v>45548</v>
      </c>
      <c r="E71" s="2">
        <v>0.44930555555555557</v>
      </c>
      <c r="F71" t="s">
        <v>68</v>
      </c>
      <c r="G71">
        <v>767</v>
      </c>
      <c r="H71">
        <v>58747</v>
      </c>
      <c r="I71">
        <v>108</v>
      </c>
      <c r="J71" s="2">
        <v>0.64444444444444449</v>
      </c>
      <c r="K71" t="s">
        <v>36</v>
      </c>
      <c r="L71" t="s">
        <v>27</v>
      </c>
      <c r="M71" t="s">
        <v>28</v>
      </c>
      <c r="N71" t="s">
        <v>50</v>
      </c>
      <c r="O71">
        <v>2502</v>
      </c>
      <c r="P71">
        <v>1977</v>
      </c>
      <c r="Q71">
        <v>383</v>
      </c>
      <c r="R71">
        <v>2</v>
      </c>
      <c r="S71" t="s">
        <v>30</v>
      </c>
      <c r="T71" t="s">
        <v>31</v>
      </c>
      <c r="U71" t="s">
        <v>46</v>
      </c>
      <c r="V71" t="s">
        <v>53</v>
      </c>
      <c r="W71">
        <v>3433</v>
      </c>
      <c r="X71" s="6" t="str">
        <f t="shared" si="11"/>
        <v>LOW</v>
      </c>
      <c r="Y71" s="8" t="str">
        <f t="shared" si="12"/>
        <v>Series</v>
      </c>
      <c r="Z71" s="10" t="str">
        <f t="shared" si="13"/>
        <v>Fantasy</v>
      </c>
      <c r="AA71" s="8" t="str">
        <f t="shared" si="14"/>
        <v>NO</v>
      </c>
      <c r="AB71" s="6" t="str">
        <f t="shared" si="15"/>
        <v>NO</v>
      </c>
    </row>
    <row r="72" spans="1:28" x14ac:dyDescent="0.3">
      <c r="A72">
        <v>72</v>
      </c>
      <c r="B72" t="s">
        <v>23</v>
      </c>
      <c r="C72" t="s">
        <v>55</v>
      </c>
      <c r="D72" s="1">
        <v>45510</v>
      </c>
      <c r="E72" s="2">
        <v>0.23194444444444445</v>
      </c>
      <c r="F72" t="s">
        <v>26</v>
      </c>
      <c r="G72">
        <v>156</v>
      </c>
      <c r="H72">
        <v>38877</v>
      </c>
      <c r="I72">
        <v>53</v>
      </c>
      <c r="J72" s="2">
        <v>0.43263888888888891</v>
      </c>
      <c r="K72" t="s">
        <v>44</v>
      </c>
      <c r="L72" t="s">
        <v>56</v>
      </c>
      <c r="M72" t="s">
        <v>38</v>
      </c>
      <c r="N72" t="s">
        <v>29</v>
      </c>
      <c r="O72">
        <v>445</v>
      </c>
      <c r="P72">
        <v>1911</v>
      </c>
      <c r="Q72">
        <v>1194</v>
      </c>
      <c r="R72">
        <v>3.1</v>
      </c>
      <c r="S72" t="s">
        <v>40</v>
      </c>
      <c r="T72" t="s">
        <v>31</v>
      </c>
      <c r="U72" t="s">
        <v>46</v>
      </c>
      <c r="V72" t="s">
        <v>53</v>
      </c>
      <c r="W72">
        <v>4650</v>
      </c>
      <c r="X72" s="6" t="str">
        <f t="shared" ref="X72" si="16">IF(H72&gt;15000,"HIGH",IF(H72&gt;80000,"MEDIUM","LOW"))</f>
        <v>HIGH</v>
      </c>
      <c r="Y72" s="8" t="str">
        <f t="shared" si="12"/>
        <v>Movie</v>
      </c>
      <c r="Z72" s="10" t="str">
        <f t="shared" si="13"/>
        <v>Fantasy</v>
      </c>
      <c r="AA72" s="8" t="str">
        <f t="shared" si="14"/>
        <v>NO</v>
      </c>
      <c r="AB72" s="6" t="str">
        <f t="shared" si="15"/>
        <v>YES</v>
      </c>
    </row>
    <row r="73" spans="1:28" x14ac:dyDescent="0.3">
      <c r="A73">
        <v>73</v>
      </c>
      <c r="B73" t="s">
        <v>34</v>
      </c>
      <c r="C73" t="s">
        <v>61</v>
      </c>
      <c r="D73" s="1">
        <v>45490</v>
      </c>
      <c r="E73" s="2">
        <v>0.27986111111111112</v>
      </c>
      <c r="F73" t="s">
        <v>25</v>
      </c>
      <c r="G73">
        <v>504</v>
      </c>
      <c r="H73">
        <v>87562</v>
      </c>
      <c r="I73">
        <v>121</v>
      </c>
      <c r="J73" s="2">
        <v>0.97777777777777775</v>
      </c>
      <c r="K73" t="s">
        <v>62</v>
      </c>
      <c r="L73" t="s">
        <v>37</v>
      </c>
      <c r="M73" t="s">
        <v>38</v>
      </c>
      <c r="N73" t="s">
        <v>71</v>
      </c>
      <c r="O73">
        <v>1359</v>
      </c>
      <c r="P73">
        <v>109</v>
      </c>
      <c r="Q73">
        <v>1029</v>
      </c>
      <c r="R73">
        <v>5</v>
      </c>
      <c r="S73" t="s">
        <v>60</v>
      </c>
      <c r="T73" t="s">
        <v>31</v>
      </c>
      <c r="U73" t="s">
        <v>52</v>
      </c>
      <c r="V73" t="s">
        <v>42</v>
      </c>
      <c r="W73">
        <v>11397</v>
      </c>
      <c r="X73" s="6" t="str">
        <f t="shared" si="11"/>
        <v>LOW</v>
      </c>
      <c r="Y73" s="8" t="str">
        <f t="shared" si="12"/>
        <v>Series</v>
      </c>
      <c r="Z73" s="10" t="str">
        <f t="shared" si="13"/>
        <v>History</v>
      </c>
      <c r="AA73" s="8" t="str">
        <f t="shared" si="14"/>
        <v>NO</v>
      </c>
      <c r="AB73" s="6" t="str">
        <f t="shared" si="15"/>
        <v>YES</v>
      </c>
    </row>
    <row r="74" spans="1:28" x14ac:dyDescent="0.3">
      <c r="A74">
        <v>74</v>
      </c>
      <c r="B74" t="s">
        <v>23</v>
      </c>
      <c r="C74" t="s">
        <v>35</v>
      </c>
      <c r="D74" s="1">
        <v>45544</v>
      </c>
      <c r="E74" s="2">
        <v>8.3333333333333332E-3</v>
      </c>
      <c r="F74" t="s">
        <v>25</v>
      </c>
      <c r="G74">
        <v>95</v>
      </c>
      <c r="H74">
        <v>83313</v>
      </c>
      <c r="I74">
        <v>45</v>
      </c>
      <c r="J74" s="2">
        <v>0.39305555555555555</v>
      </c>
      <c r="K74" t="s">
        <v>26</v>
      </c>
      <c r="L74" t="s">
        <v>37</v>
      </c>
      <c r="M74" t="s">
        <v>38</v>
      </c>
      <c r="N74" t="s">
        <v>69</v>
      </c>
      <c r="O74">
        <v>506</v>
      </c>
      <c r="P74">
        <v>781</v>
      </c>
      <c r="Q74">
        <v>286</v>
      </c>
      <c r="R74">
        <v>1</v>
      </c>
      <c r="S74" t="s">
        <v>30</v>
      </c>
      <c r="T74" t="s">
        <v>63</v>
      </c>
      <c r="U74" t="s">
        <v>52</v>
      </c>
      <c r="V74" t="s">
        <v>33</v>
      </c>
      <c r="W74">
        <v>12887</v>
      </c>
      <c r="X74" s="6" t="str">
        <f t="shared" si="11"/>
        <v>LOW</v>
      </c>
      <c r="Y74" s="8" t="str">
        <f t="shared" si="12"/>
        <v>Movie</v>
      </c>
      <c r="Z74" s="10" t="str">
        <f t="shared" si="13"/>
        <v>Comedy</v>
      </c>
      <c r="AA74" s="8" t="str">
        <f t="shared" si="14"/>
        <v>NO</v>
      </c>
      <c r="AB74" s="6" t="str">
        <f t="shared" si="15"/>
        <v>NO</v>
      </c>
    </row>
    <row r="75" spans="1:28" x14ac:dyDescent="0.3">
      <c r="A75">
        <v>75</v>
      </c>
      <c r="B75" t="s">
        <v>23</v>
      </c>
      <c r="C75" t="s">
        <v>35</v>
      </c>
      <c r="D75" s="1">
        <v>45479</v>
      </c>
      <c r="E75" s="2">
        <v>0.68680555555555556</v>
      </c>
      <c r="F75" t="s">
        <v>26</v>
      </c>
      <c r="G75">
        <v>134</v>
      </c>
      <c r="H75">
        <v>32231</v>
      </c>
      <c r="I75">
        <v>29</v>
      </c>
      <c r="J75" s="2">
        <v>0.24374999999999999</v>
      </c>
      <c r="K75" t="s">
        <v>36</v>
      </c>
      <c r="L75" t="s">
        <v>56</v>
      </c>
      <c r="M75" t="s">
        <v>28</v>
      </c>
      <c r="N75" t="s">
        <v>39</v>
      </c>
      <c r="O75">
        <v>249</v>
      </c>
      <c r="P75">
        <v>701</v>
      </c>
      <c r="Q75">
        <v>729</v>
      </c>
      <c r="R75">
        <v>4.0999999999999996</v>
      </c>
      <c r="S75" t="s">
        <v>51</v>
      </c>
      <c r="T75" t="s">
        <v>63</v>
      </c>
      <c r="U75" t="s">
        <v>66</v>
      </c>
      <c r="V75" t="s">
        <v>53</v>
      </c>
      <c r="W75">
        <v>17471</v>
      </c>
      <c r="X75" s="6" t="str">
        <f t="shared" si="11"/>
        <v>LOW</v>
      </c>
      <c r="Y75" s="8" t="str">
        <f t="shared" si="12"/>
        <v>Movie</v>
      </c>
      <c r="Z75" s="10" t="str">
        <f t="shared" si="13"/>
        <v>Comedy</v>
      </c>
      <c r="AA75" s="8" t="str">
        <f t="shared" si="14"/>
        <v>NO</v>
      </c>
      <c r="AB75" s="6" t="str">
        <f t="shared" si="15"/>
        <v>YES</v>
      </c>
    </row>
    <row r="76" spans="1:28" x14ac:dyDescent="0.3">
      <c r="A76">
        <v>76</v>
      </c>
      <c r="B76" t="s">
        <v>23</v>
      </c>
      <c r="C76" t="s">
        <v>43</v>
      </c>
      <c r="D76" s="1">
        <v>45534</v>
      </c>
      <c r="E76" s="2">
        <v>0.78055555555555556</v>
      </c>
      <c r="F76" t="s">
        <v>62</v>
      </c>
      <c r="G76">
        <v>146</v>
      </c>
      <c r="H76">
        <v>84521</v>
      </c>
      <c r="I76">
        <v>57</v>
      </c>
      <c r="J76" s="2">
        <v>0.89513888888888893</v>
      </c>
      <c r="K76" t="s">
        <v>44</v>
      </c>
      <c r="L76" t="s">
        <v>27</v>
      </c>
      <c r="M76" t="s">
        <v>28</v>
      </c>
      <c r="N76" t="s">
        <v>65</v>
      </c>
      <c r="O76">
        <v>2783</v>
      </c>
      <c r="P76">
        <v>313</v>
      </c>
      <c r="Q76">
        <v>300</v>
      </c>
      <c r="R76">
        <v>1</v>
      </c>
      <c r="S76" t="s">
        <v>40</v>
      </c>
      <c r="T76" t="s">
        <v>31</v>
      </c>
      <c r="U76" t="s">
        <v>32</v>
      </c>
      <c r="V76" t="s">
        <v>42</v>
      </c>
      <c r="W76">
        <v>14326</v>
      </c>
      <c r="X76" s="6" t="str">
        <f t="shared" si="11"/>
        <v>LOW</v>
      </c>
      <c r="Y76" s="8" t="str">
        <f t="shared" si="12"/>
        <v>Movie</v>
      </c>
      <c r="Z76" s="10" t="str">
        <f t="shared" si="13"/>
        <v>Sci-Fi</v>
      </c>
      <c r="AA76" s="8" t="str">
        <f t="shared" si="14"/>
        <v>NO</v>
      </c>
      <c r="AB76" s="6" t="str">
        <f t="shared" si="15"/>
        <v>NO</v>
      </c>
    </row>
    <row r="77" spans="1:28" x14ac:dyDescent="0.3">
      <c r="A77">
        <v>77</v>
      </c>
      <c r="B77" t="s">
        <v>54</v>
      </c>
      <c r="C77" t="s">
        <v>61</v>
      </c>
      <c r="D77" s="1">
        <v>45522</v>
      </c>
      <c r="E77" s="2">
        <v>0.57708333333333328</v>
      </c>
      <c r="F77" t="s">
        <v>62</v>
      </c>
      <c r="G77">
        <v>111</v>
      </c>
      <c r="H77">
        <v>24611</v>
      </c>
      <c r="I77">
        <v>24</v>
      </c>
      <c r="J77" s="2">
        <v>0.31041666666666667</v>
      </c>
      <c r="K77" t="s">
        <v>26</v>
      </c>
      <c r="L77" t="s">
        <v>49</v>
      </c>
      <c r="M77" t="s">
        <v>28</v>
      </c>
      <c r="N77" t="s">
        <v>76</v>
      </c>
      <c r="O77">
        <v>1469</v>
      </c>
      <c r="P77">
        <v>1407</v>
      </c>
      <c r="Q77">
        <v>1450</v>
      </c>
      <c r="R77">
        <v>1</v>
      </c>
      <c r="S77" t="s">
        <v>60</v>
      </c>
      <c r="T77" t="s">
        <v>31</v>
      </c>
      <c r="U77" t="s">
        <v>57</v>
      </c>
      <c r="V77" t="s">
        <v>47</v>
      </c>
      <c r="W77">
        <v>11123</v>
      </c>
      <c r="X77" s="6" t="str">
        <f t="shared" si="11"/>
        <v>LOW</v>
      </c>
      <c r="Y77" s="8" t="str">
        <f t="shared" si="12"/>
        <v>Documentary</v>
      </c>
      <c r="Z77" s="10" t="str">
        <f t="shared" si="13"/>
        <v>History</v>
      </c>
      <c r="AA77" s="8" t="str">
        <f t="shared" si="14"/>
        <v>NO</v>
      </c>
      <c r="AB77" s="6" t="str">
        <f t="shared" si="15"/>
        <v>NO</v>
      </c>
    </row>
    <row r="78" spans="1:28" x14ac:dyDescent="0.3">
      <c r="A78">
        <v>78</v>
      </c>
      <c r="B78" t="s">
        <v>23</v>
      </c>
      <c r="C78" t="s">
        <v>64</v>
      </c>
      <c r="D78" s="1">
        <v>45505</v>
      </c>
      <c r="E78" s="2">
        <v>0.55972222222222223</v>
      </c>
      <c r="F78" t="s">
        <v>26</v>
      </c>
      <c r="G78">
        <v>199</v>
      </c>
      <c r="H78">
        <v>22001</v>
      </c>
      <c r="I78">
        <v>82</v>
      </c>
      <c r="J78" s="2">
        <v>0.28888888888888886</v>
      </c>
      <c r="K78" t="s">
        <v>36</v>
      </c>
      <c r="L78" t="s">
        <v>49</v>
      </c>
      <c r="M78" t="s">
        <v>38</v>
      </c>
      <c r="N78" t="s">
        <v>71</v>
      </c>
      <c r="O78">
        <v>2400</v>
      </c>
      <c r="P78">
        <v>1184</v>
      </c>
      <c r="Q78">
        <v>1426</v>
      </c>
      <c r="R78">
        <v>3.6</v>
      </c>
      <c r="S78" t="s">
        <v>60</v>
      </c>
      <c r="T78" t="s">
        <v>45</v>
      </c>
      <c r="U78" t="s">
        <v>32</v>
      </c>
      <c r="V78" t="s">
        <v>53</v>
      </c>
      <c r="W78">
        <v>3975</v>
      </c>
      <c r="X78" s="6" t="str">
        <f t="shared" si="11"/>
        <v>LOW</v>
      </c>
      <c r="Y78" s="8" t="str">
        <f t="shared" si="12"/>
        <v>Movie</v>
      </c>
      <c r="Z78" s="10" t="str">
        <f t="shared" si="13"/>
        <v>Drama</v>
      </c>
      <c r="AA78" s="8" t="str">
        <f t="shared" si="14"/>
        <v>NO</v>
      </c>
      <c r="AB78" s="6" t="str">
        <f t="shared" si="15"/>
        <v>YES</v>
      </c>
    </row>
    <row r="79" spans="1:28" x14ac:dyDescent="0.3">
      <c r="A79">
        <v>79</v>
      </c>
      <c r="B79" t="s">
        <v>34</v>
      </c>
      <c r="C79" t="s">
        <v>75</v>
      </c>
      <c r="D79" s="1">
        <v>45483</v>
      </c>
      <c r="E79" s="2">
        <v>9.7222222222222224E-3</v>
      </c>
      <c r="F79" t="s">
        <v>62</v>
      </c>
      <c r="G79">
        <v>868</v>
      </c>
      <c r="H79">
        <v>20128</v>
      </c>
      <c r="I79">
        <v>75</v>
      </c>
      <c r="J79" s="2">
        <v>0.96527777777777779</v>
      </c>
      <c r="K79" t="s">
        <v>44</v>
      </c>
      <c r="L79" t="s">
        <v>27</v>
      </c>
      <c r="M79" t="s">
        <v>28</v>
      </c>
      <c r="N79" t="s">
        <v>50</v>
      </c>
      <c r="O79">
        <v>2543</v>
      </c>
      <c r="P79">
        <v>753</v>
      </c>
      <c r="Q79">
        <v>519</v>
      </c>
      <c r="R79">
        <v>4.5</v>
      </c>
      <c r="S79" t="s">
        <v>40</v>
      </c>
      <c r="T79" t="s">
        <v>45</v>
      </c>
      <c r="U79" t="s">
        <v>70</v>
      </c>
      <c r="V79" t="s">
        <v>33</v>
      </c>
      <c r="W79">
        <v>18259</v>
      </c>
      <c r="X79" s="6" t="str">
        <f t="shared" si="11"/>
        <v>LOW</v>
      </c>
      <c r="Y79" s="8" t="str">
        <f t="shared" si="12"/>
        <v>Series</v>
      </c>
      <c r="Z79" s="10" t="str">
        <f t="shared" si="13"/>
        <v>Nature</v>
      </c>
      <c r="AA79" s="8" t="str">
        <f t="shared" si="14"/>
        <v>NO</v>
      </c>
      <c r="AB79" s="6" t="str">
        <f t="shared" si="15"/>
        <v>YES</v>
      </c>
    </row>
    <row r="80" spans="1:28" x14ac:dyDescent="0.3">
      <c r="A80">
        <v>80</v>
      </c>
      <c r="B80" t="s">
        <v>54</v>
      </c>
      <c r="C80" t="s">
        <v>43</v>
      </c>
      <c r="D80" s="1">
        <v>45516</v>
      </c>
      <c r="E80" s="2">
        <v>0.93472222222222223</v>
      </c>
      <c r="F80" t="s">
        <v>25</v>
      </c>
      <c r="G80">
        <v>55</v>
      </c>
      <c r="H80">
        <v>75853</v>
      </c>
      <c r="I80">
        <v>50</v>
      </c>
      <c r="J80" s="2">
        <v>0.78333333333333333</v>
      </c>
      <c r="K80" t="s">
        <v>26</v>
      </c>
      <c r="L80" t="s">
        <v>56</v>
      </c>
      <c r="M80" t="s">
        <v>38</v>
      </c>
      <c r="N80" t="s">
        <v>76</v>
      </c>
      <c r="O80">
        <v>407</v>
      </c>
      <c r="P80">
        <v>1224</v>
      </c>
      <c r="Q80">
        <v>1399</v>
      </c>
      <c r="R80">
        <v>3.3</v>
      </c>
      <c r="S80" t="s">
        <v>30</v>
      </c>
      <c r="T80" t="s">
        <v>63</v>
      </c>
      <c r="U80" t="s">
        <v>52</v>
      </c>
      <c r="V80" t="s">
        <v>53</v>
      </c>
      <c r="W80">
        <v>18395</v>
      </c>
      <c r="X80" s="6" t="str">
        <f t="shared" si="11"/>
        <v>LOW</v>
      </c>
      <c r="Y80" s="8" t="str">
        <f t="shared" si="12"/>
        <v>Documentary</v>
      </c>
      <c r="Z80" s="10" t="str">
        <f t="shared" si="13"/>
        <v>Sci-Fi</v>
      </c>
      <c r="AA80" s="8" t="str">
        <f t="shared" si="14"/>
        <v>NO</v>
      </c>
      <c r="AB80" s="6" t="str">
        <f t="shared" si="15"/>
        <v>YES</v>
      </c>
    </row>
    <row r="81" spans="1:28" x14ac:dyDescent="0.3">
      <c r="A81">
        <v>81</v>
      </c>
      <c r="B81" t="s">
        <v>54</v>
      </c>
      <c r="C81" t="s">
        <v>24</v>
      </c>
      <c r="D81" s="1">
        <v>45520</v>
      </c>
      <c r="E81" s="2">
        <v>0.26874999999999999</v>
      </c>
      <c r="F81" t="s">
        <v>73</v>
      </c>
      <c r="G81">
        <v>114</v>
      </c>
      <c r="H81">
        <v>31986</v>
      </c>
      <c r="I81">
        <v>84</v>
      </c>
      <c r="J81" s="2">
        <v>0.12361111111111112</v>
      </c>
      <c r="K81" t="s">
        <v>36</v>
      </c>
      <c r="L81" t="s">
        <v>27</v>
      </c>
      <c r="M81" t="s">
        <v>38</v>
      </c>
      <c r="N81" t="s">
        <v>71</v>
      </c>
      <c r="O81">
        <v>444</v>
      </c>
      <c r="P81">
        <v>541</v>
      </c>
      <c r="Q81">
        <v>983</v>
      </c>
      <c r="R81">
        <v>1</v>
      </c>
      <c r="S81" t="s">
        <v>40</v>
      </c>
      <c r="T81" t="s">
        <v>45</v>
      </c>
      <c r="U81" t="s">
        <v>66</v>
      </c>
      <c r="V81" t="s">
        <v>42</v>
      </c>
      <c r="W81">
        <v>9649</v>
      </c>
      <c r="X81" s="6" t="str">
        <f t="shared" si="11"/>
        <v>LOW</v>
      </c>
      <c r="Y81" s="8" t="str">
        <f t="shared" si="12"/>
        <v>Documentary</v>
      </c>
      <c r="Z81" s="10" t="str">
        <f t="shared" si="13"/>
        <v>Thriller</v>
      </c>
      <c r="AA81" s="8" t="str">
        <f t="shared" si="14"/>
        <v>NO</v>
      </c>
      <c r="AB81" s="6" t="str">
        <f t="shared" si="15"/>
        <v>NO</v>
      </c>
    </row>
    <row r="82" spans="1:28" x14ac:dyDescent="0.3">
      <c r="A82">
        <v>82</v>
      </c>
      <c r="B82" t="s">
        <v>23</v>
      </c>
      <c r="C82" t="s">
        <v>43</v>
      </c>
      <c r="D82" s="1">
        <v>45496</v>
      </c>
      <c r="E82" s="2">
        <v>0.43472222222222223</v>
      </c>
      <c r="F82" t="s">
        <v>44</v>
      </c>
      <c r="G82">
        <v>188</v>
      </c>
      <c r="H82">
        <v>69043</v>
      </c>
      <c r="I82">
        <v>71</v>
      </c>
      <c r="J82" s="2">
        <v>0.88680555555555551</v>
      </c>
      <c r="K82" t="s">
        <v>36</v>
      </c>
      <c r="L82" t="s">
        <v>37</v>
      </c>
      <c r="M82" t="s">
        <v>38</v>
      </c>
      <c r="N82" t="s">
        <v>39</v>
      </c>
      <c r="O82">
        <v>2342</v>
      </c>
      <c r="P82">
        <v>787</v>
      </c>
      <c r="Q82">
        <v>151</v>
      </c>
      <c r="R82">
        <v>1</v>
      </c>
      <c r="S82" t="s">
        <v>30</v>
      </c>
      <c r="T82" t="s">
        <v>45</v>
      </c>
      <c r="U82" t="s">
        <v>57</v>
      </c>
      <c r="V82" t="s">
        <v>47</v>
      </c>
      <c r="W82">
        <v>6037</v>
      </c>
      <c r="X82" s="6" t="str">
        <f t="shared" ref="X82" si="17">IF(H82&gt;15000,"HIGH",IF(H82&gt;80000,"MEDIUM","LOW"))</f>
        <v>HIGH</v>
      </c>
      <c r="Y82" s="8" t="str">
        <f t="shared" si="12"/>
        <v>Movie</v>
      </c>
      <c r="Z82" s="10" t="str">
        <f t="shared" si="13"/>
        <v>Sci-Fi</v>
      </c>
      <c r="AA82" s="8" t="str">
        <f t="shared" si="14"/>
        <v>NO</v>
      </c>
      <c r="AB82" s="6" t="str">
        <f t="shared" si="15"/>
        <v>NO</v>
      </c>
    </row>
    <row r="83" spans="1:28" x14ac:dyDescent="0.3">
      <c r="A83">
        <v>83</v>
      </c>
      <c r="B83" t="s">
        <v>23</v>
      </c>
      <c r="C83" t="s">
        <v>75</v>
      </c>
      <c r="D83" s="1">
        <v>45487</v>
      </c>
      <c r="E83" s="2">
        <v>0.22847222222222222</v>
      </c>
      <c r="F83" t="s">
        <v>44</v>
      </c>
      <c r="G83">
        <v>178</v>
      </c>
      <c r="H83">
        <v>96182</v>
      </c>
      <c r="I83">
        <v>98</v>
      </c>
      <c r="J83" s="2">
        <v>0.51111111111111107</v>
      </c>
      <c r="K83" t="s">
        <v>44</v>
      </c>
      <c r="L83" t="s">
        <v>56</v>
      </c>
      <c r="M83" t="s">
        <v>28</v>
      </c>
      <c r="N83" t="s">
        <v>76</v>
      </c>
      <c r="O83">
        <v>2351</v>
      </c>
      <c r="P83">
        <v>356</v>
      </c>
      <c r="Q83">
        <v>1449</v>
      </c>
      <c r="R83">
        <v>2</v>
      </c>
      <c r="S83" t="s">
        <v>51</v>
      </c>
      <c r="T83" t="s">
        <v>63</v>
      </c>
      <c r="U83" t="s">
        <v>52</v>
      </c>
      <c r="V83" t="s">
        <v>67</v>
      </c>
      <c r="W83">
        <v>8289</v>
      </c>
      <c r="X83" s="6" t="str">
        <f t="shared" si="11"/>
        <v>LOW</v>
      </c>
      <c r="Y83" s="8" t="str">
        <f t="shared" si="12"/>
        <v>Movie</v>
      </c>
      <c r="Z83" s="10" t="str">
        <f t="shared" si="13"/>
        <v>Nature</v>
      </c>
      <c r="AA83" s="8" t="str">
        <f t="shared" si="14"/>
        <v>NO</v>
      </c>
      <c r="AB83" s="6" t="str">
        <f t="shared" si="15"/>
        <v>NO</v>
      </c>
    </row>
    <row r="84" spans="1:28" x14ac:dyDescent="0.3">
      <c r="A84">
        <v>84</v>
      </c>
      <c r="B84" t="s">
        <v>54</v>
      </c>
      <c r="C84" t="s">
        <v>24</v>
      </c>
      <c r="D84" s="1">
        <v>45517</v>
      </c>
      <c r="E84" s="2">
        <v>0.24444444444444444</v>
      </c>
      <c r="F84" t="s">
        <v>73</v>
      </c>
      <c r="G84">
        <v>83</v>
      </c>
      <c r="H84">
        <v>21395</v>
      </c>
      <c r="I84">
        <v>54</v>
      </c>
      <c r="J84" s="2">
        <v>0.42222222222222222</v>
      </c>
      <c r="K84" t="s">
        <v>62</v>
      </c>
      <c r="L84" t="s">
        <v>49</v>
      </c>
      <c r="M84" t="s">
        <v>38</v>
      </c>
      <c r="N84" t="s">
        <v>65</v>
      </c>
      <c r="O84">
        <v>2684</v>
      </c>
      <c r="P84">
        <v>1155</v>
      </c>
      <c r="Q84">
        <v>295</v>
      </c>
      <c r="R84">
        <v>1.6</v>
      </c>
      <c r="S84" t="s">
        <v>40</v>
      </c>
      <c r="T84" t="s">
        <v>45</v>
      </c>
      <c r="U84" t="s">
        <v>70</v>
      </c>
      <c r="V84" t="s">
        <v>67</v>
      </c>
      <c r="W84">
        <v>6366</v>
      </c>
      <c r="X84" s="6" t="str">
        <f t="shared" si="11"/>
        <v>LOW</v>
      </c>
      <c r="Y84" s="8" t="str">
        <f t="shared" si="12"/>
        <v>Documentary</v>
      </c>
      <c r="Z84" s="10" t="str">
        <f t="shared" si="13"/>
        <v>Thriller</v>
      </c>
      <c r="AA84" s="8" t="str">
        <f t="shared" si="14"/>
        <v>NO</v>
      </c>
      <c r="AB84" s="6" t="str">
        <f t="shared" si="15"/>
        <v>NO</v>
      </c>
    </row>
    <row r="85" spans="1:28" x14ac:dyDescent="0.3">
      <c r="A85">
        <v>85</v>
      </c>
      <c r="B85" t="s">
        <v>34</v>
      </c>
      <c r="C85" t="s">
        <v>43</v>
      </c>
      <c r="D85" s="1">
        <v>45515</v>
      </c>
      <c r="E85" s="2">
        <v>0.22916666666666666</v>
      </c>
      <c r="F85" t="s">
        <v>62</v>
      </c>
      <c r="G85">
        <v>636</v>
      </c>
      <c r="H85">
        <v>65993</v>
      </c>
      <c r="I85">
        <v>40</v>
      </c>
      <c r="J85" s="2">
        <v>0.79722222222222228</v>
      </c>
      <c r="K85" t="s">
        <v>26</v>
      </c>
      <c r="L85" t="s">
        <v>37</v>
      </c>
      <c r="M85" t="s">
        <v>38</v>
      </c>
      <c r="N85" t="s">
        <v>71</v>
      </c>
      <c r="O85">
        <v>1833</v>
      </c>
      <c r="P85">
        <v>1442</v>
      </c>
      <c r="Q85">
        <v>1046</v>
      </c>
      <c r="R85">
        <v>3</v>
      </c>
      <c r="S85" t="s">
        <v>60</v>
      </c>
      <c r="T85" t="s">
        <v>31</v>
      </c>
      <c r="U85" t="s">
        <v>52</v>
      </c>
      <c r="V85" t="s">
        <v>47</v>
      </c>
      <c r="W85">
        <v>13310</v>
      </c>
      <c r="X85" s="6" t="str">
        <f t="shared" si="11"/>
        <v>LOW</v>
      </c>
      <c r="Y85" s="8" t="str">
        <f t="shared" si="12"/>
        <v>Series</v>
      </c>
      <c r="Z85" s="10" t="str">
        <f t="shared" si="13"/>
        <v>Sci-Fi</v>
      </c>
      <c r="AA85" s="8" t="str">
        <f t="shared" si="14"/>
        <v>NO</v>
      </c>
      <c r="AB85" s="6" t="str">
        <f t="shared" si="15"/>
        <v>YES</v>
      </c>
    </row>
    <row r="86" spans="1:28" x14ac:dyDescent="0.3">
      <c r="A86">
        <v>86</v>
      </c>
      <c r="B86" t="s">
        <v>54</v>
      </c>
      <c r="C86" t="s">
        <v>35</v>
      </c>
      <c r="D86" s="1">
        <v>45507</v>
      </c>
      <c r="E86" s="2">
        <v>0.26319444444444445</v>
      </c>
      <c r="F86" t="s">
        <v>62</v>
      </c>
      <c r="G86">
        <v>88</v>
      </c>
      <c r="H86">
        <v>16141</v>
      </c>
      <c r="I86">
        <v>40</v>
      </c>
      <c r="J86" s="2">
        <v>0.74097222222222225</v>
      </c>
      <c r="K86" t="s">
        <v>36</v>
      </c>
      <c r="L86" t="s">
        <v>27</v>
      </c>
      <c r="M86" t="s">
        <v>28</v>
      </c>
      <c r="N86" t="s">
        <v>59</v>
      </c>
      <c r="O86">
        <v>2041</v>
      </c>
      <c r="P86">
        <v>1071</v>
      </c>
      <c r="Q86">
        <v>1487</v>
      </c>
      <c r="R86">
        <v>1.6</v>
      </c>
      <c r="S86" t="s">
        <v>60</v>
      </c>
      <c r="T86" t="s">
        <v>63</v>
      </c>
      <c r="U86" t="s">
        <v>52</v>
      </c>
      <c r="V86" t="s">
        <v>47</v>
      </c>
      <c r="W86">
        <v>16358</v>
      </c>
      <c r="X86" s="6" t="str">
        <f t="shared" si="11"/>
        <v>LOW</v>
      </c>
      <c r="Y86" s="8" t="str">
        <f t="shared" si="12"/>
        <v>Documentary</v>
      </c>
      <c r="Z86" s="10" t="str">
        <f t="shared" si="13"/>
        <v>Comedy</v>
      </c>
      <c r="AA86" s="8" t="str">
        <f t="shared" si="14"/>
        <v>NO</v>
      </c>
      <c r="AB86" s="6" t="str">
        <f t="shared" si="15"/>
        <v>NO</v>
      </c>
    </row>
    <row r="87" spans="1:28" x14ac:dyDescent="0.3">
      <c r="A87">
        <v>87</v>
      </c>
      <c r="B87" t="s">
        <v>34</v>
      </c>
      <c r="C87" t="s">
        <v>75</v>
      </c>
      <c r="D87" s="1">
        <v>45512</v>
      </c>
      <c r="E87" s="2">
        <v>0.28819444444444442</v>
      </c>
      <c r="F87" t="s">
        <v>68</v>
      </c>
      <c r="G87">
        <v>903</v>
      </c>
      <c r="H87">
        <v>7629</v>
      </c>
      <c r="I87">
        <v>69</v>
      </c>
      <c r="J87" s="2">
        <v>0.85416666666666663</v>
      </c>
      <c r="K87" t="s">
        <v>44</v>
      </c>
      <c r="L87" t="s">
        <v>27</v>
      </c>
      <c r="M87" t="s">
        <v>38</v>
      </c>
      <c r="N87" t="s">
        <v>39</v>
      </c>
      <c r="O87">
        <v>2741</v>
      </c>
      <c r="P87">
        <v>1575</v>
      </c>
      <c r="Q87">
        <v>24</v>
      </c>
      <c r="R87">
        <v>2</v>
      </c>
      <c r="S87" t="s">
        <v>40</v>
      </c>
      <c r="T87" t="s">
        <v>63</v>
      </c>
      <c r="U87" t="s">
        <v>41</v>
      </c>
      <c r="V87" t="s">
        <v>67</v>
      </c>
      <c r="W87">
        <v>18525</v>
      </c>
      <c r="X87" s="6" t="str">
        <f t="shared" si="11"/>
        <v>LOW</v>
      </c>
      <c r="Y87" s="8" t="str">
        <f t="shared" si="12"/>
        <v>Series</v>
      </c>
      <c r="Z87" s="10" t="str">
        <f t="shared" si="13"/>
        <v>Nature</v>
      </c>
      <c r="AA87" s="8" t="str">
        <f t="shared" si="14"/>
        <v>NO</v>
      </c>
      <c r="AB87" s="6" t="str">
        <f t="shared" si="15"/>
        <v>NO</v>
      </c>
    </row>
    <row r="88" spans="1:28" x14ac:dyDescent="0.3">
      <c r="A88">
        <v>88</v>
      </c>
      <c r="B88" t="s">
        <v>23</v>
      </c>
      <c r="C88" t="s">
        <v>72</v>
      </c>
      <c r="D88" s="1">
        <v>45516</v>
      </c>
      <c r="E88" s="2">
        <v>0.72222222222222221</v>
      </c>
      <c r="F88" t="s">
        <v>44</v>
      </c>
      <c r="G88">
        <v>171</v>
      </c>
      <c r="H88">
        <v>97380</v>
      </c>
      <c r="I88">
        <v>83</v>
      </c>
      <c r="J88" s="2">
        <v>0.53194444444444444</v>
      </c>
      <c r="K88" t="s">
        <v>26</v>
      </c>
      <c r="L88" t="s">
        <v>37</v>
      </c>
      <c r="M88" t="s">
        <v>28</v>
      </c>
      <c r="N88" t="s">
        <v>29</v>
      </c>
      <c r="O88">
        <v>2697</v>
      </c>
      <c r="P88">
        <v>1138</v>
      </c>
      <c r="Q88">
        <v>559</v>
      </c>
      <c r="R88">
        <v>2</v>
      </c>
      <c r="S88" t="s">
        <v>40</v>
      </c>
      <c r="T88" t="s">
        <v>31</v>
      </c>
      <c r="U88" t="s">
        <v>41</v>
      </c>
      <c r="V88" t="s">
        <v>42</v>
      </c>
      <c r="W88">
        <v>18042</v>
      </c>
      <c r="X88" s="6" t="str">
        <f t="shared" si="11"/>
        <v>LOW</v>
      </c>
      <c r="Y88" s="8" t="str">
        <f t="shared" si="12"/>
        <v>Movie</v>
      </c>
      <c r="Z88" s="10" t="str">
        <f t="shared" si="13"/>
        <v>Action</v>
      </c>
      <c r="AA88" s="8" t="str">
        <f t="shared" si="14"/>
        <v>NO</v>
      </c>
      <c r="AB88" s="6" t="str">
        <f t="shared" si="15"/>
        <v>NO</v>
      </c>
    </row>
    <row r="89" spans="1:28" x14ac:dyDescent="0.3">
      <c r="A89">
        <v>89</v>
      </c>
      <c r="B89" t="s">
        <v>23</v>
      </c>
      <c r="C89" t="s">
        <v>64</v>
      </c>
      <c r="D89" s="1">
        <v>45477</v>
      </c>
      <c r="E89" s="2">
        <v>0.38611111111111113</v>
      </c>
      <c r="F89" t="s">
        <v>36</v>
      </c>
      <c r="G89">
        <v>146</v>
      </c>
      <c r="H89">
        <v>45223</v>
      </c>
      <c r="I89">
        <v>35</v>
      </c>
      <c r="J89" s="2">
        <v>0.76875000000000004</v>
      </c>
      <c r="K89" t="s">
        <v>36</v>
      </c>
      <c r="L89" t="s">
        <v>27</v>
      </c>
      <c r="M89" t="s">
        <v>28</v>
      </c>
      <c r="N89" t="s">
        <v>65</v>
      </c>
      <c r="O89">
        <v>2199</v>
      </c>
      <c r="P89">
        <v>1868</v>
      </c>
      <c r="Q89">
        <v>226</v>
      </c>
      <c r="R89">
        <v>4.4000000000000004</v>
      </c>
      <c r="S89" t="s">
        <v>51</v>
      </c>
      <c r="T89" t="s">
        <v>63</v>
      </c>
      <c r="U89" t="s">
        <v>41</v>
      </c>
      <c r="V89" t="s">
        <v>67</v>
      </c>
      <c r="W89">
        <v>5093</v>
      </c>
      <c r="X89" s="6" t="str">
        <f t="shared" si="11"/>
        <v>LOW</v>
      </c>
      <c r="Y89" s="8" t="str">
        <f t="shared" si="12"/>
        <v>Movie</v>
      </c>
      <c r="Z89" s="10" t="str">
        <f t="shared" si="13"/>
        <v>Drama</v>
      </c>
      <c r="AA89" s="8" t="str">
        <f t="shared" si="14"/>
        <v>NO</v>
      </c>
      <c r="AB89" s="6" t="str">
        <f t="shared" si="15"/>
        <v>YES</v>
      </c>
    </row>
    <row r="90" spans="1:28" x14ac:dyDescent="0.3">
      <c r="A90">
        <v>90</v>
      </c>
      <c r="B90" t="s">
        <v>34</v>
      </c>
      <c r="C90" t="s">
        <v>48</v>
      </c>
      <c r="D90" s="1">
        <v>45519</v>
      </c>
      <c r="E90" s="2">
        <v>0.3972222222222222</v>
      </c>
      <c r="F90" t="s">
        <v>68</v>
      </c>
      <c r="G90">
        <v>208</v>
      </c>
      <c r="H90">
        <v>59047</v>
      </c>
      <c r="I90">
        <v>125</v>
      </c>
      <c r="J90" s="2">
        <v>0.2951388888888889</v>
      </c>
      <c r="K90" t="s">
        <v>36</v>
      </c>
      <c r="L90" t="s">
        <v>56</v>
      </c>
      <c r="M90" t="s">
        <v>38</v>
      </c>
      <c r="N90" t="s">
        <v>39</v>
      </c>
      <c r="O90">
        <v>2643</v>
      </c>
      <c r="P90">
        <v>1684</v>
      </c>
      <c r="Q90">
        <v>78</v>
      </c>
      <c r="R90">
        <v>2.2999999999999998</v>
      </c>
      <c r="S90" t="s">
        <v>30</v>
      </c>
      <c r="T90" t="s">
        <v>31</v>
      </c>
      <c r="U90" t="s">
        <v>74</v>
      </c>
      <c r="V90" t="s">
        <v>53</v>
      </c>
      <c r="W90">
        <v>10044</v>
      </c>
      <c r="X90" s="6" t="str">
        <f t="shared" si="11"/>
        <v>LOW</v>
      </c>
      <c r="Y90" s="8" t="str">
        <f t="shared" si="12"/>
        <v>Series</v>
      </c>
      <c r="Z90" s="10" t="str">
        <f t="shared" si="13"/>
        <v>Romance</v>
      </c>
      <c r="AA90" s="8" t="str">
        <f t="shared" si="14"/>
        <v>NO</v>
      </c>
      <c r="AB90" s="6" t="str">
        <f t="shared" si="15"/>
        <v>NO</v>
      </c>
    </row>
    <row r="91" spans="1:28" x14ac:dyDescent="0.3">
      <c r="A91">
        <v>91</v>
      </c>
      <c r="B91" t="s">
        <v>23</v>
      </c>
      <c r="C91" t="s">
        <v>64</v>
      </c>
      <c r="D91" s="1">
        <v>45478</v>
      </c>
      <c r="E91" s="2">
        <v>0.62430555555555556</v>
      </c>
      <c r="F91" t="s">
        <v>73</v>
      </c>
      <c r="G91">
        <v>171</v>
      </c>
      <c r="H91">
        <v>75755</v>
      </c>
      <c r="I91">
        <v>85</v>
      </c>
      <c r="J91" s="2">
        <v>0.76736111111111116</v>
      </c>
      <c r="K91" t="s">
        <v>44</v>
      </c>
      <c r="L91" t="s">
        <v>49</v>
      </c>
      <c r="M91" t="s">
        <v>28</v>
      </c>
      <c r="N91" t="s">
        <v>50</v>
      </c>
      <c r="O91">
        <v>2356</v>
      </c>
      <c r="P91">
        <v>990</v>
      </c>
      <c r="Q91">
        <v>907</v>
      </c>
      <c r="R91">
        <v>2</v>
      </c>
      <c r="S91" t="s">
        <v>51</v>
      </c>
      <c r="T91" t="s">
        <v>31</v>
      </c>
      <c r="U91" t="s">
        <v>32</v>
      </c>
      <c r="V91" t="s">
        <v>47</v>
      </c>
      <c r="W91">
        <v>13521</v>
      </c>
      <c r="X91" s="6" t="str">
        <f t="shared" si="11"/>
        <v>LOW</v>
      </c>
      <c r="Y91" s="8" t="str">
        <f t="shared" si="12"/>
        <v>Movie</v>
      </c>
      <c r="Z91" s="10" t="str">
        <f t="shared" si="13"/>
        <v>Drama</v>
      </c>
      <c r="AA91" s="8" t="str">
        <f t="shared" si="14"/>
        <v>NO</v>
      </c>
      <c r="AB91" s="6" t="str">
        <f t="shared" si="15"/>
        <v>NO</v>
      </c>
    </row>
    <row r="92" spans="1:28" x14ac:dyDescent="0.3">
      <c r="A92">
        <v>92</v>
      </c>
      <c r="B92" t="s">
        <v>34</v>
      </c>
      <c r="C92" t="s">
        <v>75</v>
      </c>
      <c r="D92" s="1">
        <v>45509</v>
      </c>
      <c r="E92" s="2">
        <v>0.17222222222222222</v>
      </c>
      <c r="F92" t="s">
        <v>36</v>
      </c>
      <c r="G92">
        <v>712</v>
      </c>
      <c r="H92">
        <v>2549</v>
      </c>
      <c r="I92">
        <v>119</v>
      </c>
      <c r="J92" s="2">
        <v>0.16527777777777777</v>
      </c>
      <c r="K92" t="s">
        <v>62</v>
      </c>
      <c r="L92" t="s">
        <v>56</v>
      </c>
      <c r="M92" t="s">
        <v>38</v>
      </c>
      <c r="N92" t="s">
        <v>69</v>
      </c>
      <c r="O92">
        <v>700</v>
      </c>
      <c r="P92">
        <v>1264</v>
      </c>
      <c r="Q92">
        <v>1031</v>
      </c>
      <c r="R92">
        <v>5</v>
      </c>
      <c r="S92" t="s">
        <v>30</v>
      </c>
      <c r="T92" t="s">
        <v>31</v>
      </c>
      <c r="U92" t="s">
        <v>52</v>
      </c>
      <c r="V92" t="s">
        <v>47</v>
      </c>
      <c r="W92">
        <v>19377</v>
      </c>
      <c r="X92" s="6" t="str">
        <f t="shared" ref="X92" si="18">IF(H92&gt;15000,"HIGH",IF(H92&gt;80000,"MEDIUM","LOW"))</f>
        <v>LOW</v>
      </c>
      <c r="Y92" s="8" t="str">
        <f t="shared" si="12"/>
        <v>Series</v>
      </c>
      <c r="Z92" s="10" t="str">
        <f t="shared" si="13"/>
        <v>Nature</v>
      </c>
      <c r="AA92" s="8" t="str">
        <f t="shared" si="14"/>
        <v>NO</v>
      </c>
      <c r="AB92" s="6" t="str">
        <f t="shared" si="15"/>
        <v>YES</v>
      </c>
    </row>
    <row r="93" spans="1:28" x14ac:dyDescent="0.3">
      <c r="A93">
        <v>93</v>
      </c>
      <c r="B93" t="s">
        <v>54</v>
      </c>
      <c r="C93" t="s">
        <v>55</v>
      </c>
      <c r="D93" s="1">
        <v>45540</v>
      </c>
      <c r="E93" s="2">
        <v>4.5138888888888888E-2</v>
      </c>
      <c r="F93" t="s">
        <v>26</v>
      </c>
      <c r="G93">
        <v>76</v>
      </c>
      <c r="H93">
        <v>79057</v>
      </c>
      <c r="I93">
        <v>33</v>
      </c>
      <c r="J93" s="2">
        <v>0.35138888888888886</v>
      </c>
      <c r="K93" t="s">
        <v>26</v>
      </c>
      <c r="L93" t="s">
        <v>56</v>
      </c>
      <c r="M93" t="s">
        <v>38</v>
      </c>
      <c r="N93" t="s">
        <v>65</v>
      </c>
      <c r="O93">
        <v>511</v>
      </c>
      <c r="P93">
        <v>792</v>
      </c>
      <c r="Q93">
        <v>1401</v>
      </c>
      <c r="R93">
        <v>1</v>
      </c>
      <c r="S93" t="s">
        <v>30</v>
      </c>
      <c r="T93" t="s">
        <v>63</v>
      </c>
      <c r="U93" t="s">
        <v>52</v>
      </c>
      <c r="V93" t="s">
        <v>67</v>
      </c>
      <c r="W93">
        <v>1244</v>
      </c>
      <c r="X93" s="6" t="str">
        <f t="shared" si="11"/>
        <v>LOW</v>
      </c>
      <c r="Y93" s="8" t="str">
        <f t="shared" si="12"/>
        <v>Documentary</v>
      </c>
      <c r="Z93" s="10" t="str">
        <f t="shared" si="13"/>
        <v>Fantasy</v>
      </c>
      <c r="AA93" s="8" t="str">
        <f t="shared" si="14"/>
        <v>NO</v>
      </c>
      <c r="AB93" s="6" t="str">
        <f t="shared" si="15"/>
        <v>NO</v>
      </c>
    </row>
    <row r="94" spans="1:28" x14ac:dyDescent="0.3">
      <c r="A94">
        <v>94</v>
      </c>
      <c r="B94" t="s">
        <v>23</v>
      </c>
      <c r="C94" t="s">
        <v>75</v>
      </c>
      <c r="D94" s="1">
        <v>45539</v>
      </c>
      <c r="E94" s="2">
        <v>0.92777777777777781</v>
      </c>
      <c r="F94" t="s">
        <v>68</v>
      </c>
      <c r="G94">
        <v>190</v>
      </c>
      <c r="H94">
        <v>85564</v>
      </c>
      <c r="I94">
        <v>28</v>
      </c>
      <c r="J94" s="2">
        <v>0.86041666666666672</v>
      </c>
      <c r="K94" t="s">
        <v>36</v>
      </c>
      <c r="L94" t="s">
        <v>56</v>
      </c>
      <c r="M94" t="s">
        <v>38</v>
      </c>
      <c r="N94" t="s">
        <v>50</v>
      </c>
      <c r="O94">
        <v>427</v>
      </c>
      <c r="P94">
        <v>1135</v>
      </c>
      <c r="Q94">
        <v>304</v>
      </c>
      <c r="R94">
        <v>4.8</v>
      </c>
      <c r="S94" t="s">
        <v>30</v>
      </c>
      <c r="T94" t="s">
        <v>63</v>
      </c>
      <c r="U94" t="s">
        <v>41</v>
      </c>
      <c r="V94" t="s">
        <v>47</v>
      </c>
      <c r="W94">
        <v>18017</v>
      </c>
      <c r="X94" s="6" t="str">
        <f t="shared" si="11"/>
        <v>LOW</v>
      </c>
      <c r="Y94" s="8" t="str">
        <f t="shared" si="12"/>
        <v>Movie</v>
      </c>
      <c r="Z94" s="10" t="str">
        <f t="shared" si="13"/>
        <v>Nature</v>
      </c>
      <c r="AA94" s="8" t="str">
        <f t="shared" si="14"/>
        <v>NO</v>
      </c>
      <c r="AB94" s="6" t="str">
        <f t="shared" si="15"/>
        <v>YES</v>
      </c>
    </row>
    <row r="95" spans="1:28" x14ac:dyDescent="0.3">
      <c r="A95">
        <v>95</v>
      </c>
      <c r="B95" t="s">
        <v>34</v>
      </c>
      <c r="C95" t="s">
        <v>43</v>
      </c>
      <c r="D95" s="1">
        <v>45494</v>
      </c>
      <c r="E95" s="2">
        <v>0.65277777777777779</v>
      </c>
      <c r="F95" t="s">
        <v>68</v>
      </c>
      <c r="G95">
        <v>610</v>
      </c>
      <c r="H95">
        <v>10396</v>
      </c>
      <c r="I95">
        <v>102</v>
      </c>
      <c r="J95" s="2">
        <v>0.90763888888888888</v>
      </c>
      <c r="K95" t="s">
        <v>44</v>
      </c>
      <c r="L95" t="s">
        <v>27</v>
      </c>
      <c r="M95" t="s">
        <v>38</v>
      </c>
      <c r="N95" t="s">
        <v>65</v>
      </c>
      <c r="O95">
        <v>2066</v>
      </c>
      <c r="P95">
        <v>1589</v>
      </c>
      <c r="Q95">
        <v>228</v>
      </c>
      <c r="R95">
        <v>2.5</v>
      </c>
      <c r="S95" t="s">
        <v>30</v>
      </c>
      <c r="T95" t="s">
        <v>45</v>
      </c>
      <c r="U95" t="s">
        <v>46</v>
      </c>
      <c r="V95" t="s">
        <v>47</v>
      </c>
      <c r="W95">
        <v>18388</v>
      </c>
      <c r="X95" s="6" t="str">
        <f t="shared" si="11"/>
        <v>LOW</v>
      </c>
      <c r="Y95" s="8" t="str">
        <f t="shared" si="12"/>
        <v>Series</v>
      </c>
      <c r="Z95" s="10" t="str">
        <f t="shared" si="13"/>
        <v>Sci-Fi</v>
      </c>
      <c r="AA95" s="8" t="str">
        <f t="shared" si="14"/>
        <v>NO</v>
      </c>
      <c r="AB95" s="6" t="str">
        <f t="shared" si="15"/>
        <v>NO</v>
      </c>
    </row>
    <row r="96" spans="1:28" x14ac:dyDescent="0.3">
      <c r="A96">
        <v>96</v>
      </c>
      <c r="B96" t="s">
        <v>54</v>
      </c>
      <c r="C96" t="s">
        <v>64</v>
      </c>
      <c r="D96" s="1">
        <v>45524</v>
      </c>
      <c r="E96" s="2">
        <v>0.2013888888888889</v>
      </c>
      <c r="F96" t="s">
        <v>26</v>
      </c>
      <c r="G96">
        <v>106</v>
      </c>
      <c r="H96">
        <v>55078</v>
      </c>
      <c r="I96">
        <v>65</v>
      </c>
      <c r="J96" s="2">
        <v>0.44583333333333336</v>
      </c>
      <c r="K96" t="s">
        <v>26</v>
      </c>
      <c r="L96" t="s">
        <v>27</v>
      </c>
      <c r="M96" t="s">
        <v>38</v>
      </c>
      <c r="N96" t="s">
        <v>59</v>
      </c>
      <c r="O96">
        <v>1405</v>
      </c>
      <c r="P96">
        <v>619</v>
      </c>
      <c r="Q96">
        <v>153</v>
      </c>
      <c r="R96">
        <v>2</v>
      </c>
      <c r="S96" t="s">
        <v>51</v>
      </c>
      <c r="T96" t="s">
        <v>63</v>
      </c>
      <c r="U96" t="s">
        <v>52</v>
      </c>
      <c r="V96" t="s">
        <v>33</v>
      </c>
      <c r="W96">
        <v>7805</v>
      </c>
      <c r="X96" s="6" t="str">
        <f t="shared" si="11"/>
        <v>LOW</v>
      </c>
      <c r="Y96" s="8" t="str">
        <f t="shared" si="12"/>
        <v>Documentary</v>
      </c>
      <c r="Z96" s="10" t="str">
        <f t="shared" si="13"/>
        <v>Drama</v>
      </c>
      <c r="AA96" s="8" t="str">
        <f t="shared" si="14"/>
        <v>NO</v>
      </c>
      <c r="AB96" s="6" t="str">
        <f t="shared" si="15"/>
        <v>NO</v>
      </c>
    </row>
    <row r="97" spans="1:28" x14ac:dyDescent="0.3">
      <c r="A97">
        <v>97</v>
      </c>
      <c r="B97" t="s">
        <v>54</v>
      </c>
      <c r="C97" t="s">
        <v>75</v>
      </c>
      <c r="D97" s="1">
        <v>45480</v>
      </c>
      <c r="E97" s="2">
        <v>0.30763888888888891</v>
      </c>
      <c r="F97" t="s">
        <v>68</v>
      </c>
      <c r="G97">
        <v>60</v>
      </c>
      <c r="H97">
        <v>64523</v>
      </c>
      <c r="I97">
        <v>24</v>
      </c>
      <c r="J97" s="2">
        <v>9.930555555555555E-2</v>
      </c>
      <c r="K97" t="s">
        <v>36</v>
      </c>
      <c r="L97" t="s">
        <v>49</v>
      </c>
      <c r="M97" t="s">
        <v>28</v>
      </c>
      <c r="N97" t="s">
        <v>39</v>
      </c>
      <c r="O97">
        <v>2861</v>
      </c>
      <c r="P97">
        <v>1204</v>
      </c>
      <c r="Q97">
        <v>1133</v>
      </c>
      <c r="R97">
        <v>3.2</v>
      </c>
      <c r="S97" t="s">
        <v>51</v>
      </c>
      <c r="T97" t="s">
        <v>31</v>
      </c>
      <c r="U97" t="s">
        <v>57</v>
      </c>
      <c r="V97" t="s">
        <v>58</v>
      </c>
      <c r="W97">
        <v>12451</v>
      </c>
      <c r="X97" s="6" t="str">
        <f t="shared" si="11"/>
        <v>LOW</v>
      </c>
      <c r="Y97" s="8" t="str">
        <f t="shared" si="12"/>
        <v>Documentary</v>
      </c>
      <c r="Z97" s="10" t="str">
        <f t="shared" si="13"/>
        <v>Nature</v>
      </c>
      <c r="AA97" s="8" t="str">
        <f t="shared" si="14"/>
        <v>NO</v>
      </c>
      <c r="AB97" s="6" t="str">
        <f t="shared" si="15"/>
        <v>YES</v>
      </c>
    </row>
    <row r="98" spans="1:28" x14ac:dyDescent="0.3">
      <c r="A98">
        <v>98</v>
      </c>
      <c r="B98" t="s">
        <v>34</v>
      </c>
      <c r="C98" t="s">
        <v>43</v>
      </c>
      <c r="D98" s="1">
        <v>45517</v>
      </c>
      <c r="E98" s="2">
        <v>0.13541666666666666</v>
      </c>
      <c r="F98" t="s">
        <v>68</v>
      </c>
      <c r="G98">
        <v>638</v>
      </c>
      <c r="H98">
        <v>66598</v>
      </c>
      <c r="I98">
        <v>107</v>
      </c>
      <c r="J98" s="2">
        <v>0.43194444444444446</v>
      </c>
      <c r="K98" t="s">
        <v>44</v>
      </c>
      <c r="L98" t="s">
        <v>56</v>
      </c>
      <c r="M98" t="s">
        <v>28</v>
      </c>
      <c r="N98" t="s">
        <v>39</v>
      </c>
      <c r="O98">
        <v>2785</v>
      </c>
      <c r="P98">
        <v>1430</v>
      </c>
      <c r="Q98">
        <v>465</v>
      </c>
      <c r="R98">
        <v>3.5</v>
      </c>
      <c r="S98" t="s">
        <v>40</v>
      </c>
      <c r="T98" t="s">
        <v>63</v>
      </c>
      <c r="U98" t="s">
        <v>70</v>
      </c>
      <c r="V98" t="s">
        <v>47</v>
      </c>
      <c r="W98">
        <v>136</v>
      </c>
      <c r="X98" s="6" t="str">
        <f t="shared" si="11"/>
        <v>LOW</v>
      </c>
      <c r="Y98" s="8" t="str">
        <f t="shared" si="12"/>
        <v>Series</v>
      </c>
      <c r="Z98" s="10" t="str">
        <f t="shared" si="13"/>
        <v>Sci-Fi</v>
      </c>
      <c r="AA98" s="8" t="str">
        <f t="shared" si="14"/>
        <v>NO</v>
      </c>
      <c r="AB98" s="6" t="str">
        <f t="shared" si="15"/>
        <v>YES</v>
      </c>
    </row>
    <row r="99" spans="1:28" x14ac:dyDescent="0.3">
      <c r="A99">
        <v>99</v>
      </c>
      <c r="B99" t="s">
        <v>23</v>
      </c>
      <c r="C99" t="s">
        <v>75</v>
      </c>
      <c r="D99" s="1">
        <v>45496</v>
      </c>
      <c r="E99" s="2">
        <v>0.95277777777777772</v>
      </c>
      <c r="F99" t="s">
        <v>44</v>
      </c>
      <c r="G99">
        <v>124</v>
      </c>
      <c r="H99">
        <v>65358</v>
      </c>
      <c r="I99">
        <v>40</v>
      </c>
      <c r="J99" s="2">
        <v>0.83611111111111114</v>
      </c>
      <c r="K99" t="s">
        <v>26</v>
      </c>
      <c r="L99" t="s">
        <v>56</v>
      </c>
      <c r="M99" t="s">
        <v>28</v>
      </c>
      <c r="N99" t="s">
        <v>71</v>
      </c>
      <c r="O99">
        <v>956</v>
      </c>
      <c r="P99">
        <v>1162</v>
      </c>
      <c r="Q99">
        <v>1077</v>
      </c>
      <c r="R99">
        <v>4.3</v>
      </c>
      <c r="S99" t="s">
        <v>40</v>
      </c>
      <c r="T99" t="s">
        <v>63</v>
      </c>
      <c r="U99" t="s">
        <v>74</v>
      </c>
      <c r="V99" t="s">
        <v>33</v>
      </c>
      <c r="W99">
        <v>1011</v>
      </c>
      <c r="X99" s="6" t="str">
        <f t="shared" si="11"/>
        <v>LOW</v>
      </c>
      <c r="Y99" s="8" t="str">
        <f t="shared" si="12"/>
        <v>Movie</v>
      </c>
      <c r="Z99" s="10" t="str">
        <f t="shared" si="13"/>
        <v>Nature</v>
      </c>
      <c r="AA99" s="8" t="str">
        <f t="shared" si="14"/>
        <v>NO</v>
      </c>
      <c r="AB99" s="6" t="str">
        <f t="shared" si="15"/>
        <v>YES</v>
      </c>
    </row>
    <row r="100" spans="1:28" x14ac:dyDescent="0.3">
      <c r="A100">
        <v>100</v>
      </c>
      <c r="B100" t="s">
        <v>34</v>
      </c>
      <c r="C100" t="s">
        <v>43</v>
      </c>
      <c r="D100" s="1">
        <v>45513</v>
      </c>
      <c r="E100" s="2">
        <v>8.3333333333333329E-2</v>
      </c>
      <c r="F100" t="s">
        <v>26</v>
      </c>
      <c r="G100">
        <v>1141</v>
      </c>
      <c r="H100">
        <v>45734</v>
      </c>
      <c r="I100">
        <v>119</v>
      </c>
      <c r="J100" s="2">
        <v>0.69374999999999998</v>
      </c>
      <c r="K100" t="s">
        <v>36</v>
      </c>
      <c r="L100" t="s">
        <v>56</v>
      </c>
      <c r="M100" t="s">
        <v>38</v>
      </c>
      <c r="N100" t="s">
        <v>69</v>
      </c>
      <c r="O100">
        <v>1247</v>
      </c>
      <c r="P100">
        <v>788</v>
      </c>
      <c r="Q100">
        <v>1142</v>
      </c>
      <c r="R100">
        <v>4.3</v>
      </c>
      <c r="S100" t="s">
        <v>30</v>
      </c>
      <c r="T100" t="s">
        <v>45</v>
      </c>
      <c r="U100" t="s">
        <v>52</v>
      </c>
      <c r="V100" t="s">
        <v>58</v>
      </c>
      <c r="W100">
        <v>10886</v>
      </c>
      <c r="X100" s="6" t="str">
        <f t="shared" si="11"/>
        <v>LOW</v>
      </c>
      <c r="Y100" s="8" t="str">
        <f t="shared" si="12"/>
        <v>Series</v>
      </c>
      <c r="Z100" s="10" t="str">
        <f t="shared" si="13"/>
        <v>Sci-Fi</v>
      </c>
      <c r="AA100" s="8" t="str">
        <f t="shared" si="14"/>
        <v>NO</v>
      </c>
      <c r="AB100" s="6" t="str">
        <f t="shared" si="15"/>
        <v>YES</v>
      </c>
    </row>
    <row r="101" spans="1:28" x14ac:dyDescent="0.3">
      <c r="A101">
        <v>101</v>
      </c>
      <c r="B101" t="s">
        <v>34</v>
      </c>
      <c r="C101" t="s">
        <v>75</v>
      </c>
      <c r="D101" s="1">
        <v>45504</v>
      </c>
      <c r="E101" s="2">
        <v>0.3840277777777778</v>
      </c>
      <c r="F101" t="s">
        <v>26</v>
      </c>
      <c r="G101">
        <v>572</v>
      </c>
      <c r="H101">
        <v>76566</v>
      </c>
      <c r="I101">
        <v>61</v>
      </c>
      <c r="J101" s="2">
        <v>0.19652777777777777</v>
      </c>
      <c r="K101" t="s">
        <v>36</v>
      </c>
      <c r="L101" t="s">
        <v>49</v>
      </c>
      <c r="M101" t="s">
        <v>38</v>
      </c>
      <c r="N101" t="s">
        <v>50</v>
      </c>
      <c r="O101">
        <v>2563</v>
      </c>
      <c r="P101">
        <v>1707</v>
      </c>
      <c r="Q101">
        <v>856</v>
      </c>
      <c r="R101">
        <v>3.9</v>
      </c>
      <c r="S101" t="s">
        <v>40</v>
      </c>
      <c r="T101" t="s">
        <v>63</v>
      </c>
      <c r="U101" t="s">
        <v>41</v>
      </c>
      <c r="V101" t="s">
        <v>53</v>
      </c>
      <c r="W101">
        <v>4525</v>
      </c>
      <c r="X101" s="6" t="str">
        <f t="shared" si="11"/>
        <v>LOW</v>
      </c>
      <c r="Y101" s="8" t="str">
        <f t="shared" si="12"/>
        <v>Series</v>
      </c>
      <c r="Z101" s="10" t="str">
        <f t="shared" si="13"/>
        <v>Nature</v>
      </c>
      <c r="AA101" s="8" t="str">
        <f t="shared" si="14"/>
        <v>NO</v>
      </c>
      <c r="AB101" s="6" t="str">
        <f t="shared" si="15"/>
        <v>YES</v>
      </c>
    </row>
    <row r="102" spans="1:28" x14ac:dyDescent="0.3">
      <c r="A102">
        <v>102</v>
      </c>
      <c r="B102" t="s">
        <v>34</v>
      </c>
      <c r="C102" t="s">
        <v>64</v>
      </c>
      <c r="D102" s="1">
        <v>45494</v>
      </c>
      <c r="E102" s="2">
        <v>0.26527777777777778</v>
      </c>
      <c r="F102" t="s">
        <v>73</v>
      </c>
      <c r="G102">
        <v>253</v>
      </c>
      <c r="H102">
        <v>1829</v>
      </c>
      <c r="I102">
        <v>98</v>
      </c>
      <c r="J102" s="2">
        <v>0.69027777777777777</v>
      </c>
      <c r="K102" t="s">
        <v>44</v>
      </c>
      <c r="L102" t="s">
        <v>37</v>
      </c>
      <c r="M102" t="s">
        <v>28</v>
      </c>
      <c r="N102" t="s">
        <v>71</v>
      </c>
      <c r="O102">
        <v>1009</v>
      </c>
      <c r="P102">
        <v>1306</v>
      </c>
      <c r="Q102">
        <v>669</v>
      </c>
      <c r="R102">
        <v>3</v>
      </c>
      <c r="S102" t="s">
        <v>40</v>
      </c>
      <c r="T102" t="s">
        <v>63</v>
      </c>
      <c r="U102" t="s">
        <v>70</v>
      </c>
      <c r="V102" t="s">
        <v>58</v>
      </c>
      <c r="W102">
        <v>7709</v>
      </c>
      <c r="X102" s="6" t="str">
        <f t="shared" ref="X102" si="19">IF(H102&gt;15000,"HIGH",IF(H102&gt;80000,"MEDIUM","LOW"))</f>
        <v>LOW</v>
      </c>
      <c r="Y102" s="8" t="str">
        <f t="shared" si="12"/>
        <v>Series</v>
      </c>
      <c r="Z102" s="10" t="str">
        <f t="shared" si="13"/>
        <v>Drama</v>
      </c>
      <c r="AA102" s="8" t="str">
        <f t="shared" si="14"/>
        <v>NO</v>
      </c>
      <c r="AB102" s="6" t="str">
        <f t="shared" si="15"/>
        <v>YES</v>
      </c>
    </row>
    <row r="103" spans="1:28" x14ac:dyDescent="0.3">
      <c r="A103">
        <v>103</v>
      </c>
      <c r="B103" t="s">
        <v>34</v>
      </c>
      <c r="C103" t="s">
        <v>75</v>
      </c>
      <c r="D103" s="1">
        <v>45497</v>
      </c>
      <c r="E103" s="2">
        <v>0.75208333333333333</v>
      </c>
      <c r="F103" t="s">
        <v>44</v>
      </c>
      <c r="G103">
        <v>779</v>
      </c>
      <c r="H103">
        <v>76641</v>
      </c>
      <c r="I103">
        <v>116</v>
      </c>
      <c r="J103" s="2">
        <v>0.70347222222222228</v>
      </c>
      <c r="K103" t="s">
        <v>62</v>
      </c>
      <c r="L103" t="s">
        <v>37</v>
      </c>
      <c r="M103" t="s">
        <v>38</v>
      </c>
      <c r="N103" t="s">
        <v>76</v>
      </c>
      <c r="O103">
        <v>158</v>
      </c>
      <c r="P103">
        <v>475</v>
      </c>
      <c r="Q103">
        <v>1076</v>
      </c>
      <c r="R103">
        <v>1</v>
      </c>
      <c r="S103" t="s">
        <v>40</v>
      </c>
      <c r="T103" t="s">
        <v>63</v>
      </c>
      <c r="U103" t="s">
        <v>66</v>
      </c>
      <c r="V103" t="s">
        <v>42</v>
      </c>
      <c r="W103">
        <v>16978</v>
      </c>
      <c r="X103" s="6" t="str">
        <f t="shared" si="11"/>
        <v>LOW</v>
      </c>
      <c r="Y103" s="8" t="str">
        <f t="shared" si="12"/>
        <v>Series</v>
      </c>
      <c r="Z103" s="10" t="str">
        <f t="shared" si="13"/>
        <v>Nature</v>
      </c>
      <c r="AA103" s="8" t="str">
        <f t="shared" si="14"/>
        <v>NO</v>
      </c>
      <c r="AB103" s="6" t="str">
        <f t="shared" si="15"/>
        <v>NO</v>
      </c>
    </row>
    <row r="104" spans="1:28" x14ac:dyDescent="0.3">
      <c r="A104">
        <v>104</v>
      </c>
      <c r="B104" t="s">
        <v>34</v>
      </c>
      <c r="C104" t="s">
        <v>43</v>
      </c>
      <c r="D104" s="1">
        <v>45547</v>
      </c>
      <c r="E104" s="2">
        <v>0.59305555555555556</v>
      </c>
      <c r="F104" t="s">
        <v>62</v>
      </c>
      <c r="G104">
        <v>1066</v>
      </c>
      <c r="H104">
        <v>11348</v>
      </c>
      <c r="I104">
        <v>110</v>
      </c>
      <c r="J104" s="2">
        <v>8.4722222222222227E-2</v>
      </c>
      <c r="K104" t="s">
        <v>26</v>
      </c>
      <c r="L104" t="s">
        <v>27</v>
      </c>
      <c r="M104" t="s">
        <v>28</v>
      </c>
      <c r="N104" t="s">
        <v>65</v>
      </c>
      <c r="O104">
        <v>2356</v>
      </c>
      <c r="P104">
        <v>1683</v>
      </c>
      <c r="Q104">
        <v>960</v>
      </c>
      <c r="R104">
        <v>2</v>
      </c>
      <c r="S104" t="s">
        <v>30</v>
      </c>
      <c r="T104" t="s">
        <v>45</v>
      </c>
      <c r="U104" t="s">
        <v>66</v>
      </c>
      <c r="V104" t="s">
        <v>53</v>
      </c>
      <c r="W104">
        <v>17701</v>
      </c>
      <c r="X104" s="6" t="str">
        <f t="shared" si="11"/>
        <v>LOW</v>
      </c>
      <c r="Y104" s="8" t="str">
        <f t="shared" si="12"/>
        <v>Series</v>
      </c>
      <c r="Z104" s="10" t="str">
        <f t="shared" si="13"/>
        <v>Sci-Fi</v>
      </c>
      <c r="AA104" s="8" t="str">
        <f t="shared" si="14"/>
        <v>NO</v>
      </c>
      <c r="AB104" s="6" t="str">
        <f t="shared" si="15"/>
        <v>NO</v>
      </c>
    </row>
    <row r="105" spans="1:28" x14ac:dyDescent="0.3">
      <c r="A105">
        <v>105</v>
      </c>
      <c r="B105" t="s">
        <v>34</v>
      </c>
      <c r="C105" t="s">
        <v>64</v>
      </c>
      <c r="D105" s="1">
        <v>45500</v>
      </c>
      <c r="E105" s="2">
        <v>0.13055555555555556</v>
      </c>
      <c r="F105" t="s">
        <v>26</v>
      </c>
      <c r="G105">
        <v>1052</v>
      </c>
      <c r="H105">
        <v>82709</v>
      </c>
      <c r="I105">
        <v>49</v>
      </c>
      <c r="J105" s="2">
        <v>0.82361111111111107</v>
      </c>
      <c r="K105" t="s">
        <v>36</v>
      </c>
      <c r="L105" t="s">
        <v>49</v>
      </c>
      <c r="M105" t="s">
        <v>38</v>
      </c>
      <c r="N105" t="s">
        <v>29</v>
      </c>
      <c r="O105">
        <v>1428</v>
      </c>
      <c r="P105">
        <v>141</v>
      </c>
      <c r="Q105">
        <v>650</v>
      </c>
      <c r="R105">
        <v>3.9</v>
      </c>
      <c r="S105" t="s">
        <v>51</v>
      </c>
      <c r="T105" t="s">
        <v>31</v>
      </c>
      <c r="U105" t="s">
        <v>32</v>
      </c>
      <c r="V105" t="s">
        <v>33</v>
      </c>
      <c r="W105">
        <v>8849</v>
      </c>
      <c r="X105" s="6" t="str">
        <f t="shared" si="11"/>
        <v>LOW</v>
      </c>
      <c r="Y105" s="8" t="str">
        <f t="shared" si="12"/>
        <v>Series</v>
      </c>
      <c r="Z105" s="10" t="str">
        <f t="shared" si="13"/>
        <v>Drama</v>
      </c>
      <c r="AA105" s="8" t="str">
        <f t="shared" si="14"/>
        <v>NO</v>
      </c>
      <c r="AB105" s="6" t="str">
        <f t="shared" si="15"/>
        <v>YES</v>
      </c>
    </row>
    <row r="106" spans="1:28" x14ac:dyDescent="0.3">
      <c r="A106">
        <v>106</v>
      </c>
      <c r="B106" t="s">
        <v>54</v>
      </c>
      <c r="C106" t="s">
        <v>72</v>
      </c>
      <c r="D106" s="1">
        <v>45540</v>
      </c>
      <c r="E106" s="2">
        <v>0.74375000000000002</v>
      </c>
      <c r="F106" t="s">
        <v>68</v>
      </c>
      <c r="G106">
        <v>58</v>
      </c>
      <c r="H106">
        <v>44145</v>
      </c>
      <c r="I106">
        <v>35</v>
      </c>
      <c r="J106" s="2">
        <v>0.37430555555555556</v>
      </c>
      <c r="K106" t="s">
        <v>44</v>
      </c>
      <c r="L106" t="s">
        <v>49</v>
      </c>
      <c r="M106" t="s">
        <v>28</v>
      </c>
      <c r="N106" t="s">
        <v>65</v>
      </c>
      <c r="O106">
        <v>183</v>
      </c>
      <c r="P106">
        <v>1873</v>
      </c>
      <c r="Q106">
        <v>1231</v>
      </c>
      <c r="R106">
        <v>4.4000000000000004</v>
      </c>
      <c r="S106" t="s">
        <v>30</v>
      </c>
      <c r="T106" t="s">
        <v>31</v>
      </c>
      <c r="U106" t="s">
        <v>52</v>
      </c>
      <c r="V106" t="s">
        <v>47</v>
      </c>
      <c r="W106">
        <v>1010</v>
      </c>
      <c r="X106" s="6" t="str">
        <f t="shared" si="11"/>
        <v>LOW</v>
      </c>
      <c r="Y106" s="8" t="str">
        <f t="shared" si="12"/>
        <v>Documentary</v>
      </c>
      <c r="Z106" s="10" t="str">
        <f t="shared" si="13"/>
        <v>Action</v>
      </c>
      <c r="AA106" s="8" t="str">
        <f t="shared" si="14"/>
        <v>NO</v>
      </c>
      <c r="AB106" s="6" t="str">
        <f t="shared" si="15"/>
        <v>YES</v>
      </c>
    </row>
    <row r="107" spans="1:28" x14ac:dyDescent="0.3">
      <c r="A107">
        <v>107</v>
      </c>
      <c r="B107" t="s">
        <v>34</v>
      </c>
      <c r="C107" t="s">
        <v>24</v>
      </c>
      <c r="D107" s="1">
        <v>45491</v>
      </c>
      <c r="E107" s="2">
        <v>0.24652777777777779</v>
      </c>
      <c r="F107" t="s">
        <v>62</v>
      </c>
      <c r="G107">
        <v>493</v>
      </c>
      <c r="H107">
        <v>95645</v>
      </c>
      <c r="I107">
        <v>117</v>
      </c>
      <c r="J107" s="2">
        <v>0.98958333333333337</v>
      </c>
      <c r="K107" t="s">
        <v>26</v>
      </c>
      <c r="L107" t="s">
        <v>27</v>
      </c>
      <c r="M107" t="s">
        <v>38</v>
      </c>
      <c r="N107" t="s">
        <v>65</v>
      </c>
      <c r="O107">
        <v>159</v>
      </c>
      <c r="P107">
        <v>282</v>
      </c>
      <c r="Q107">
        <v>914</v>
      </c>
      <c r="R107">
        <v>1.8</v>
      </c>
      <c r="S107" t="s">
        <v>51</v>
      </c>
      <c r="T107" t="s">
        <v>31</v>
      </c>
      <c r="U107" t="s">
        <v>41</v>
      </c>
      <c r="V107" t="s">
        <v>42</v>
      </c>
      <c r="W107">
        <v>1415</v>
      </c>
      <c r="X107" s="6" t="str">
        <f t="shared" si="11"/>
        <v>LOW</v>
      </c>
      <c r="Y107" s="8" t="str">
        <f t="shared" si="12"/>
        <v>Series</v>
      </c>
      <c r="Z107" s="10" t="str">
        <f t="shared" si="13"/>
        <v>Thriller</v>
      </c>
      <c r="AA107" s="8" t="str">
        <f t="shared" si="14"/>
        <v>NO</v>
      </c>
      <c r="AB107" s="6" t="str">
        <f t="shared" si="15"/>
        <v>NO</v>
      </c>
    </row>
    <row r="108" spans="1:28" x14ac:dyDescent="0.3">
      <c r="A108">
        <v>108</v>
      </c>
      <c r="B108" t="s">
        <v>54</v>
      </c>
      <c r="C108" t="s">
        <v>64</v>
      </c>
      <c r="D108" s="1">
        <v>45511</v>
      </c>
      <c r="E108" s="2">
        <v>0.52500000000000002</v>
      </c>
      <c r="F108" t="s">
        <v>36</v>
      </c>
      <c r="G108">
        <v>90</v>
      </c>
      <c r="H108">
        <v>22953</v>
      </c>
      <c r="I108">
        <v>34</v>
      </c>
      <c r="J108" s="2">
        <v>0.11944444444444445</v>
      </c>
      <c r="K108" t="s">
        <v>36</v>
      </c>
      <c r="L108" t="s">
        <v>27</v>
      </c>
      <c r="M108" t="s">
        <v>38</v>
      </c>
      <c r="N108" t="s">
        <v>39</v>
      </c>
      <c r="O108">
        <v>301</v>
      </c>
      <c r="P108">
        <v>448</v>
      </c>
      <c r="Q108">
        <v>300</v>
      </c>
      <c r="R108">
        <v>2</v>
      </c>
      <c r="S108" t="s">
        <v>30</v>
      </c>
      <c r="T108" t="s">
        <v>31</v>
      </c>
      <c r="U108" t="s">
        <v>32</v>
      </c>
      <c r="V108" t="s">
        <v>47</v>
      </c>
      <c r="W108">
        <v>11079</v>
      </c>
      <c r="X108" s="6" t="str">
        <f t="shared" si="11"/>
        <v>LOW</v>
      </c>
      <c r="Y108" s="8" t="str">
        <f t="shared" si="12"/>
        <v>Documentary</v>
      </c>
      <c r="Z108" s="10" t="str">
        <f t="shared" si="13"/>
        <v>Drama</v>
      </c>
      <c r="AA108" s="8" t="str">
        <f t="shared" si="14"/>
        <v>NO</v>
      </c>
      <c r="AB108" s="6" t="str">
        <f t="shared" si="15"/>
        <v>NO</v>
      </c>
    </row>
    <row r="109" spans="1:28" x14ac:dyDescent="0.3">
      <c r="A109">
        <v>109</v>
      </c>
      <c r="B109" t="s">
        <v>34</v>
      </c>
      <c r="C109" t="s">
        <v>43</v>
      </c>
      <c r="D109" s="1">
        <v>45523</v>
      </c>
      <c r="E109" s="2">
        <v>0.90416666666666667</v>
      </c>
      <c r="F109" t="s">
        <v>44</v>
      </c>
      <c r="G109">
        <v>1006</v>
      </c>
      <c r="H109">
        <v>39927</v>
      </c>
      <c r="I109">
        <v>107</v>
      </c>
      <c r="J109" s="2">
        <v>0.35208333333333336</v>
      </c>
      <c r="K109" t="s">
        <v>36</v>
      </c>
      <c r="L109" t="s">
        <v>56</v>
      </c>
      <c r="M109" t="s">
        <v>38</v>
      </c>
      <c r="N109" t="s">
        <v>39</v>
      </c>
      <c r="O109">
        <v>132</v>
      </c>
      <c r="P109">
        <v>228</v>
      </c>
      <c r="Q109">
        <v>550</v>
      </c>
      <c r="R109">
        <v>4.9000000000000004</v>
      </c>
      <c r="S109" t="s">
        <v>60</v>
      </c>
      <c r="T109" t="s">
        <v>45</v>
      </c>
      <c r="U109" t="s">
        <v>66</v>
      </c>
      <c r="V109" t="s">
        <v>53</v>
      </c>
      <c r="W109">
        <v>8085</v>
      </c>
      <c r="X109" s="6" t="str">
        <f t="shared" si="11"/>
        <v>LOW</v>
      </c>
      <c r="Y109" s="8" t="str">
        <f t="shared" si="12"/>
        <v>Series</v>
      </c>
      <c r="Z109" s="10" t="str">
        <f t="shared" si="13"/>
        <v>Sci-Fi</v>
      </c>
      <c r="AA109" s="8" t="str">
        <f t="shared" si="14"/>
        <v>NO</v>
      </c>
      <c r="AB109" s="6" t="str">
        <f t="shared" si="15"/>
        <v>YES</v>
      </c>
    </row>
    <row r="110" spans="1:28" x14ac:dyDescent="0.3">
      <c r="A110">
        <v>110</v>
      </c>
      <c r="B110" t="s">
        <v>23</v>
      </c>
      <c r="C110" t="s">
        <v>43</v>
      </c>
      <c r="D110" s="1">
        <v>45534</v>
      </c>
      <c r="E110" s="2">
        <v>0.56597222222222221</v>
      </c>
      <c r="F110" t="s">
        <v>68</v>
      </c>
      <c r="G110">
        <v>186</v>
      </c>
      <c r="H110">
        <v>48339</v>
      </c>
      <c r="I110">
        <v>108</v>
      </c>
      <c r="J110" s="2">
        <v>0.6381944444444444</v>
      </c>
      <c r="K110" t="s">
        <v>44</v>
      </c>
      <c r="L110" t="s">
        <v>49</v>
      </c>
      <c r="M110" t="s">
        <v>28</v>
      </c>
      <c r="N110" t="s">
        <v>39</v>
      </c>
      <c r="O110">
        <v>139</v>
      </c>
      <c r="P110">
        <v>1831</v>
      </c>
      <c r="Q110">
        <v>134</v>
      </c>
      <c r="R110">
        <v>4.0999999999999996</v>
      </c>
      <c r="S110" t="s">
        <v>51</v>
      </c>
      <c r="T110" t="s">
        <v>63</v>
      </c>
      <c r="U110" t="s">
        <v>66</v>
      </c>
      <c r="V110" t="s">
        <v>47</v>
      </c>
      <c r="W110">
        <v>740</v>
      </c>
      <c r="X110" s="6" t="str">
        <f t="shared" si="11"/>
        <v>LOW</v>
      </c>
      <c r="Y110" s="8" t="str">
        <f t="shared" si="12"/>
        <v>Movie</v>
      </c>
      <c r="Z110" s="10" t="str">
        <f t="shared" si="13"/>
        <v>Sci-Fi</v>
      </c>
      <c r="AA110" s="8" t="str">
        <f t="shared" si="14"/>
        <v>NO</v>
      </c>
      <c r="AB110" s="6" t="str">
        <f t="shared" si="15"/>
        <v>YES</v>
      </c>
    </row>
    <row r="111" spans="1:28" x14ac:dyDescent="0.3">
      <c r="A111">
        <v>111</v>
      </c>
      <c r="B111" t="s">
        <v>23</v>
      </c>
      <c r="C111" t="s">
        <v>55</v>
      </c>
      <c r="D111" s="1">
        <v>45481</v>
      </c>
      <c r="E111" s="2">
        <v>0.76041666666666663</v>
      </c>
      <c r="F111" t="s">
        <v>62</v>
      </c>
      <c r="G111">
        <v>161</v>
      </c>
      <c r="H111">
        <v>71394</v>
      </c>
      <c r="I111">
        <v>86</v>
      </c>
      <c r="J111" s="2">
        <v>0.94513888888888886</v>
      </c>
      <c r="K111" t="s">
        <v>62</v>
      </c>
      <c r="L111" t="s">
        <v>49</v>
      </c>
      <c r="M111" t="s">
        <v>28</v>
      </c>
      <c r="N111" t="s">
        <v>65</v>
      </c>
      <c r="O111">
        <v>2758</v>
      </c>
      <c r="P111">
        <v>151</v>
      </c>
      <c r="Q111">
        <v>1166</v>
      </c>
      <c r="R111">
        <v>1.1000000000000001</v>
      </c>
      <c r="S111" t="s">
        <v>40</v>
      </c>
      <c r="T111" t="s">
        <v>63</v>
      </c>
      <c r="U111" t="s">
        <v>57</v>
      </c>
      <c r="V111" t="s">
        <v>42</v>
      </c>
      <c r="W111">
        <v>8631</v>
      </c>
      <c r="X111" s="6" t="str">
        <f t="shared" si="11"/>
        <v>LOW</v>
      </c>
      <c r="Y111" s="8" t="str">
        <f t="shared" si="12"/>
        <v>Movie</v>
      </c>
      <c r="Z111" s="10" t="str">
        <f t="shared" si="13"/>
        <v>Fantasy</v>
      </c>
      <c r="AA111" s="8" t="str">
        <f t="shared" si="14"/>
        <v>NO</v>
      </c>
      <c r="AB111" s="6" t="str">
        <f t="shared" si="15"/>
        <v>NO</v>
      </c>
    </row>
    <row r="112" spans="1:28" x14ac:dyDescent="0.3">
      <c r="A112">
        <v>112</v>
      </c>
      <c r="B112" t="s">
        <v>54</v>
      </c>
      <c r="C112" t="s">
        <v>48</v>
      </c>
      <c r="D112" s="1">
        <v>45496</v>
      </c>
      <c r="E112" s="2">
        <v>0.9375</v>
      </c>
      <c r="F112" t="s">
        <v>36</v>
      </c>
      <c r="G112">
        <v>67</v>
      </c>
      <c r="H112">
        <v>34893</v>
      </c>
      <c r="I112">
        <v>39</v>
      </c>
      <c r="J112" s="2">
        <v>0.54722222222222228</v>
      </c>
      <c r="K112" t="s">
        <v>26</v>
      </c>
      <c r="L112" t="s">
        <v>37</v>
      </c>
      <c r="M112" t="s">
        <v>38</v>
      </c>
      <c r="N112" t="s">
        <v>29</v>
      </c>
      <c r="O112">
        <v>1656</v>
      </c>
      <c r="P112">
        <v>8</v>
      </c>
      <c r="Q112">
        <v>757</v>
      </c>
      <c r="R112">
        <v>4.7</v>
      </c>
      <c r="S112" t="s">
        <v>40</v>
      </c>
      <c r="T112" t="s">
        <v>63</v>
      </c>
      <c r="U112" t="s">
        <v>32</v>
      </c>
      <c r="V112" t="s">
        <v>33</v>
      </c>
      <c r="W112">
        <v>7725</v>
      </c>
      <c r="X112" s="6" t="str">
        <f t="shared" ref="X112" si="20">IF(H112&gt;15000,"HIGH",IF(H112&gt;80000,"MEDIUM","LOW"))</f>
        <v>HIGH</v>
      </c>
      <c r="Y112" s="8" t="str">
        <f t="shared" si="12"/>
        <v>Documentary</v>
      </c>
      <c r="Z112" s="10" t="str">
        <f t="shared" si="13"/>
        <v>Romance</v>
      </c>
      <c r="AA112" s="8" t="str">
        <f t="shared" si="14"/>
        <v>NO</v>
      </c>
      <c r="AB112" s="6" t="str">
        <f t="shared" si="15"/>
        <v>YES</v>
      </c>
    </row>
    <row r="113" spans="1:28" x14ac:dyDescent="0.3">
      <c r="A113">
        <v>113</v>
      </c>
      <c r="B113" t="s">
        <v>54</v>
      </c>
      <c r="C113" t="s">
        <v>55</v>
      </c>
      <c r="D113" s="1">
        <v>45508</v>
      </c>
      <c r="E113" s="2">
        <v>0.92847222222222225</v>
      </c>
      <c r="F113" t="s">
        <v>73</v>
      </c>
      <c r="G113">
        <v>58</v>
      </c>
      <c r="H113">
        <v>8778</v>
      </c>
      <c r="I113">
        <v>51</v>
      </c>
      <c r="J113" s="2">
        <v>8.1944444444444445E-2</v>
      </c>
      <c r="K113" t="s">
        <v>36</v>
      </c>
      <c r="L113" t="s">
        <v>27</v>
      </c>
      <c r="M113" t="s">
        <v>38</v>
      </c>
      <c r="N113" t="s">
        <v>39</v>
      </c>
      <c r="O113">
        <v>2817</v>
      </c>
      <c r="P113">
        <v>9</v>
      </c>
      <c r="Q113">
        <v>1398</v>
      </c>
      <c r="R113">
        <v>3.4</v>
      </c>
      <c r="S113" t="s">
        <v>30</v>
      </c>
      <c r="T113" t="s">
        <v>45</v>
      </c>
      <c r="U113" t="s">
        <v>74</v>
      </c>
      <c r="V113" t="s">
        <v>33</v>
      </c>
      <c r="W113">
        <v>14574</v>
      </c>
      <c r="X113" s="6" t="str">
        <f t="shared" si="11"/>
        <v>LOW</v>
      </c>
      <c r="Y113" s="8" t="str">
        <f t="shared" si="12"/>
        <v>Documentary</v>
      </c>
      <c r="Z113" s="10" t="str">
        <f t="shared" si="13"/>
        <v>Fantasy</v>
      </c>
      <c r="AA113" s="8" t="str">
        <f t="shared" si="14"/>
        <v>NO</v>
      </c>
      <c r="AB113" s="6" t="str">
        <f t="shared" si="15"/>
        <v>YES</v>
      </c>
    </row>
    <row r="114" spans="1:28" x14ac:dyDescent="0.3">
      <c r="A114">
        <v>114</v>
      </c>
      <c r="B114" t="s">
        <v>23</v>
      </c>
      <c r="C114" t="s">
        <v>75</v>
      </c>
      <c r="D114" s="1">
        <v>45489</v>
      </c>
      <c r="E114" s="2">
        <v>0.84027777777777779</v>
      </c>
      <c r="F114" t="s">
        <v>25</v>
      </c>
      <c r="G114">
        <v>181</v>
      </c>
      <c r="H114">
        <v>7271</v>
      </c>
      <c r="I114">
        <v>110</v>
      </c>
      <c r="J114" s="2">
        <v>0.69791666666666663</v>
      </c>
      <c r="K114" t="s">
        <v>44</v>
      </c>
      <c r="L114" t="s">
        <v>49</v>
      </c>
      <c r="M114" t="s">
        <v>38</v>
      </c>
      <c r="N114" t="s">
        <v>50</v>
      </c>
      <c r="O114">
        <v>1949</v>
      </c>
      <c r="P114">
        <v>345</v>
      </c>
      <c r="Q114">
        <v>1266</v>
      </c>
      <c r="R114">
        <v>3</v>
      </c>
      <c r="S114" t="s">
        <v>60</v>
      </c>
      <c r="T114" t="s">
        <v>45</v>
      </c>
      <c r="U114" t="s">
        <v>41</v>
      </c>
      <c r="V114" t="s">
        <v>33</v>
      </c>
      <c r="W114">
        <v>19058</v>
      </c>
      <c r="X114" s="6" t="str">
        <f t="shared" si="11"/>
        <v>LOW</v>
      </c>
      <c r="Y114" s="8" t="str">
        <f t="shared" si="12"/>
        <v>Movie</v>
      </c>
      <c r="Z114" s="10" t="str">
        <f t="shared" si="13"/>
        <v>Nature</v>
      </c>
      <c r="AA114" s="8" t="str">
        <f t="shared" si="14"/>
        <v>NO</v>
      </c>
      <c r="AB114" s="6" t="str">
        <f t="shared" si="15"/>
        <v>YES</v>
      </c>
    </row>
    <row r="115" spans="1:28" x14ac:dyDescent="0.3">
      <c r="A115">
        <v>115</v>
      </c>
      <c r="B115" t="s">
        <v>34</v>
      </c>
      <c r="C115" t="s">
        <v>35</v>
      </c>
      <c r="D115" s="1">
        <v>45477</v>
      </c>
      <c r="E115" s="2">
        <v>0.55069444444444449</v>
      </c>
      <c r="F115" t="s">
        <v>26</v>
      </c>
      <c r="G115">
        <v>163</v>
      </c>
      <c r="H115">
        <v>59894</v>
      </c>
      <c r="I115">
        <v>129</v>
      </c>
      <c r="J115" s="2">
        <v>0.12986111111111112</v>
      </c>
      <c r="K115" t="s">
        <v>26</v>
      </c>
      <c r="L115" t="s">
        <v>27</v>
      </c>
      <c r="M115" t="s">
        <v>38</v>
      </c>
      <c r="N115" t="s">
        <v>29</v>
      </c>
      <c r="O115">
        <v>843</v>
      </c>
      <c r="P115">
        <v>1206</v>
      </c>
      <c r="Q115">
        <v>1467</v>
      </c>
      <c r="R115">
        <v>4.5999999999999996</v>
      </c>
      <c r="S115" t="s">
        <v>60</v>
      </c>
      <c r="T115" t="s">
        <v>45</v>
      </c>
      <c r="U115" t="s">
        <v>66</v>
      </c>
      <c r="V115" t="s">
        <v>42</v>
      </c>
      <c r="W115">
        <v>1326</v>
      </c>
      <c r="X115" s="6" t="str">
        <f t="shared" si="11"/>
        <v>LOW</v>
      </c>
      <c r="Y115" s="8" t="str">
        <f t="shared" si="12"/>
        <v>Series</v>
      </c>
      <c r="Z115" s="10" t="str">
        <f t="shared" si="13"/>
        <v>Comedy</v>
      </c>
      <c r="AA115" s="8" t="str">
        <f t="shared" si="14"/>
        <v>NO</v>
      </c>
      <c r="AB115" s="6" t="str">
        <f t="shared" si="15"/>
        <v>YES</v>
      </c>
    </row>
    <row r="116" spans="1:28" x14ac:dyDescent="0.3">
      <c r="A116">
        <v>116</v>
      </c>
      <c r="B116" t="s">
        <v>34</v>
      </c>
      <c r="C116" t="s">
        <v>72</v>
      </c>
      <c r="D116" s="1">
        <v>45498</v>
      </c>
      <c r="E116" s="2">
        <v>0.99097222222222225</v>
      </c>
      <c r="F116" t="s">
        <v>62</v>
      </c>
      <c r="G116">
        <v>123</v>
      </c>
      <c r="H116">
        <v>16537</v>
      </c>
      <c r="I116">
        <v>51</v>
      </c>
      <c r="J116" s="2">
        <v>0.37222222222222223</v>
      </c>
      <c r="K116" t="s">
        <v>36</v>
      </c>
      <c r="L116" t="s">
        <v>56</v>
      </c>
      <c r="M116" t="s">
        <v>38</v>
      </c>
      <c r="N116" t="s">
        <v>50</v>
      </c>
      <c r="O116">
        <v>915</v>
      </c>
      <c r="P116">
        <v>507</v>
      </c>
      <c r="Q116">
        <v>336</v>
      </c>
      <c r="R116">
        <v>3</v>
      </c>
      <c r="S116" t="s">
        <v>51</v>
      </c>
      <c r="T116" t="s">
        <v>63</v>
      </c>
      <c r="U116" t="s">
        <v>66</v>
      </c>
      <c r="V116" t="s">
        <v>33</v>
      </c>
      <c r="W116">
        <v>13480</v>
      </c>
      <c r="X116" s="6" t="str">
        <f t="shared" si="11"/>
        <v>LOW</v>
      </c>
      <c r="Y116" s="8" t="str">
        <f t="shared" si="12"/>
        <v>Series</v>
      </c>
      <c r="Z116" s="10" t="str">
        <f t="shared" si="13"/>
        <v>Action</v>
      </c>
      <c r="AA116" s="8" t="str">
        <f t="shared" si="14"/>
        <v>NO</v>
      </c>
      <c r="AB116" s="6" t="str">
        <f t="shared" si="15"/>
        <v>YES</v>
      </c>
    </row>
    <row r="117" spans="1:28" x14ac:dyDescent="0.3">
      <c r="A117">
        <v>117</v>
      </c>
      <c r="B117" t="s">
        <v>23</v>
      </c>
      <c r="C117" t="s">
        <v>61</v>
      </c>
      <c r="D117" s="1">
        <v>45539</v>
      </c>
      <c r="E117" s="2">
        <v>0.3972222222222222</v>
      </c>
      <c r="F117" t="s">
        <v>68</v>
      </c>
      <c r="G117">
        <v>170</v>
      </c>
      <c r="H117">
        <v>80175</v>
      </c>
      <c r="I117">
        <v>107</v>
      </c>
      <c r="J117" s="2">
        <v>0.96875</v>
      </c>
      <c r="K117" t="s">
        <v>44</v>
      </c>
      <c r="L117" t="s">
        <v>49</v>
      </c>
      <c r="M117" t="s">
        <v>28</v>
      </c>
      <c r="N117" t="s">
        <v>59</v>
      </c>
      <c r="O117">
        <v>2705</v>
      </c>
      <c r="P117">
        <v>1722</v>
      </c>
      <c r="Q117">
        <v>1339</v>
      </c>
      <c r="R117">
        <v>1</v>
      </c>
      <c r="S117" t="s">
        <v>30</v>
      </c>
      <c r="T117" t="s">
        <v>63</v>
      </c>
      <c r="U117" t="s">
        <v>74</v>
      </c>
      <c r="V117" t="s">
        <v>42</v>
      </c>
      <c r="W117">
        <v>6459</v>
      </c>
      <c r="X117" s="6" t="str">
        <f t="shared" si="11"/>
        <v>LOW</v>
      </c>
      <c r="Y117" s="8" t="str">
        <f t="shared" si="12"/>
        <v>Movie</v>
      </c>
      <c r="Z117" s="10" t="str">
        <f t="shared" si="13"/>
        <v>History</v>
      </c>
      <c r="AA117" s="8" t="str">
        <f t="shared" si="14"/>
        <v>NO</v>
      </c>
      <c r="AB117" s="6" t="str">
        <f t="shared" si="15"/>
        <v>NO</v>
      </c>
    </row>
    <row r="118" spans="1:28" x14ac:dyDescent="0.3">
      <c r="A118">
        <v>118</v>
      </c>
      <c r="B118" t="s">
        <v>23</v>
      </c>
      <c r="C118" t="s">
        <v>24</v>
      </c>
      <c r="D118" s="1">
        <v>45487</v>
      </c>
      <c r="E118" s="2">
        <v>0.13472222222222222</v>
      </c>
      <c r="F118" t="s">
        <v>25</v>
      </c>
      <c r="G118">
        <v>139</v>
      </c>
      <c r="H118">
        <v>33156</v>
      </c>
      <c r="I118">
        <v>86</v>
      </c>
      <c r="J118" s="2">
        <v>0.97847222222222219</v>
      </c>
      <c r="K118" t="s">
        <v>26</v>
      </c>
      <c r="L118" t="s">
        <v>56</v>
      </c>
      <c r="M118" t="s">
        <v>28</v>
      </c>
      <c r="N118" t="s">
        <v>50</v>
      </c>
      <c r="O118">
        <v>583</v>
      </c>
      <c r="P118">
        <v>422</v>
      </c>
      <c r="Q118">
        <v>96</v>
      </c>
      <c r="R118">
        <v>3.1</v>
      </c>
      <c r="S118" t="s">
        <v>30</v>
      </c>
      <c r="T118" t="s">
        <v>63</v>
      </c>
      <c r="U118" t="s">
        <v>52</v>
      </c>
      <c r="V118" t="s">
        <v>67</v>
      </c>
      <c r="W118">
        <v>12256</v>
      </c>
      <c r="X118" s="6" t="str">
        <f t="shared" si="11"/>
        <v>LOW</v>
      </c>
      <c r="Y118" s="8" t="str">
        <f t="shared" si="12"/>
        <v>Movie</v>
      </c>
      <c r="Z118" s="10" t="str">
        <f t="shared" si="13"/>
        <v>Thriller</v>
      </c>
      <c r="AA118" s="8" t="str">
        <f t="shared" si="14"/>
        <v>NO</v>
      </c>
      <c r="AB118" s="6" t="str">
        <f t="shared" si="15"/>
        <v>YES</v>
      </c>
    </row>
    <row r="119" spans="1:28" x14ac:dyDescent="0.3">
      <c r="A119">
        <v>119</v>
      </c>
      <c r="B119" t="s">
        <v>34</v>
      </c>
      <c r="C119" t="s">
        <v>72</v>
      </c>
      <c r="D119" s="1">
        <v>45487</v>
      </c>
      <c r="E119" s="2">
        <v>9.0277777777777776E-2</v>
      </c>
      <c r="F119" t="s">
        <v>36</v>
      </c>
      <c r="G119">
        <v>640</v>
      </c>
      <c r="H119">
        <v>59313</v>
      </c>
      <c r="I119">
        <v>70</v>
      </c>
      <c r="J119" s="2">
        <v>0.47847222222222224</v>
      </c>
      <c r="K119" t="s">
        <v>36</v>
      </c>
      <c r="L119" t="s">
        <v>56</v>
      </c>
      <c r="M119" t="s">
        <v>38</v>
      </c>
      <c r="N119" t="s">
        <v>59</v>
      </c>
      <c r="O119">
        <v>2452</v>
      </c>
      <c r="P119">
        <v>100</v>
      </c>
      <c r="Q119">
        <v>577</v>
      </c>
      <c r="R119">
        <v>3</v>
      </c>
      <c r="S119" t="s">
        <v>51</v>
      </c>
      <c r="T119" t="s">
        <v>45</v>
      </c>
      <c r="U119" t="s">
        <v>46</v>
      </c>
      <c r="V119" t="s">
        <v>53</v>
      </c>
      <c r="W119">
        <v>18862</v>
      </c>
      <c r="X119" s="6" t="str">
        <f t="shared" si="11"/>
        <v>LOW</v>
      </c>
      <c r="Y119" s="8" t="str">
        <f t="shared" si="12"/>
        <v>Series</v>
      </c>
      <c r="Z119" s="10" t="str">
        <f t="shared" si="13"/>
        <v>Action</v>
      </c>
      <c r="AA119" s="8" t="str">
        <f t="shared" si="14"/>
        <v>NO</v>
      </c>
      <c r="AB119" s="6" t="str">
        <f t="shared" si="15"/>
        <v>YES</v>
      </c>
    </row>
    <row r="120" spans="1:28" x14ac:dyDescent="0.3">
      <c r="A120">
        <v>120</v>
      </c>
      <c r="B120" t="s">
        <v>54</v>
      </c>
      <c r="C120" t="s">
        <v>75</v>
      </c>
      <c r="D120" s="1">
        <v>45498</v>
      </c>
      <c r="E120" s="2">
        <v>0.32847222222222222</v>
      </c>
      <c r="F120" t="s">
        <v>44</v>
      </c>
      <c r="G120">
        <v>107</v>
      </c>
      <c r="H120">
        <v>76559</v>
      </c>
      <c r="I120">
        <v>85</v>
      </c>
      <c r="J120" s="2">
        <v>0.8930555555555556</v>
      </c>
      <c r="K120" t="s">
        <v>36</v>
      </c>
      <c r="L120" t="s">
        <v>37</v>
      </c>
      <c r="M120" t="s">
        <v>28</v>
      </c>
      <c r="N120" t="s">
        <v>71</v>
      </c>
      <c r="O120">
        <v>2021</v>
      </c>
      <c r="P120">
        <v>1000</v>
      </c>
      <c r="Q120">
        <v>199</v>
      </c>
      <c r="R120">
        <v>3.2</v>
      </c>
      <c r="S120" t="s">
        <v>40</v>
      </c>
      <c r="T120" t="s">
        <v>45</v>
      </c>
      <c r="U120" t="s">
        <v>70</v>
      </c>
      <c r="V120" t="s">
        <v>47</v>
      </c>
      <c r="W120">
        <v>11270</v>
      </c>
      <c r="X120" s="6" t="str">
        <f t="shared" si="11"/>
        <v>LOW</v>
      </c>
      <c r="Y120" s="8" t="str">
        <f t="shared" si="12"/>
        <v>Documentary</v>
      </c>
      <c r="Z120" s="10" t="str">
        <f t="shared" si="13"/>
        <v>Nature</v>
      </c>
      <c r="AA120" s="8" t="str">
        <f t="shared" si="14"/>
        <v>NO</v>
      </c>
      <c r="AB120" s="6" t="str">
        <f t="shared" si="15"/>
        <v>YES</v>
      </c>
    </row>
    <row r="121" spans="1:28" x14ac:dyDescent="0.3">
      <c r="A121">
        <v>121</v>
      </c>
      <c r="B121" t="s">
        <v>54</v>
      </c>
      <c r="C121" t="s">
        <v>55</v>
      </c>
      <c r="D121" s="1">
        <v>45545</v>
      </c>
      <c r="E121" s="2">
        <v>0.25972222222222224</v>
      </c>
      <c r="F121" t="s">
        <v>73</v>
      </c>
      <c r="G121">
        <v>69</v>
      </c>
      <c r="H121">
        <v>13713</v>
      </c>
      <c r="I121">
        <v>24</v>
      </c>
      <c r="J121" s="2">
        <v>0.72916666666666663</v>
      </c>
      <c r="K121" t="s">
        <v>44</v>
      </c>
      <c r="L121" t="s">
        <v>37</v>
      </c>
      <c r="M121" t="s">
        <v>38</v>
      </c>
      <c r="N121" t="s">
        <v>65</v>
      </c>
      <c r="O121">
        <v>2840</v>
      </c>
      <c r="P121">
        <v>629</v>
      </c>
      <c r="Q121">
        <v>78</v>
      </c>
      <c r="R121">
        <v>3.2</v>
      </c>
      <c r="S121" t="s">
        <v>40</v>
      </c>
      <c r="T121" t="s">
        <v>63</v>
      </c>
      <c r="U121" t="s">
        <v>41</v>
      </c>
      <c r="V121" t="s">
        <v>58</v>
      </c>
      <c r="W121">
        <v>11698</v>
      </c>
      <c r="X121" s="6" t="str">
        <f t="shared" si="11"/>
        <v>LOW</v>
      </c>
      <c r="Y121" s="8" t="str">
        <f t="shared" si="12"/>
        <v>Documentary</v>
      </c>
      <c r="Z121" s="10" t="str">
        <f t="shared" si="13"/>
        <v>Fantasy</v>
      </c>
      <c r="AA121" s="8" t="str">
        <f t="shared" si="14"/>
        <v>NO</v>
      </c>
      <c r="AB121" s="6" t="str">
        <f t="shared" si="15"/>
        <v>YES</v>
      </c>
    </row>
    <row r="122" spans="1:28" x14ac:dyDescent="0.3">
      <c r="A122">
        <v>122</v>
      </c>
      <c r="B122" t="s">
        <v>54</v>
      </c>
      <c r="C122" t="s">
        <v>55</v>
      </c>
      <c r="D122" s="1">
        <v>45535</v>
      </c>
      <c r="E122" s="2">
        <v>0.21319444444444444</v>
      </c>
      <c r="F122" t="s">
        <v>73</v>
      </c>
      <c r="G122">
        <v>101</v>
      </c>
      <c r="H122">
        <v>26409</v>
      </c>
      <c r="I122">
        <v>31</v>
      </c>
      <c r="J122" s="2">
        <v>0.28888888888888886</v>
      </c>
      <c r="K122" t="s">
        <v>62</v>
      </c>
      <c r="L122" t="s">
        <v>49</v>
      </c>
      <c r="M122" t="s">
        <v>38</v>
      </c>
      <c r="N122" t="s">
        <v>59</v>
      </c>
      <c r="O122">
        <v>1232</v>
      </c>
      <c r="P122">
        <v>996</v>
      </c>
      <c r="Q122">
        <v>1042</v>
      </c>
      <c r="R122">
        <v>2.4</v>
      </c>
      <c r="S122" t="s">
        <v>30</v>
      </c>
      <c r="T122" t="s">
        <v>31</v>
      </c>
      <c r="U122" t="s">
        <v>52</v>
      </c>
      <c r="V122" t="s">
        <v>67</v>
      </c>
      <c r="W122">
        <v>5772</v>
      </c>
      <c r="X122" s="6" t="str">
        <f t="shared" ref="X122" si="21">IF(H122&gt;15000,"HIGH",IF(H122&gt;80000,"MEDIUM","LOW"))</f>
        <v>HIGH</v>
      </c>
      <c r="Y122" s="8" t="str">
        <f t="shared" si="12"/>
        <v>Documentary</v>
      </c>
      <c r="Z122" s="10" t="str">
        <f t="shared" si="13"/>
        <v>Fantasy</v>
      </c>
      <c r="AA122" s="8" t="str">
        <f t="shared" si="14"/>
        <v>NO</v>
      </c>
      <c r="AB122" s="6" t="str">
        <f t="shared" si="15"/>
        <v>NO</v>
      </c>
    </row>
    <row r="123" spans="1:28" x14ac:dyDescent="0.3">
      <c r="A123">
        <v>123</v>
      </c>
      <c r="B123" t="s">
        <v>54</v>
      </c>
      <c r="C123" t="s">
        <v>55</v>
      </c>
      <c r="D123" s="1">
        <v>45490</v>
      </c>
      <c r="E123" s="2">
        <v>0.41180555555555554</v>
      </c>
      <c r="F123" t="s">
        <v>36</v>
      </c>
      <c r="G123">
        <v>50</v>
      </c>
      <c r="H123">
        <v>49863</v>
      </c>
      <c r="I123">
        <v>40</v>
      </c>
      <c r="J123" s="2">
        <v>0.19791666666666666</v>
      </c>
      <c r="K123" t="s">
        <v>26</v>
      </c>
      <c r="L123" t="s">
        <v>27</v>
      </c>
      <c r="M123" t="s">
        <v>38</v>
      </c>
      <c r="N123" t="s">
        <v>76</v>
      </c>
      <c r="O123">
        <v>1040</v>
      </c>
      <c r="P123">
        <v>750</v>
      </c>
      <c r="Q123">
        <v>45</v>
      </c>
      <c r="R123">
        <v>4.4000000000000004</v>
      </c>
      <c r="S123" t="s">
        <v>30</v>
      </c>
      <c r="T123" t="s">
        <v>45</v>
      </c>
      <c r="U123" t="s">
        <v>66</v>
      </c>
      <c r="V123" t="s">
        <v>42</v>
      </c>
      <c r="W123">
        <v>11897</v>
      </c>
      <c r="X123" s="6" t="str">
        <f t="shared" si="11"/>
        <v>LOW</v>
      </c>
      <c r="Y123" s="8" t="str">
        <f t="shared" si="12"/>
        <v>Documentary</v>
      </c>
      <c r="Z123" s="10" t="str">
        <f t="shared" si="13"/>
        <v>Fantasy</v>
      </c>
      <c r="AA123" s="8" t="str">
        <f t="shared" si="14"/>
        <v>NO</v>
      </c>
      <c r="AB123" s="6" t="str">
        <f t="shared" si="15"/>
        <v>YES</v>
      </c>
    </row>
    <row r="124" spans="1:28" x14ac:dyDescent="0.3">
      <c r="A124">
        <v>124</v>
      </c>
      <c r="B124" t="s">
        <v>23</v>
      </c>
      <c r="C124" t="s">
        <v>55</v>
      </c>
      <c r="D124" s="1">
        <v>45516</v>
      </c>
      <c r="E124" s="2">
        <v>0.58263888888888893</v>
      </c>
      <c r="F124" t="s">
        <v>44</v>
      </c>
      <c r="G124">
        <v>123</v>
      </c>
      <c r="H124">
        <v>91292</v>
      </c>
      <c r="I124">
        <v>61</v>
      </c>
      <c r="J124" s="2">
        <v>0.16666666666666666</v>
      </c>
      <c r="K124" t="s">
        <v>36</v>
      </c>
      <c r="L124" t="s">
        <v>37</v>
      </c>
      <c r="M124" t="s">
        <v>38</v>
      </c>
      <c r="N124" t="s">
        <v>65</v>
      </c>
      <c r="O124">
        <v>2538</v>
      </c>
      <c r="P124">
        <v>1313</v>
      </c>
      <c r="Q124">
        <v>480</v>
      </c>
      <c r="R124">
        <v>3.6</v>
      </c>
      <c r="S124" t="s">
        <v>40</v>
      </c>
      <c r="T124" t="s">
        <v>31</v>
      </c>
      <c r="U124" t="s">
        <v>57</v>
      </c>
      <c r="V124" t="s">
        <v>58</v>
      </c>
      <c r="W124">
        <v>8112</v>
      </c>
      <c r="X124" s="6" t="str">
        <f t="shared" si="11"/>
        <v>LOW</v>
      </c>
      <c r="Y124" s="8" t="str">
        <f t="shared" si="12"/>
        <v>Movie</v>
      </c>
      <c r="Z124" s="10" t="str">
        <f t="shared" si="13"/>
        <v>Fantasy</v>
      </c>
      <c r="AA124" s="8" t="str">
        <f t="shared" si="14"/>
        <v>NO</v>
      </c>
      <c r="AB124" s="6" t="str">
        <f t="shared" si="15"/>
        <v>YES</v>
      </c>
    </row>
    <row r="125" spans="1:28" x14ac:dyDescent="0.3">
      <c r="A125">
        <v>125</v>
      </c>
      <c r="B125" t="s">
        <v>23</v>
      </c>
      <c r="C125" t="s">
        <v>24</v>
      </c>
      <c r="D125" s="1">
        <v>45541</v>
      </c>
      <c r="E125" s="2">
        <v>0.55486111111111114</v>
      </c>
      <c r="F125" t="s">
        <v>26</v>
      </c>
      <c r="G125">
        <v>168</v>
      </c>
      <c r="H125">
        <v>93913</v>
      </c>
      <c r="I125">
        <v>58</v>
      </c>
      <c r="J125" s="2">
        <v>0.10555555555555556</v>
      </c>
      <c r="K125" t="s">
        <v>44</v>
      </c>
      <c r="L125" t="s">
        <v>37</v>
      </c>
      <c r="M125" t="s">
        <v>28</v>
      </c>
      <c r="N125" t="s">
        <v>65</v>
      </c>
      <c r="O125">
        <v>749</v>
      </c>
      <c r="P125">
        <v>30</v>
      </c>
      <c r="Q125">
        <v>1485</v>
      </c>
      <c r="R125">
        <v>3</v>
      </c>
      <c r="S125" t="s">
        <v>51</v>
      </c>
      <c r="T125" t="s">
        <v>31</v>
      </c>
      <c r="U125" t="s">
        <v>46</v>
      </c>
      <c r="V125" t="s">
        <v>47</v>
      </c>
      <c r="W125">
        <v>2549</v>
      </c>
      <c r="X125" s="6" t="str">
        <f t="shared" si="11"/>
        <v>LOW</v>
      </c>
      <c r="Y125" s="8" t="str">
        <f t="shared" si="12"/>
        <v>Movie</v>
      </c>
      <c r="Z125" s="10" t="str">
        <f t="shared" si="13"/>
        <v>Thriller</v>
      </c>
      <c r="AA125" s="8" t="str">
        <f t="shared" si="14"/>
        <v>NO</v>
      </c>
      <c r="AB125" s="6" t="str">
        <f t="shared" si="15"/>
        <v>YES</v>
      </c>
    </row>
    <row r="126" spans="1:28" x14ac:dyDescent="0.3">
      <c r="A126">
        <v>126</v>
      </c>
      <c r="B126" t="s">
        <v>34</v>
      </c>
      <c r="C126" t="s">
        <v>55</v>
      </c>
      <c r="D126" s="1">
        <v>45510</v>
      </c>
      <c r="E126" s="2">
        <v>0.11597222222222223</v>
      </c>
      <c r="F126" t="s">
        <v>36</v>
      </c>
      <c r="G126">
        <v>528</v>
      </c>
      <c r="H126">
        <v>56943</v>
      </c>
      <c r="I126">
        <v>68</v>
      </c>
      <c r="J126" s="2">
        <v>0.36458333333333331</v>
      </c>
      <c r="K126" t="s">
        <v>26</v>
      </c>
      <c r="L126" t="s">
        <v>37</v>
      </c>
      <c r="M126" t="s">
        <v>38</v>
      </c>
      <c r="N126" t="s">
        <v>71</v>
      </c>
      <c r="O126">
        <v>1703</v>
      </c>
      <c r="P126">
        <v>469</v>
      </c>
      <c r="Q126">
        <v>1492</v>
      </c>
      <c r="R126">
        <v>1.7</v>
      </c>
      <c r="S126" t="s">
        <v>40</v>
      </c>
      <c r="T126" t="s">
        <v>63</v>
      </c>
      <c r="U126" t="s">
        <v>32</v>
      </c>
      <c r="V126" t="s">
        <v>33</v>
      </c>
      <c r="W126">
        <v>19592</v>
      </c>
      <c r="X126" s="6" t="str">
        <f t="shared" si="11"/>
        <v>LOW</v>
      </c>
      <c r="Y126" s="8" t="str">
        <f t="shared" si="12"/>
        <v>Series</v>
      </c>
      <c r="Z126" s="10" t="str">
        <f t="shared" si="13"/>
        <v>Fantasy</v>
      </c>
      <c r="AA126" s="8" t="str">
        <f t="shared" si="14"/>
        <v>NO</v>
      </c>
      <c r="AB126" s="6" t="str">
        <f t="shared" si="15"/>
        <v>NO</v>
      </c>
    </row>
    <row r="127" spans="1:28" x14ac:dyDescent="0.3">
      <c r="A127">
        <v>127</v>
      </c>
      <c r="B127" t="s">
        <v>54</v>
      </c>
      <c r="C127" t="s">
        <v>24</v>
      </c>
      <c r="D127" s="1">
        <v>45528</v>
      </c>
      <c r="E127" s="2">
        <v>7.4305555555555555E-2</v>
      </c>
      <c r="F127" t="s">
        <v>25</v>
      </c>
      <c r="G127">
        <v>87</v>
      </c>
      <c r="H127">
        <v>53021</v>
      </c>
      <c r="I127">
        <v>33</v>
      </c>
      <c r="J127" s="2">
        <v>0.51180555555555551</v>
      </c>
      <c r="K127" t="s">
        <v>36</v>
      </c>
      <c r="L127" t="s">
        <v>27</v>
      </c>
      <c r="M127" t="s">
        <v>38</v>
      </c>
      <c r="N127" t="s">
        <v>50</v>
      </c>
      <c r="O127">
        <v>96</v>
      </c>
      <c r="P127">
        <v>1479</v>
      </c>
      <c r="Q127">
        <v>382</v>
      </c>
      <c r="R127">
        <v>3</v>
      </c>
      <c r="S127" t="s">
        <v>30</v>
      </c>
      <c r="T127" t="s">
        <v>45</v>
      </c>
      <c r="U127" t="s">
        <v>46</v>
      </c>
      <c r="V127" t="s">
        <v>67</v>
      </c>
      <c r="W127">
        <v>4399</v>
      </c>
      <c r="X127" s="6" t="str">
        <f t="shared" si="11"/>
        <v>LOW</v>
      </c>
      <c r="Y127" s="8" t="str">
        <f t="shared" si="12"/>
        <v>Documentary</v>
      </c>
      <c r="Z127" s="10" t="str">
        <f t="shared" si="13"/>
        <v>Thriller</v>
      </c>
      <c r="AA127" s="8" t="str">
        <f t="shared" si="14"/>
        <v>NO</v>
      </c>
      <c r="AB127" s="6" t="str">
        <f t="shared" si="15"/>
        <v>YES</v>
      </c>
    </row>
    <row r="128" spans="1:28" x14ac:dyDescent="0.3">
      <c r="A128">
        <v>128</v>
      </c>
      <c r="B128" t="s">
        <v>34</v>
      </c>
      <c r="C128" t="s">
        <v>55</v>
      </c>
      <c r="D128" s="1">
        <v>45478</v>
      </c>
      <c r="E128" s="2">
        <v>0.67708333333333337</v>
      </c>
      <c r="F128" t="s">
        <v>25</v>
      </c>
      <c r="G128">
        <v>996</v>
      </c>
      <c r="H128">
        <v>59215</v>
      </c>
      <c r="I128">
        <v>102</v>
      </c>
      <c r="J128" s="2">
        <v>0.13472222222222222</v>
      </c>
      <c r="K128" t="s">
        <v>36</v>
      </c>
      <c r="L128" t="s">
        <v>49</v>
      </c>
      <c r="M128" t="s">
        <v>38</v>
      </c>
      <c r="N128" t="s">
        <v>50</v>
      </c>
      <c r="O128">
        <v>252</v>
      </c>
      <c r="P128">
        <v>1365</v>
      </c>
      <c r="Q128">
        <v>1105</v>
      </c>
      <c r="R128">
        <v>2</v>
      </c>
      <c r="S128" t="s">
        <v>60</v>
      </c>
      <c r="T128" t="s">
        <v>31</v>
      </c>
      <c r="U128" t="s">
        <v>74</v>
      </c>
      <c r="V128" t="s">
        <v>33</v>
      </c>
      <c r="W128">
        <v>34</v>
      </c>
      <c r="X128" s="6" t="str">
        <f t="shared" si="11"/>
        <v>LOW</v>
      </c>
      <c r="Y128" s="8" t="str">
        <f t="shared" si="12"/>
        <v>Series</v>
      </c>
      <c r="Z128" s="10" t="str">
        <f t="shared" si="13"/>
        <v>Fantasy</v>
      </c>
      <c r="AA128" s="8" t="str">
        <f t="shared" si="14"/>
        <v>NO</v>
      </c>
      <c r="AB128" s="6" t="str">
        <f t="shared" si="15"/>
        <v>NO</v>
      </c>
    </row>
    <row r="129" spans="1:28" x14ac:dyDescent="0.3">
      <c r="A129">
        <v>129</v>
      </c>
      <c r="B129" t="s">
        <v>34</v>
      </c>
      <c r="C129" t="s">
        <v>55</v>
      </c>
      <c r="D129" s="1">
        <v>45504</v>
      </c>
      <c r="E129" s="2">
        <v>0.63611111111111107</v>
      </c>
      <c r="F129" t="s">
        <v>26</v>
      </c>
      <c r="G129">
        <v>506</v>
      </c>
      <c r="H129">
        <v>58223</v>
      </c>
      <c r="I129">
        <v>42</v>
      </c>
      <c r="J129" s="2">
        <v>0.92708333333333337</v>
      </c>
      <c r="K129" t="s">
        <v>44</v>
      </c>
      <c r="L129" t="s">
        <v>37</v>
      </c>
      <c r="M129" t="s">
        <v>38</v>
      </c>
      <c r="N129" t="s">
        <v>39</v>
      </c>
      <c r="O129">
        <v>2008</v>
      </c>
      <c r="P129">
        <v>692</v>
      </c>
      <c r="Q129">
        <v>446</v>
      </c>
      <c r="R129">
        <v>1.7</v>
      </c>
      <c r="S129" t="s">
        <v>60</v>
      </c>
      <c r="T129" t="s">
        <v>45</v>
      </c>
      <c r="U129" t="s">
        <v>66</v>
      </c>
      <c r="V129" t="s">
        <v>67</v>
      </c>
      <c r="W129">
        <v>2112</v>
      </c>
      <c r="X129" s="6" t="str">
        <f t="shared" si="11"/>
        <v>LOW</v>
      </c>
      <c r="Y129" s="8" t="str">
        <f t="shared" si="12"/>
        <v>Series</v>
      </c>
      <c r="Z129" s="10" t="str">
        <f t="shared" si="13"/>
        <v>Fantasy</v>
      </c>
      <c r="AA129" s="8" t="str">
        <f t="shared" si="14"/>
        <v>NO</v>
      </c>
      <c r="AB129" s="6" t="str">
        <f t="shared" si="15"/>
        <v>NO</v>
      </c>
    </row>
    <row r="130" spans="1:28" x14ac:dyDescent="0.3">
      <c r="A130">
        <v>130</v>
      </c>
      <c r="B130" t="s">
        <v>23</v>
      </c>
      <c r="C130" t="s">
        <v>24</v>
      </c>
      <c r="D130" s="1">
        <v>45532</v>
      </c>
      <c r="E130" s="2">
        <v>0.6875</v>
      </c>
      <c r="F130" t="s">
        <v>62</v>
      </c>
      <c r="G130">
        <v>167</v>
      </c>
      <c r="H130">
        <v>64794</v>
      </c>
      <c r="I130">
        <v>38</v>
      </c>
      <c r="J130" s="2">
        <v>0.83958333333333335</v>
      </c>
      <c r="K130" t="s">
        <v>62</v>
      </c>
      <c r="L130" t="s">
        <v>27</v>
      </c>
      <c r="M130" t="s">
        <v>38</v>
      </c>
      <c r="N130" t="s">
        <v>76</v>
      </c>
      <c r="O130">
        <v>194</v>
      </c>
      <c r="P130">
        <v>1228</v>
      </c>
      <c r="Q130">
        <v>1496</v>
      </c>
      <c r="R130">
        <v>2</v>
      </c>
      <c r="S130" t="s">
        <v>40</v>
      </c>
      <c r="T130" t="s">
        <v>45</v>
      </c>
      <c r="U130" t="s">
        <v>74</v>
      </c>
      <c r="V130" t="s">
        <v>47</v>
      </c>
      <c r="W130">
        <v>18158</v>
      </c>
      <c r="X130" s="6" t="str">
        <f t="shared" si="11"/>
        <v>LOW</v>
      </c>
      <c r="Y130" s="8" t="str">
        <f t="shared" si="12"/>
        <v>Movie</v>
      </c>
      <c r="Z130" s="10" t="str">
        <f t="shared" si="13"/>
        <v>Thriller</v>
      </c>
      <c r="AA130" s="8" t="str">
        <f t="shared" si="14"/>
        <v>NO</v>
      </c>
      <c r="AB130" s="6" t="str">
        <f t="shared" si="15"/>
        <v>NO</v>
      </c>
    </row>
    <row r="131" spans="1:28" x14ac:dyDescent="0.3">
      <c r="A131">
        <v>131</v>
      </c>
      <c r="B131" t="s">
        <v>23</v>
      </c>
      <c r="C131" t="s">
        <v>64</v>
      </c>
      <c r="D131" s="1">
        <v>45485</v>
      </c>
      <c r="E131" s="2">
        <v>0.86805555555555558</v>
      </c>
      <c r="F131" t="s">
        <v>44</v>
      </c>
      <c r="G131">
        <v>172</v>
      </c>
      <c r="H131">
        <v>23610</v>
      </c>
      <c r="I131">
        <v>94</v>
      </c>
      <c r="J131" s="2">
        <v>0.70277777777777772</v>
      </c>
      <c r="K131" t="s">
        <v>26</v>
      </c>
      <c r="L131" t="s">
        <v>27</v>
      </c>
      <c r="M131" t="s">
        <v>38</v>
      </c>
      <c r="N131" t="s">
        <v>50</v>
      </c>
      <c r="O131">
        <v>1968</v>
      </c>
      <c r="P131">
        <v>513</v>
      </c>
      <c r="Q131">
        <v>416</v>
      </c>
      <c r="R131">
        <v>3.8</v>
      </c>
      <c r="S131" t="s">
        <v>30</v>
      </c>
      <c r="T131" t="s">
        <v>45</v>
      </c>
      <c r="U131" t="s">
        <v>52</v>
      </c>
      <c r="V131" t="s">
        <v>33</v>
      </c>
      <c r="W131">
        <v>10749</v>
      </c>
      <c r="X131" s="6" t="str">
        <f t="shared" ref="X131:X194" si="22">IF(H131&gt;100000,"HIGH","LOW")</f>
        <v>LOW</v>
      </c>
      <c r="Y131" s="8" t="str">
        <f t="shared" ref="Y131:Y194" si="23">VLOOKUP(A131,A:B,2,FALSE)</f>
        <v>Movie</v>
      </c>
      <c r="Z131" s="10" t="str">
        <f t="shared" ref="Z131:Z194" si="24">INDEX(C:C,MATCH(A131,A:A,0))</f>
        <v>Drama</v>
      </c>
      <c r="AA131" s="8" t="str">
        <f t="shared" ref="AA131:AA194" si="25">IF(AND(H131&gt;1000,V131="YES"),"YES","NO")</f>
        <v>NO</v>
      </c>
      <c r="AB131" s="6" t="str">
        <f t="shared" ref="AB131:AB194" si="26">IF(R131&gt;AVERAGE(R:R),"YES","NO")</f>
        <v>YES</v>
      </c>
    </row>
    <row r="132" spans="1:28" x14ac:dyDescent="0.3">
      <c r="A132">
        <v>132</v>
      </c>
      <c r="B132" t="s">
        <v>23</v>
      </c>
      <c r="C132" t="s">
        <v>24</v>
      </c>
      <c r="D132" s="1">
        <v>45502</v>
      </c>
      <c r="E132" s="2">
        <v>0.6118055555555556</v>
      </c>
      <c r="F132" t="s">
        <v>36</v>
      </c>
      <c r="G132">
        <v>187</v>
      </c>
      <c r="H132">
        <v>22628</v>
      </c>
      <c r="I132">
        <v>62</v>
      </c>
      <c r="J132" s="2">
        <v>0.38124999999999998</v>
      </c>
      <c r="K132" t="s">
        <v>36</v>
      </c>
      <c r="L132" t="s">
        <v>56</v>
      </c>
      <c r="M132" t="s">
        <v>38</v>
      </c>
      <c r="N132" t="s">
        <v>50</v>
      </c>
      <c r="O132">
        <v>1635</v>
      </c>
      <c r="P132">
        <v>1455</v>
      </c>
      <c r="Q132">
        <v>560</v>
      </c>
      <c r="R132">
        <v>1</v>
      </c>
      <c r="S132" t="s">
        <v>51</v>
      </c>
      <c r="T132" t="s">
        <v>31</v>
      </c>
      <c r="U132" t="s">
        <v>32</v>
      </c>
      <c r="V132" t="s">
        <v>33</v>
      </c>
      <c r="W132">
        <v>6852</v>
      </c>
      <c r="X132" s="6" t="str">
        <f t="shared" ref="X132" si="27">IF(H132&gt;15000,"HIGH",IF(H132&gt;80000,"MEDIUM","LOW"))</f>
        <v>HIGH</v>
      </c>
      <c r="Y132" s="8" t="str">
        <f t="shared" si="23"/>
        <v>Movie</v>
      </c>
      <c r="Z132" s="10" t="str">
        <f t="shared" si="24"/>
        <v>Thriller</v>
      </c>
      <c r="AA132" s="8" t="str">
        <f t="shared" si="25"/>
        <v>NO</v>
      </c>
      <c r="AB132" s="6" t="str">
        <f t="shared" si="26"/>
        <v>NO</v>
      </c>
    </row>
    <row r="133" spans="1:28" x14ac:dyDescent="0.3">
      <c r="A133">
        <v>133</v>
      </c>
      <c r="B133" t="s">
        <v>23</v>
      </c>
      <c r="C133" t="s">
        <v>64</v>
      </c>
      <c r="D133" s="1">
        <v>45535</v>
      </c>
      <c r="E133" s="2">
        <v>0.55069444444444449</v>
      </c>
      <c r="F133" t="s">
        <v>36</v>
      </c>
      <c r="G133">
        <v>145</v>
      </c>
      <c r="H133">
        <v>83503</v>
      </c>
      <c r="I133">
        <v>88</v>
      </c>
      <c r="J133" s="2">
        <v>2.2916666666666665E-2</v>
      </c>
      <c r="K133" t="s">
        <v>44</v>
      </c>
      <c r="L133" t="s">
        <v>27</v>
      </c>
      <c r="M133" t="s">
        <v>38</v>
      </c>
      <c r="N133" t="s">
        <v>69</v>
      </c>
      <c r="O133">
        <v>1602</v>
      </c>
      <c r="P133">
        <v>644</v>
      </c>
      <c r="Q133">
        <v>980</v>
      </c>
      <c r="R133">
        <v>4.9000000000000004</v>
      </c>
      <c r="S133" t="s">
        <v>60</v>
      </c>
      <c r="T133" t="s">
        <v>45</v>
      </c>
      <c r="U133" t="s">
        <v>46</v>
      </c>
      <c r="V133" t="s">
        <v>47</v>
      </c>
      <c r="W133">
        <v>6429</v>
      </c>
      <c r="X133" s="6" t="str">
        <f t="shared" si="22"/>
        <v>LOW</v>
      </c>
      <c r="Y133" s="8" t="str">
        <f t="shared" si="23"/>
        <v>Movie</v>
      </c>
      <c r="Z133" s="10" t="str">
        <f t="shared" si="24"/>
        <v>Drama</v>
      </c>
      <c r="AA133" s="8" t="str">
        <f t="shared" si="25"/>
        <v>NO</v>
      </c>
      <c r="AB133" s="6" t="str">
        <f t="shared" si="26"/>
        <v>YES</v>
      </c>
    </row>
    <row r="134" spans="1:28" x14ac:dyDescent="0.3">
      <c r="A134">
        <v>134</v>
      </c>
      <c r="B134" t="s">
        <v>23</v>
      </c>
      <c r="C134" t="s">
        <v>55</v>
      </c>
      <c r="D134" s="1">
        <v>45488</v>
      </c>
      <c r="E134" s="2">
        <v>0.40486111111111112</v>
      </c>
      <c r="F134" t="s">
        <v>36</v>
      </c>
      <c r="G134">
        <v>94</v>
      </c>
      <c r="H134">
        <v>65929</v>
      </c>
      <c r="I134">
        <v>35</v>
      </c>
      <c r="J134" s="2">
        <v>0.90763888888888888</v>
      </c>
      <c r="K134" t="s">
        <v>26</v>
      </c>
      <c r="L134" t="s">
        <v>37</v>
      </c>
      <c r="M134" t="s">
        <v>28</v>
      </c>
      <c r="N134" t="s">
        <v>71</v>
      </c>
      <c r="O134">
        <v>479</v>
      </c>
      <c r="P134">
        <v>1333</v>
      </c>
      <c r="Q134">
        <v>1072</v>
      </c>
      <c r="R134">
        <v>2</v>
      </c>
      <c r="S134" t="s">
        <v>51</v>
      </c>
      <c r="T134" t="s">
        <v>45</v>
      </c>
      <c r="U134" t="s">
        <v>66</v>
      </c>
      <c r="V134" t="s">
        <v>42</v>
      </c>
      <c r="W134">
        <v>13401</v>
      </c>
      <c r="X134" s="6" t="str">
        <f t="shared" si="22"/>
        <v>LOW</v>
      </c>
      <c r="Y134" s="8" t="str">
        <f t="shared" si="23"/>
        <v>Movie</v>
      </c>
      <c r="Z134" s="10" t="str">
        <f t="shared" si="24"/>
        <v>Fantasy</v>
      </c>
      <c r="AA134" s="8" t="str">
        <f t="shared" si="25"/>
        <v>NO</v>
      </c>
      <c r="AB134" s="6" t="str">
        <f t="shared" si="26"/>
        <v>NO</v>
      </c>
    </row>
    <row r="135" spans="1:28" x14ac:dyDescent="0.3">
      <c r="A135">
        <v>135</v>
      </c>
      <c r="B135" t="s">
        <v>23</v>
      </c>
      <c r="C135" t="s">
        <v>48</v>
      </c>
      <c r="D135" s="1">
        <v>45510</v>
      </c>
      <c r="E135" s="2">
        <v>0.33402777777777776</v>
      </c>
      <c r="F135" t="s">
        <v>36</v>
      </c>
      <c r="G135">
        <v>97</v>
      </c>
      <c r="H135">
        <v>20068</v>
      </c>
      <c r="I135">
        <v>44</v>
      </c>
      <c r="J135" s="2">
        <v>0.81874999999999998</v>
      </c>
      <c r="K135" t="s">
        <v>36</v>
      </c>
      <c r="L135" t="s">
        <v>37</v>
      </c>
      <c r="M135" t="s">
        <v>28</v>
      </c>
      <c r="N135" t="s">
        <v>69</v>
      </c>
      <c r="O135">
        <v>386</v>
      </c>
      <c r="P135">
        <v>1234</v>
      </c>
      <c r="Q135">
        <v>391</v>
      </c>
      <c r="R135">
        <v>3.6</v>
      </c>
      <c r="S135" t="s">
        <v>40</v>
      </c>
      <c r="T135" t="s">
        <v>45</v>
      </c>
      <c r="U135" t="s">
        <v>57</v>
      </c>
      <c r="V135" t="s">
        <v>67</v>
      </c>
      <c r="W135">
        <v>9479</v>
      </c>
      <c r="X135" s="6" t="str">
        <f t="shared" si="22"/>
        <v>LOW</v>
      </c>
      <c r="Y135" s="8" t="str">
        <f t="shared" si="23"/>
        <v>Movie</v>
      </c>
      <c r="Z135" s="10" t="str">
        <f t="shared" si="24"/>
        <v>Romance</v>
      </c>
      <c r="AA135" s="8" t="str">
        <f t="shared" si="25"/>
        <v>NO</v>
      </c>
      <c r="AB135" s="6" t="str">
        <f t="shared" si="26"/>
        <v>YES</v>
      </c>
    </row>
    <row r="136" spans="1:28" x14ac:dyDescent="0.3">
      <c r="A136">
        <v>136</v>
      </c>
      <c r="B136" t="s">
        <v>23</v>
      </c>
      <c r="C136" t="s">
        <v>64</v>
      </c>
      <c r="D136" s="1">
        <v>45521</v>
      </c>
      <c r="E136" s="2">
        <v>0.33055555555555555</v>
      </c>
      <c r="F136" t="s">
        <v>73</v>
      </c>
      <c r="G136">
        <v>184</v>
      </c>
      <c r="H136">
        <v>99744</v>
      </c>
      <c r="I136">
        <v>113</v>
      </c>
      <c r="J136" s="2">
        <v>0.69166666666666665</v>
      </c>
      <c r="K136" t="s">
        <v>44</v>
      </c>
      <c r="L136" t="s">
        <v>56</v>
      </c>
      <c r="M136" t="s">
        <v>28</v>
      </c>
      <c r="N136" t="s">
        <v>65</v>
      </c>
      <c r="O136">
        <v>557</v>
      </c>
      <c r="P136">
        <v>99</v>
      </c>
      <c r="Q136">
        <v>1082</v>
      </c>
      <c r="R136">
        <v>2.9</v>
      </c>
      <c r="S136" t="s">
        <v>40</v>
      </c>
      <c r="T136" t="s">
        <v>45</v>
      </c>
      <c r="U136" t="s">
        <v>66</v>
      </c>
      <c r="V136" t="s">
        <v>42</v>
      </c>
      <c r="W136">
        <v>3102</v>
      </c>
      <c r="X136" s="6" t="str">
        <f t="shared" si="22"/>
        <v>LOW</v>
      </c>
      <c r="Y136" s="8" t="str">
        <f t="shared" si="23"/>
        <v>Movie</v>
      </c>
      <c r="Z136" s="10" t="str">
        <f t="shared" si="24"/>
        <v>Drama</v>
      </c>
      <c r="AA136" s="8" t="str">
        <f t="shared" si="25"/>
        <v>NO</v>
      </c>
      <c r="AB136" s="6" t="str">
        <f t="shared" si="26"/>
        <v>YES</v>
      </c>
    </row>
    <row r="137" spans="1:28" x14ac:dyDescent="0.3">
      <c r="A137">
        <v>137</v>
      </c>
      <c r="B137" t="s">
        <v>34</v>
      </c>
      <c r="C137" t="s">
        <v>43</v>
      </c>
      <c r="D137" s="1">
        <v>45506</v>
      </c>
      <c r="E137" s="2">
        <v>0.47708333333333336</v>
      </c>
      <c r="F137" t="s">
        <v>44</v>
      </c>
      <c r="G137">
        <v>171</v>
      </c>
      <c r="H137">
        <v>62758</v>
      </c>
      <c r="I137">
        <v>108</v>
      </c>
      <c r="J137" s="2">
        <v>0.40694444444444444</v>
      </c>
      <c r="K137" t="s">
        <v>26</v>
      </c>
      <c r="L137" t="s">
        <v>49</v>
      </c>
      <c r="M137" t="s">
        <v>28</v>
      </c>
      <c r="N137" t="s">
        <v>29</v>
      </c>
      <c r="O137">
        <v>493</v>
      </c>
      <c r="P137">
        <v>614</v>
      </c>
      <c r="Q137">
        <v>1067</v>
      </c>
      <c r="R137">
        <v>4.0999999999999996</v>
      </c>
      <c r="S137" t="s">
        <v>51</v>
      </c>
      <c r="T137" t="s">
        <v>31</v>
      </c>
      <c r="U137" t="s">
        <v>32</v>
      </c>
      <c r="V137" t="s">
        <v>33</v>
      </c>
      <c r="W137">
        <v>7022</v>
      </c>
      <c r="X137" s="6" t="str">
        <f t="shared" si="22"/>
        <v>LOW</v>
      </c>
      <c r="Y137" s="8" t="str">
        <f t="shared" si="23"/>
        <v>Series</v>
      </c>
      <c r="Z137" s="10" t="str">
        <f t="shared" si="24"/>
        <v>Sci-Fi</v>
      </c>
      <c r="AA137" s="8" t="str">
        <f t="shared" si="25"/>
        <v>NO</v>
      </c>
      <c r="AB137" s="6" t="str">
        <f t="shared" si="26"/>
        <v>YES</v>
      </c>
    </row>
    <row r="138" spans="1:28" x14ac:dyDescent="0.3">
      <c r="A138">
        <v>138</v>
      </c>
      <c r="B138" t="s">
        <v>54</v>
      </c>
      <c r="C138" t="s">
        <v>48</v>
      </c>
      <c r="D138" s="1">
        <v>45487</v>
      </c>
      <c r="E138" s="2">
        <v>0.27916666666666667</v>
      </c>
      <c r="F138" t="s">
        <v>44</v>
      </c>
      <c r="G138">
        <v>97</v>
      </c>
      <c r="H138">
        <v>781</v>
      </c>
      <c r="I138">
        <v>27</v>
      </c>
      <c r="J138" s="2">
        <v>0.20902777777777778</v>
      </c>
      <c r="K138" t="s">
        <v>36</v>
      </c>
      <c r="L138" t="s">
        <v>49</v>
      </c>
      <c r="M138" t="s">
        <v>38</v>
      </c>
      <c r="N138" t="s">
        <v>29</v>
      </c>
      <c r="O138">
        <v>446</v>
      </c>
      <c r="P138">
        <v>769</v>
      </c>
      <c r="Q138">
        <v>997</v>
      </c>
      <c r="R138">
        <v>2</v>
      </c>
      <c r="S138" t="s">
        <v>51</v>
      </c>
      <c r="T138" t="s">
        <v>45</v>
      </c>
      <c r="U138" t="s">
        <v>70</v>
      </c>
      <c r="V138" t="s">
        <v>33</v>
      </c>
      <c r="W138">
        <v>15471</v>
      </c>
      <c r="X138" s="6" t="str">
        <f t="shared" si="22"/>
        <v>LOW</v>
      </c>
      <c r="Y138" s="8" t="str">
        <f t="shared" si="23"/>
        <v>Documentary</v>
      </c>
      <c r="Z138" s="10" t="str">
        <f t="shared" si="24"/>
        <v>Romance</v>
      </c>
      <c r="AA138" s="8" t="str">
        <f t="shared" si="25"/>
        <v>NO</v>
      </c>
      <c r="AB138" s="6" t="str">
        <f t="shared" si="26"/>
        <v>NO</v>
      </c>
    </row>
    <row r="139" spans="1:28" x14ac:dyDescent="0.3">
      <c r="A139">
        <v>139</v>
      </c>
      <c r="B139" t="s">
        <v>23</v>
      </c>
      <c r="C139" t="s">
        <v>61</v>
      </c>
      <c r="D139" s="1">
        <v>45540</v>
      </c>
      <c r="E139" s="2">
        <v>3.7499999999999999E-2</v>
      </c>
      <c r="F139" t="s">
        <v>73</v>
      </c>
      <c r="G139">
        <v>155</v>
      </c>
      <c r="H139">
        <v>62163</v>
      </c>
      <c r="I139">
        <v>32</v>
      </c>
      <c r="J139" s="2">
        <v>0.5625</v>
      </c>
      <c r="K139" t="s">
        <v>36</v>
      </c>
      <c r="L139" t="s">
        <v>37</v>
      </c>
      <c r="M139" t="s">
        <v>38</v>
      </c>
      <c r="N139" t="s">
        <v>65</v>
      </c>
      <c r="O139">
        <v>270</v>
      </c>
      <c r="P139">
        <v>246</v>
      </c>
      <c r="Q139">
        <v>528</v>
      </c>
      <c r="R139">
        <v>2</v>
      </c>
      <c r="S139" t="s">
        <v>40</v>
      </c>
      <c r="T139" t="s">
        <v>63</v>
      </c>
      <c r="U139" t="s">
        <v>70</v>
      </c>
      <c r="V139" t="s">
        <v>42</v>
      </c>
      <c r="W139">
        <v>14841</v>
      </c>
      <c r="X139" s="6" t="str">
        <f t="shared" si="22"/>
        <v>LOW</v>
      </c>
      <c r="Y139" s="8" t="str">
        <f t="shared" si="23"/>
        <v>Movie</v>
      </c>
      <c r="Z139" s="10" t="str">
        <f t="shared" si="24"/>
        <v>History</v>
      </c>
      <c r="AA139" s="8" t="str">
        <f t="shared" si="25"/>
        <v>NO</v>
      </c>
      <c r="AB139" s="6" t="str">
        <f t="shared" si="26"/>
        <v>NO</v>
      </c>
    </row>
    <row r="140" spans="1:28" x14ac:dyDescent="0.3">
      <c r="A140">
        <v>140</v>
      </c>
      <c r="B140" t="s">
        <v>54</v>
      </c>
      <c r="C140" t="s">
        <v>72</v>
      </c>
      <c r="D140" s="1">
        <v>45506</v>
      </c>
      <c r="E140" s="2">
        <v>0.38819444444444445</v>
      </c>
      <c r="F140" t="s">
        <v>36</v>
      </c>
      <c r="G140">
        <v>61</v>
      </c>
      <c r="H140">
        <v>63997</v>
      </c>
      <c r="I140">
        <v>32</v>
      </c>
      <c r="J140" s="2">
        <v>0.77638888888888891</v>
      </c>
      <c r="K140" t="s">
        <v>44</v>
      </c>
      <c r="L140" t="s">
        <v>37</v>
      </c>
      <c r="M140" t="s">
        <v>28</v>
      </c>
      <c r="N140" t="s">
        <v>59</v>
      </c>
      <c r="O140">
        <v>2643</v>
      </c>
      <c r="P140">
        <v>816</v>
      </c>
      <c r="Q140">
        <v>1057</v>
      </c>
      <c r="R140">
        <v>3</v>
      </c>
      <c r="S140" t="s">
        <v>60</v>
      </c>
      <c r="T140" t="s">
        <v>63</v>
      </c>
      <c r="U140" t="s">
        <v>52</v>
      </c>
      <c r="V140" t="s">
        <v>42</v>
      </c>
      <c r="W140">
        <v>10483</v>
      </c>
      <c r="X140" s="6" t="str">
        <f t="shared" si="22"/>
        <v>LOW</v>
      </c>
      <c r="Y140" s="8" t="str">
        <f t="shared" si="23"/>
        <v>Documentary</v>
      </c>
      <c r="Z140" s="10" t="str">
        <f t="shared" si="24"/>
        <v>Action</v>
      </c>
      <c r="AA140" s="8" t="str">
        <f t="shared" si="25"/>
        <v>NO</v>
      </c>
      <c r="AB140" s="6" t="str">
        <f t="shared" si="26"/>
        <v>YES</v>
      </c>
    </row>
    <row r="141" spans="1:28" x14ac:dyDescent="0.3">
      <c r="A141">
        <v>141</v>
      </c>
      <c r="B141" t="s">
        <v>54</v>
      </c>
      <c r="C141" t="s">
        <v>64</v>
      </c>
      <c r="D141" s="1">
        <v>45488</v>
      </c>
      <c r="E141" s="2">
        <v>0.31666666666666665</v>
      </c>
      <c r="F141" t="s">
        <v>68</v>
      </c>
      <c r="G141">
        <v>60</v>
      </c>
      <c r="H141">
        <v>72673</v>
      </c>
      <c r="I141">
        <v>46</v>
      </c>
      <c r="J141" s="2">
        <v>0.89236111111111116</v>
      </c>
      <c r="K141" t="s">
        <v>62</v>
      </c>
      <c r="L141" t="s">
        <v>37</v>
      </c>
      <c r="M141" t="s">
        <v>28</v>
      </c>
      <c r="N141" t="s">
        <v>65</v>
      </c>
      <c r="O141">
        <v>335</v>
      </c>
      <c r="P141">
        <v>642</v>
      </c>
      <c r="Q141">
        <v>322</v>
      </c>
      <c r="R141">
        <v>2.7</v>
      </c>
      <c r="S141" t="s">
        <v>51</v>
      </c>
      <c r="T141" t="s">
        <v>31</v>
      </c>
      <c r="U141" t="s">
        <v>70</v>
      </c>
      <c r="V141" t="s">
        <v>53</v>
      </c>
      <c r="W141">
        <v>10062</v>
      </c>
      <c r="X141" s="6" t="str">
        <f t="shared" si="22"/>
        <v>LOW</v>
      </c>
      <c r="Y141" s="8" t="str">
        <f t="shared" si="23"/>
        <v>Documentary</v>
      </c>
      <c r="Z141" s="10" t="str">
        <f t="shared" si="24"/>
        <v>Drama</v>
      </c>
      <c r="AA141" s="8" t="str">
        <f t="shared" si="25"/>
        <v>NO</v>
      </c>
      <c r="AB141" s="6" t="str">
        <f t="shared" si="26"/>
        <v>NO</v>
      </c>
    </row>
    <row r="142" spans="1:28" x14ac:dyDescent="0.3">
      <c r="A142">
        <v>142</v>
      </c>
      <c r="B142" t="s">
        <v>34</v>
      </c>
      <c r="C142" t="s">
        <v>35</v>
      </c>
      <c r="D142" s="1">
        <v>45496</v>
      </c>
      <c r="E142" s="2">
        <v>0.58402777777777781</v>
      </c>
      <c r="F142" t="s">
        <v>68</v>
      </c>
      <c r="G142">
        <v>833</v>
      </c>
      <c r="H142">
        <v>61234</v>
      </c>
      <c r="I142">
        <v>114</v>
      </c>
      <c r="J142" s="2">
        <v>0.14374999999999999</v>
      </c>
      <c r="K142" t="s">
        <v>26</v>
      </c>
      <c r="L142" t="s">
        <v>27</v>
      </c>
      <c r="M142" t="s">
        <v>38</v>
      </c>
      <c r="N142" t="s">
        <v>69</v>
      </c>
      <c r="O142">
        <v>2516</v>
      </c>
      <c r="P142">
        <v>1040</v>
      </c>
      <c r="Q142">
        <v>528</v>
      </c>
      <c r="R142">
        <v>1.1000000000000001</v>
      </c>
      <c r="S142" t="s">
        <v>60</v>
      </c>
      <c r="T142" t="s">
        <v>45</v>
      </c>
      <c r="U142" t="s">
        <v>46</v>
      </c>
      <c r="V142" t="s">
        <v>33</v>
      </c>
      <c r="W142">
        <v>4648</v>
      </c>
      <c r="X142" s="6" t="str">
        <f t="shared" ref="X142" si="28">IF(H142&gt;15000,"HIGH",IF(H142&gt;80000,"MEDIUM","LOW"))</f>
        <v>HIGH</v>
      </c>
      <c r="Y142" s="8" t="str">
        <f t="shared" si="23"/>
        <v>Series</v>
      </c>
      <c r="Z142" s="10" t="str">
        <f t="shared" si="24"/>
        <v>Comedy</v>
      </c>
      <c r="AA142" s="8" t="str">
        <f t="shared" si="25"/>
        <v>NO</v>
      </c>
      <c r="AB142" s="6" t="str">
        <f t="shared" si="26"/>
        <v>NO</v>
      </c>
    </row>
    <row r="143" spans="1:28" x14ac:dyDescent="0.3">
      <c r="A143">
        <v>143</v>
      </c>
      <c r="B143" t="s">
        <v>23</v>
      </c>
      <c r="C143" t="s">
        <v>55</v>
      </c>
      <c r="D143" s="1">
        <v>45489</v>
      </c>
      <c r="E143" s="2">
        <v>0.13541666666666666</v>
      </c>
      <c r="F143" t="s">
        <v>36</v>
      </c>
      <c r="G143">
        <v>107</v>
      </c>
      <c r="H143">
        <v>4626</v>
      </c>
      <c r="I143">
        <v>28</v>
      </c>
      <c r="J143" s="2">
        <v>0.14305555555555555</v>
      </c>
      <c r="K143" t="s">
        <v>36</v>
      </c>
      <c r="L143" t="s">
        <v>49</v>
      </c>
      <c r="M143" t="s">
        <v>38</v>
      </c>
      <c r="N143" t="s">
        <v>65</v>
      </c>
      <c r="O143">
        <v>1045</v>
      </c>
      <c r="P143">
        <v>599</v>
      </c>
      <c r="Q143">
        <v>823</v>
      </c>
      <c r="R143">
        <v>1.8</v>
      </c>
      <c r="S143" t="s">
        <v>51</v>
      </c>
      <c r="T143" t="s">
        <v>45</v>
      </c>
      <c r="U143" t="s">
        <v>41</v>
      </c>
      <c r="V143" t="s">
        <v>42</v>
      </c>
      <c r="W143">
        <v>18006</v>
      </c>
      <c r="X143" s="6" t="str">
        <f t="shared" si="22"/>
        <v>LOW</v>
      </c>
      <c r="Y143" s="8" t="str">
        <f t="shared" si="23"/>
        <v>Movie</v>
      </c>
      <c r="Z143" s="10" t="str">
        <f t="shared" si="24"/>
        <v>Fantasy</v>
      </c>
      <c r="AA143" s="8" t="str">
        <f t="shared" si="25"/>
        <v>NO</v>
      </c>
      <c r="AB143" s="6" t="str">
        <f t="shared" si="26"/>
        <v>NO</v>
      </c>
    </row>
    <row r="144" spans="1:28" x14ac:dyDescent="0.3">
      <c r="A144">
        <v>144</v>
      </c>
      <c r="B144" t="s">
        <v>34</v>
      </c>
      <c r="C144" t="s">
        <v>64</v>
      </c>
      <c r="D144" s="1">
        <v>45549</v>
      </c>
      <c r="E144" s="2">
        <v>0.51458333333333328</v>
      </c>
      <c r="F144" t="s">
        <v>68</v>
      </c>
      <c r="G144">
        <v>1187</v>
      </c>
      <c r="H144">
        <v>84367</v>
      </c>
      <c r="I144">
        <v>28</v>
      </c>
      <c r="J144" s="2">
        <v>0.5131944444444444</v>
      </c>
      <c r="K144" t="s">
        <v>44</v>
      </c>
      <c r="L144" t="s">
        <v>27</v>
      </c>
      <c r="M144" t="s">
        <v>38</v>
      </c>
      <c r="N144" t="s">
        <v>39</v>
      </c>
      <c r="O144">
        <v>991</v>
      </c>
      <c r="P144">
        <v>1639</v>
      </c>
      <c r="Q144">
        <v>845</v>
      </c>
      <c r="R144">
        <v>2.5</v>
      </c>
      <c r="S144" t="s">
        <v>30</v>
      </c>
      <c r="T144" t="s">
        <v>63</v>
      </c>
      <c r="U144" t="s">
        <v>41</v>
      </c>
      <c r="V144" t="s">
        <v>53</v>
      </c>
      <c r="W144">
        <v>19385</v>
      </c>
      <c r="X144" s="6" t="str">
        <f t="shared" si="22"/>
        <v>LOW</v>
      </c>
      <c r="Y144" s="8" t="str">
        <f t="shared" si="23"/>
        <v>Series</v>
      </c>
      <c r="Z144" s="10" t="str">
        <f t="shared" si="24"/>
        <v>Drama</v>
      </c>
      <c r="AA144" s="8" t="str">
        <f t="shared" si="25"/>
        <v>NO</v>
      </c>
      <c r="AB144" s="6" t="str">
        <f t="shared" si="26"/>
        <v>NO</v>
      </c>
    </row>
    <row r="145" spans="1:28" x14ac:dyDescent="0.3">
      <c r="A145">
        <v>145</v>
      </c>
      <c r="B145" t="s">
        <v>54</v>
      </c>
      <c r="C145" t="s">
        <v>48</v>
      </c>
      <c r="D145" s="1">
        <v>45474</v>
      </c>
      <c r="E145" s="2">
        <v>0.42916666666666664</v>
      </c>
      <c r="F145" t="s">
        <v>36</v>
      </c>
      <c r="G145">
        <v>87</v>
      </c>
      <c r="H145">
        <v>28702</v>
      </c>
      <c r="I145">
        <v>47</v>
      </c>
      <c r="J145" s="2">
        <v>0.87708333333333333</v>
      </c>
      <c r="K145" t="s">
        <v>26</v>
      </c>
      <c r="L145" t="s">
        <v>37</v>
      </c>
      <c r="M145" t="s">
        <v>28</v>
      </c>
      <c r="N145" t="s">
        <v>39</v>
      </c>
      <c r="O145">
        <v>1351</v>
      </c>
      <c r="P145">
        <v>525</v>
      </c>
      <c r="Q145">
        <v>261</v>
      </c>
      <c r="R145">
        <v>2.2000000000000002</v>
      </c>
      <c r="S145" t="s">
        <v>51</v>
      </c>
      <c r="T145" t="s">
        <v>45</v>
      </c>
      <c r="U145" t="s">
        <v>66</v>
      </c>
      <c r="V145" t="s">
        <v>53</v>
      </c>
      <c r="W145">
        <v>19982</v>
      </c>
      <c r="X145" s="6" t="str">
        <f t="shared" si="22"/>
        <v>LOW</v>
      </c>
      <c r="Y145" s="8" t="str">
        <f t="shared" si="23"/>
        <v>Documentary</v>
      </c>
      <c r="Z145" s="10" t="str">
        <f t="shared" si="24"/>
        <v>Romance</v>
      </c>
      <c r="AA145" s="8" t="str">
        <f t="shared" si="25"/>
        <v>NO</v>
      </c>
      <c r="AB145" s="6" t="str">
        <f t="shared" si="26"/>
        <v>NO</v>
      </c>
    </row>
    <row r="146" spans="1:28" x14ac:dyDescent="0.3">
      <c r="A146">
        <v>146</v>
      </c>
      <c r="B146" t="s">
        <v>54</v>
      </c>
      <c r="C146" t="s">
        <v>35</v>
      </c>
      <c r="D146" s="1">
        <v>45536</v>
      </c>
      <c r="E146" s="2">
        <v>0.63472222222222219</v>
      </c>
      <c r="F146" t="s">
        <v>26</v>
      </c>
      <c r="G146">
        <v>79</v>
      </c>
      <c r="H146">
        <v>17230</v>
      </c>
      <c r="I146">
        <v>52</v>
      </c>
      <c r="J146" s="2">
        <v>0.65486111111111112</v>
      </c>
      <c r="K146" t="s">
        <v>36</v>
      </c>
      <c r="L146" t="s">
        <v>56</v>
      </c>
      <c r="M146" t="s">
        <v>38</v>
      </c>
      <c r="N146" t="s">
        <v>65</v>
      </c>
      <c r="O146">
        <v>946</v>
      </c>
      <c r="P146">
        <v>1930</v>
      </c>
      <c r="Q146">
        <v>1452</v>
      </c>
      <c r="R146">
        <v>1.4</v>
      </c>
      <c r="S146" t="s">
        <v>60</v>
      </c>
      <c r="T146" t="s">
        <v>63</v>
      </c>
      <c r="U146" t="s">
        <v>66</v>
      </c>
      <c r="V146" t="s">
        <v>53</v>
      </c>
      <c r="W146">
        <v>16377</v>
      </c>
      <c r="X146" s="6" t="str">
        <f t="shared" si="22"/>
        <v>LOW</v>
      </c>
      <c r="Y146" s="8" t="str">
        <f t="shared" si="23"/>
        <v>Documentary</v>
      </c>
      <c r="Z146" s="10" t="str">
        <f t="shared" si="24"/>
        <v>Comedy</v>
      </c>
      <c r="AA146" s="8" t="str">
        <f t="shared" si="25"/>
        <v>NO</v>
      </c>
      <c r="AB146" s="6" t="str">
        <f t="shared" si="26"/>
        <v>NO</v>
      </c>
    </row>
    <row r="147" spans="1:28" x14ac:dyDescent="0.3">
      <c r="A147">
        <v>147</v>
      </c>
      <c r="B147" t="s">
        <v>54</v>
      </c>
      <c r="C147" t="s">
        <v>48</v>
      </c>
      <c r="D147" s="1">
        <v>45518</v>
      </c>
      <c r="E147" s="2">
        <v>5.0694444444444445E-2</v>
      </c>
      <c r="F147" t="s">
        <v>73</v>
      </c>
      <c r="G147">
        <v>78</v>
      </c>
      <c r="H147">
        <v>35441</v>
      </c>
      <c r="I147">
        <v>54</v>
      </c>
      <c r="J147" s="2">
        <v>0.55972222222222223</v>
      </c>
      <c r="K147" t="s">
        <v>36</v>
      </c>
      <c r="L147" t="s">
        <v>56</v>
      </c>
      <c r="M147" t="s">
        <v>28</v>
      </c>
      <c r="N147" t="s">
        <v>71</v>
      </c>
      <c r="O147">
        <v>2028</v>
      </c>
      <c r="P147">
        <v>554</v>
      </c>
      <c r="Q147">
        <v>79</v>
      </c>
      <c r="R147">
        <v>3.6</v>
      </c>
      <c r="S147" t="s">
        <v>51</v>
      </c>
      <c r="T147" t="s">
        <v>45</v>
      </c>
      <c r="U147" t="s">
        <v>52</v>
      </c>
      <c r="V147" t="s">
        <v>67</v>
      </c>
      <c r="W147">
        <v>985</v>
      </c>
      <c r="X147" s="6" t="str">
        <f t="shared" si="22"/>
        <v>LOW</v>
      </c>
      <c r="Y147" s="8" t="str">
        <f t="shared" si="23"/>
        <v>Documentary</v>
      </c>
      <c r="Z147" s="10" t="str">
        <f t="shared" si="24"/>
        <v>Romance</v>
      </c>
      <c r="AA147" s="8" t="str">
        <f t="shared" si="25"/>
        <v>NO</v>
      </c>
      <c r="AB147" s="6" t="str">
        <f t="shared" si="26"/>
        <v>YES</v>
      </c>
    </row>
    <row r="148" spans="1:28" x14ac:dyDescent="0.3">
      <c r="A148">
        <v>148</v>
      </c>
      <c r="B148" t="s">
        <v>34</v>
      </c>
      <c r="C148" t="s">
        <v>75</v>
      </c>
      <c r="D148" s="1">
        <v>45474</v>
      </c>
      <c r="E148" s="2">
        <v>0.36180555555555555</v>
      </c>
      <c r="F148" t="s">
        <v>25</v>
      </c>
      <c r="G148">
        <v>213</v>
      </c>
      <c r="H148">
        <v>6423</v>
      </c>
      <c r="I148">
        <v>36</v>
      </c>
      <c r="J148" s="2">
        <v>0.41875000000000001</v>
      </c>
      <c r="K148" t="s">
        <v>44</v>
      </c>
      <c r="L148" t="s">
        <v>56</v>
      </c>
      <c r="M148" t="s">
        <v>38</v>
      </c>
      <c r="N148" t="s">
        <v>59</v>
      </c>
      <c r="O148">
        <v>766</v>
      </c>
      <c r="P148">
        <v>547</v>
      </c>
      <c r="Q148">
        <v>911</v>
      </c>
      <c r="R148">
        <v>1.7</v>
      </c>
      <c r="S148" t="s">
        <v>51</v>
      </c>
      <c r="T148" t="s">
        <v>45</v>
      </c>
      <c r="U148" t="s">
        <v>70</v>
      </c>
      <c r="V148" t="s">
        <v>58</v>
      </c>
      <c r="W148">
        <v>16292</v>
      </c>
      <c r="X148" s="6" t="str">
        <f t="shared" si="22"/>
        <v>LOW</v>
      </c>
      <c r="Y148" s="8" t="str">
        <f t="shared" si="23"/>
        <v>Series</v>
      </c>
      <c r="Z148" s="10" t="str">
        <f t="shared" si="24"/>
        <v>Nature</v>
      </c>
      <c r="AA148" s="8" t="str">
        <f t="shared" si="25"/>
        <v>NO</v>
      </c>
      <c r="AB148" s="6" t="str">
        <f t="shared" si="26"/>
        <v>NO</v>
      </c>
    </row>
    <row r="149" spans="1:28" x14ac:dyDescent="0.3">
      <c r="A149">
        <v>149</v>
      </c>
      <c r="B149" t="s">
        <v>54</v>
      </c>
      <c r="C149" t="s">
        <v>61</v>
      </c>
      <c r="D149" s="1">
        <v>45515</v>
      </c>
      <c r="E149" s="2">
        <v>4.0972222222222222E-2</v>
      </c>
      <c r="F149" t="s">
        <v>26</v>
      </c>
      <c r="G149">
        <v>57</v>
      </c>
      <c r="H149">
        <v>3413</v>
      </c>
      <c r="I149">
        <v>55</v>
      </c>
      <c r="J149" s="2">
        <v>8.611111111111111E-2</v>
      </c>
      <c r="K149" t="s">
        <v>62</v>
      </c>
      <c r="L149" t="s">
        <v>49</v>
      </c>
      <c r="M149" t="s">
        <v>38</v>
      </c>
      <c r="N149" t="s">
        <v>76</v>
      </c>
      <c r="O149">
        <v>2519</v>
      </c>
      <c r="P149">
        <v>597</v>
      </c>
      <c r="Q149">
        <v>378</v>
      </c>
      <c r="R149">
        <v>1</v>
      </c>
      <c r="S149" t="s">
        <v>30</v>
      </c>
      <c r="T149" t="s">
        <v>63</v>
      </c>
      <c r="U149" t="s">
        <v>52</v>
      </c>
      <c r="V149" t="s">
        <v>53</v>
      </c>
      <c r="W149">
        <v>13258</v>
      </c>
      <c r="X149" s="6" t="str">
        <f t="shared" si="22"/>
        <v>LOW</v>
      </c>
      <c r="Y149" s="8" t="str">
        <f t="shared" si="23"/>
        <v>Documentary</v>
      </c>
      <c r="Z149" s="10" t="str">
        <f t="shared" si="24"/>
        <v>History</v>
      </c>
      <c r="AA149" s="8" t="str">
        <f t="shared" si="25"/>
        <v>NO</v>
      </c>
      <c r="AB149" s="6" t="str">
        <f t="shared" si="26"/>
        <v>NO</v>
      </c>
    </row>
    <row r="150" spans="1:28" x14ac:dyDescent="0.3">
      <c r="A150">
        <v>150</v>
      </c>
      <c r="B150" t="s">
        <v>34</v>
      </c>
      <c r="C150" t="s">
        <v>55</v>
      </c>
      <c r="D150" s="1">
        <v>45483</v>
      </c>
      <c r="E150" s="2">
        <v>0.96250000000000002</v>
      </c>
      <c r="F150" t="s">
        <v>25</v>
      </c>
      <c r="G150">
        <v>1158</v>
      </c>
      <c r="H150">
        <v>23781</v>
      </c>
      <c r="I150">
        <v>78</v>
      </c>
      <c r="J150" s="2">
        <v>0.29583333333333334</v>
      </c>
      <c r="K150" t="s">
        <v>26</v>
      </c>
      <c r="L150" t="s">
        <v>37</v>
      </c>
      <c r="M150" t="s">
        <v>38</v>
      </c>
      <c r="N150" t="s">
        <v>65</v>
      </c>
      <c r="O150">
        <v>1804</v>
      </c>
      <c r="P150">
        <v>710</v>
      </c>
      <c r="Q150">
        <v>213</v>
      </c>
      <c r="R150">
        <v>1.4</v>
      </c>
      <c r="S150" t="s">
        <v>60</v>
      </c>
      <c r="T150" t="s">
        <v>31</v>
      </c>
      <c r="U150" t="s">
        <v>52</v>
      </c>
      <c r="V150" t="s">
        <v>53</v>
      </c>
      <c r="W150">
        <v>3989</v>
      </c>
      <c r="X150" s="6" t="str">
        <f t="shared" si="22"/>
        <v>LOW</v>
      </c>
      <c r="Y150" s="8" t="str">
        <f t="shared" si="23"/>
        <v>Series</v>
      </c>
      <c r="Z150" s="10" t="str">
        <f t="shared" si="24"/>
        <v>Fantasy</v>
      </c>
      <c r="AA150" s="8" t="str">
        <f t="shared" si="25"/>
        <v>NO</v>
      </c>
      <c r="AB150" s="6" t="str">
        <f t="shared" si="26"/>
        <v>NO</v>
      </c>
    </row>
    <row r="151" spans="1:28" x14ac:dyDescent="0.3">
      <c r="A151">
        <v>151</v>
      </c>
      <c r="B151" t="s">
        <v>54</v>
      </c>
      <c r="C151" t="s">
        <v>48</v>
      </c>
      <c r="D151" s="1">
        <v>45520</v>
      </c>
      <c r="E151" s="2">
        <v>0.12847222222222221</v>
      </c>
      <c r="F151" t="s">
        <v>36</v>
      </c>
      <c r="G151">
        <v>110</v>
      </c>
      <c r="H151">
        <v>16221</v>
      </c>
      <c r="I151">
        <v>64</v>
      </c>
      <c r="J151" s="2">
        <v>0.7104166666666667</v>
      </c>
      <c r="K151" t="s">
        <v>36</v>
      </c>
      <c r="L151" t="s">
        <v>49</v>
      </c>
      <c r="M151" t="s">
        <v>38</v>
      </c>
      <c r="N151" t="s">
        <v>39</v>
      </c>
      <c r="O151">
        <v>2342</v>
      </c>
      <c r="P151">
        <v>1648</v>
      </c>
      <c r="Q151">
        <v>464</v>
      </c>
      <c r="R151">
        <v>3.3</v>
      </c>
      <c r="S151" t="s">
        <v>60</v>
      </c>
      <c r="T151" t="s">
        <v>45</v>
      </c>
      <c r="U151" t="s">
        <v>41</v>
      </c>
      <c r="V151" t="s">
        <v>58</v>
      </c>
      <c r="W151">
        <v>17809</v>
      </c>
      <c r="X151" s="6" t="str">
        <f t="shared" si="22"/>
        <v>LOW</v>
      </c>
      <c r="Y151" s="8" t="str">
        <f t="shared" si="23"/>
        <v>Documentary</v>
      </c>
      <c r="Z151" s="10" t="str">
        <f t="shared" si="24"/>
        <v>Romance</v>
      </c>
      <c r="AA151" s="8" t="str">
        <f t="shared" si="25"/>
        <v>NO</v>
      </c>
      <c r="AB151" s="6" t="str">
        <f t="shared" si="26"/>
        <v>YES</v>
      </c>
    </row>
    <row r="152" spans="1:28" x14ac:dyDescent="0.3">
      <c r="A152">
        <v>152</v>
      </c>
      <c r="B152" t="s">
        <v>34</v>
      </c>
      <c r="C152" t="s">
        <v>24</v>
      </c>
      <c r="D152" s="1">
        <v>45548</v>
      </c>
      <c r="E152" s="2">
        <v>0.68888888888888888</v>
      </c>
      <c r="F152" t="s">
        <v>68</v>
      </c>
      <c r="G152">
        <v>429</v>
      </c>
      <c r="H152">
        <v>14667</v>
      </c>
      <c r="I152">
        <v>34</v>
      </c>
      <c r="J152" s="2">
        <v>0.77569444444444446</v>
      </c>
      <c r="K152" t="s">
        <v>44</v>
      </c>
      <c r="L152" t="s">
        <v>37</v>
      </c>
      <c r="M152" t="s">
        <v>28</v>
      </c>
      <c r="N152" t="s">
        <v>50</v>
      </c>
      <c r="O152">
        <v>2741</v>
      </c>
      <c r="P152">
        <v>1087</v>
      </c>
      <c r="Q152">
        <v>467</v>
      </c>
      <c r="R152">
        <v>3.5</v>
      </c>
      <c r="S152" t="s">
        <v>40</v>
      </c>
      <c r="T152" t="s">
        <v>45</v>
      </c>
      <c r="U152" t="s">
        <v>41</v>
      </c>
      <c r="V152" t="s">
        <v>67</v>
      </c>
      <c r="W152">
        <v>13347</v>
      </c>
      <c r="X152" s="6" t="str">
        <f t="shared" ref="X152" si="29">IF(H152&gt;15000,"HIGH",IF(H152&gt;80000,"MEDIUM","LOW"))</f>
        <v>LOW</v>
      </c>
      <c r="Y152" s="8" t="str">
        <f t="shared" si="23"/>
        <v>Series</v>
      </c>
      <c r="Z152" s="10" t="str">
        <f t="shared" si="24"/>
        <v>Thriller</v>
      </c>
      <c r="AA152" s="8" t="str">
        <f t="shared" si="25"/>
        <v>NO</v>
      </c>
      <c r="AB152" s="6" t="str">
        <f t="shared" si="26"/>
        <v>YES</v>
      </c>
    </row>
    <row r="153" spans="1:28" x14ac:dyDescent="0.3">
      <c r="A153">
        <v>153</v>
      </c>
      <c r="B153" t="s">
        <v>54</v>
      </c>
      <c r="C153" t="s">
        <v>75</v>
      </c>
      <c r="D153" s="1">
        <v>45491</v>
      </c>
      <c r="E153" s="2">
        <v>8.1250000000000003E-2</v>
      </c>
      <c r="F153" t="s">
        <v>44</v>
      </c>
      <c r="G153">
        <v>67</v>
      </c>
      <c r="H153">
        <v>96416</v>
      </c>
      <c r="I153">
        <v>55</v>
      </c>
      <c r="J153" s="2">
        <v>0.39305555555555555</v>
      </c>
      <c r="K153" t="s">
        <v>26</v>
      </c>
      <c r="L153" t="s">
        <v>49</v>
      </c>
      <c r="M153" t="s">
        <v>38</v>
      </c>
      <c r="N153" t="s">
        <v>50</v>
      </c>
      <c r="O153">
        <v>2517</v>
      </c>
      <c r="P153">
        <v>552</v>
      </c>
      <c r="Q153">
        <v>1173</v>
      </c>
      <c r="R153">
        <v>3.6</v>
      </c>
      <c r="S153" t="s">
        <v>40</v>
      </c>
      <c r="T153" t="s">
        <v>63</v>
      </c>
      <c r="U153" t="s">
        <v>41</v>
      </c>
      <c r="V153" t="s">
        <v>58</v>
      </c>
      <c r="W153">
        <v>11931</v>
      </c>
      <c r="X153" s="6" t="str">
        <f t="shared" si="22"/>
        <v>LOW</v>
      </c>
      <c r="Y153" s="8" t="str">
        <f t="shared" si="23"/>
        <v>Documentary</v>
      </c>
      <c r="Z153" s="10" t="str">
        <f t="shared" si="24"/>
        <v>Nature</v>
      </c>
      <c r="AA153" s="8" t="str">
        <f t="shared" si="25"/>
        <v>NO</v>
      </c>
      <c r="AB153" s="6" t="str">
        <f t="shared" si="26"/>
        <v>YES</v>
      </c>
    </row>
    <row r="154" spans="1:28" x14ac:dyDescent="0.3">
      <c r="A154">
        <v>154</v>
      </c>
      <c r="B154" t="s">
        <v>34</v>
      </c>
      <c r="C154" t="s">
        <v>24</v>
      </c>
      <c r="D154" s="1">
        <v>45505</v>
      </c>
      <c r="E154" s="2">
        <v>0.5131944444444444</v>
      </c>
      <c r="F154" t="s">
        <v>44</v>
      </c>
      <c r="G154">
        <v>696</v>
      </c>
      <c r="H154">
        <v>64457</v>
      </c>
      <c r="I154">
        <v>94</v>
      </c>
      <c r="J154" s="2">
        <v>0.11041666666666666</v>
      </c>
      <c r="K154" t="s">
        <v>36</v>
      </c>
      <c r="L154" t="s">
        <v>37</v>
      </c>
      <c r="M154" t="s">
        <v>38</v>
      </c>
      <c r="N154" t="s">
        <v>69</v>
      </c>
      <c r="O154">
        <v>1953</v>
      </c>
      <c r="P154">
        <v>674</v>
      </c>
      <c r="Q154">
        <v>1359</v>
      </c>
      <c r="R154">
        <v>3.5</v>
      </c>
      <c r="S154" t="s">
        <v>60</v>
      </c>
      <c r="T154" t="s">
        <v>31</v>
      </c>
      <c r="U154" t="s">
        <v>52</v>
      </c>
      <c r="V154" t="s">
        <v>67</v>
      </c>
      <c r="W154">
        <v>16853</v>
      </c>
      <c r="X154" s="6" t="str">
        <f t="shared" si="22"/>
        <v>LOW</v>
      </c>
      <c r="Y154" s="8" t="str">
        <f t="shared" si="23"/>
        <v>Series</v>
      </c>
      <c r="Z154" s="10" t="str">
        <f t="shared" si="24"/>
        <v>Thriller</v>
      </c>
      <c r="AA154" s="8" t="str">
        <f t="shared" si="25"/>
        <v>NO</v>
      </c>
      <c r="AB154" s="6" t="str">
        <f t="shared" si="26"/>
        <v>YES</v>
      </c>
    </row>
    <row r="155" spans="1:28" x14ac:dyDescent="0.3">
      <c r="A155">
        <v>155</v>
      </c>
      <c r="B155" t="s">
        <v>23</v>
      </c>
      <c r="C155" t="s">
        <v>75</v>
      </c>
      <c r="D155" s="1">
        <v>45522</v>
      </c>
      <c r="E155" s="2">
        <v>0.3125</v>
      </c>
      <c r="F155" t="s">
        <v>44</v>
      </c>
      <c r="G155">
        <v>101</v>
      </c>
      <c r="H155">
        <v>71565</v>
      </c>
      <c r="I155">
        <v>31</v>
      </c>
      <c r="J155" s="2">
        <v>0.10972222222222222</v>
      </c>
      <c r="K155" t="s">
        <v>44</v>
      </c>
      <c r="L155" t="s">
        <v>56</v>
      </c>
      <c r="M155" t="s">
        <v>28</v>
      </c>
      <c r="N155" t="s">
        <v>71</v>
      </c>
      <c r="O155">
        <v>571</v>
      </c>
      <c r="P155">
        <v>458</v>
      </c>
      <c r="Q155">
        <v>296</v>
      </c>
      <c r="R155">
        <v>4.5999999999999996</v>
      </c>
      <c r="S155" t="s">
        <v>60</v>
      </c>
      <c r="T155" t="s">
        <v>45</v>
      </c>
      <c r="U155" t="s">
        <v>66</v>
      </c>
      <c r="V155" t="s">
        <v>67</v>
      </c>
      <c r="W155">
        <v>14399</v>
      </c>
      <c r="X155" s="6" t="str">
        <f t="shared" si="22"/>
        <v>LOW</v>
      </c>
      <c r="Y155" s="8" t="str">
        <f t="shared" si="23"/>
        <v>Movie</v>
      </c>
      <c r="Z155" s="10" t="str">
        <f t="shared" si="24"/>
        <v>Nature</v>
      </c>
      <c r="AA155" s="8" t="str">
        <f t="shared" si="25"/>
        <v>NO</v>
      </c>
      <c r="AB155" s="6" t="str">
        <f t="shared" si="26"/>
        <v>YES</v>
      </c>
    </row>
    <row r="156" spans="1:28" x14ac:dyDescent="0.3">
      <c r="A156">
        <v>156</v>
      </c>
      <c r="B156" t="s">
        <v>23</v>
      </c>
      <c r="C156" t="s">
        <v>55</v>
      </c>
      <c r="D156" s="1">
        <v>45479</v>
      </c>
      <c r="E156" s="2">
        <v>0.6333333333333333</v>
      </c>
      <c r="F156" t="s">
        <v>68</v>
      </c>
      <c r="G156">
        <v>180</v>
      </c>
      <c r="H156">
        <v>65968</v>
      </c>
      <c r="I156">
        <v>73</v>
      </c>
      <c r="J156" s="2">
        <v>0.82152777777777775</v>
      </c>
      <c r="K156" t="s">
        <v>26</v>
      </c>
      <c r="L156" t="s">
        <v>37</v>
      </c>
      <c r="M156" t="s">
        <v>38</v>
      </c>
      <c r="N156" t="s">
        <v>65</v>
      </c>
      <c r="O156">
        <v>1599</v>
      </c>
      <c r="P156">
        <v>767</v>
      </c>
      <c r="Q156">
        <v>1321</v>
      </c>
      <c r="R156">
        <v>2.7</v>
      </c>
      <c r="S156" t="s">
        <v>60</v>
      </c>
      <c r="T156" t="s">
        <v>31</v>
      </c>
      <c r="U156" t="s">
        <v>46</v>
      </c>
      <c r="V156" t="s">
        <v>58</v>
      </c>
      <c r="W156">
        <v>14195</v>
      </c>
      <c r="X156" s="6" t="str">
        <f t="shared" si="22"/>
        <v>LOW</v>
      </c>
      <c r="Y156" s="8" t="str">
        <f t="shared" si="23"/>
        <v>Movie</v>
      </c>
      <c r="Z156" s="10" t="str">
        <f t="shared" si="24"/>
        <v>Fantasy</v>
      </c>
      <c r="AA156" s="8" t="str">
        <f t="shared" si="25"/>
        <v>NO</v>
      </c>
      <c r="AB156" s="6" t="str">
        <f t="shared" si="26"/>
        <v>NO</v>
      </c>
    </row>
    <row r="157" spans="1:28" x14ac:dyDescent="0.3">
      <c r="A157">
        <v>157</v>
      </c>
      <c r="B157" t="s">
        <v>23</v>
      </c>
      <c r="C157" t="s">
        <v>24</v>
      </c>
      <c r="D157" s="1">
        <v>45532</v>
      </c>
      <c r="E157" s="2">
        <v>0.77777777777777779</v>
      </c>
      <c r="F157" t="s">
        <v>36</v>
      </c>
      <c r="G157">
        <v>131</v>
      </c>
      <c r="H157">
        <v>88909</v>
      </c>
      <c r="I157">
        <v>82</v>
      </c>
      <c r="J157" s="2">
        <v>0.90694444444444444</v>
      </c>
      <c r="K157" t="s">
        <v>36</v>
      </c>
      <c r="L157" t="s">
        <v>49</v>
      </c>
      <c r="M157" t="s">
        <v>38</v>
      </c>
      <c r="N157" t="s">
        <v>71</v>
      </c>
      <c r="O157">
        <v>2525</v>
      </c>
      <c r="P157">
        <v>506</v>
      </c>
      <c r="Q157">
        <v>890</v>
      </c>
      <c r="R157">
        <v>4.3</v>
      </c>
      <c r="S157" t="s">
        <v>60</v>
      </c>
      <c r="T157" t="s">
        <v>63</v>
      </c>
      <c r="U157" t="s">
        <v>74</v>
      </c>
      <c r="V157" t="s">
        <v>53</v>
      </c>
      <c r="W157">
        <v>8305</v>
      </c>
      <c r="X157" s="6" t="str">
        <f t="shared" si="22"/>
        <v>LOW</v>
      </c>
      <c r="Y157" s="8" t="str">
        <f t="shared" si="23"/>
        <v>Movie</v>
      </c>
      <c r="Z157" s="10" t="str">
        <f t="shared" si="24"/>
        <v>Thriller</v>
      </c>
      <c r="AA157" s="8" t="str">
        <f t="shared" si="25"/>
        <v>NO</v>
      </c>
      <c r="AB157" s="6" t="str">
        <f t="shared" si="26"/>
        <v>YES</v>
      </c>
    </row>
    <row r="158" spans="1:28" x14ac:dyDescent="0.3">
      <c r="A158">
        <v>158</v>
      </c>
      <c r="B158" t="s">
        <v>23</v>
      </c>
      <c r="C158" t="s">
        <v>75</v>
      </c>
      <c r="D158" s="1">
        <v>45548</v>
      </c>
      <c r="E158" s="2">
        <v>9.3055555555555558E-2</v>
      </c>
      <c r="F158" t="s">
        <v>26</v>
      </c>
      <c r="G158">
        <v>157</v>
      </c>
      <c r="H158">
        <v>81009</v>
      </c>
      <c r="I158">
        <v>129</v>
      </c>
      <c r="J158" s="2">
        <v>0.95902777777777781</v>
      </c>
      <c r="K158" t="s">
        <v>36</v>
      </c>
      <c r="L158" t="s">
        <v>56</v>
      </c>
      <c r="M158" t="s">
        <v>28</v>
      </c>
      <c r="N158" t="s">
        <v>65</v>
      </c>
      <c r="O158">
        <v>989</v>
      </c>
      <c r="P158">
        <v>1422</v>
      </c>
      <c r="Q158">
        <v>1487</v>
      </c>
      <c r="R158">
        <v>2.8</v>
      </c>
      <c r="S158" t="s">
        <v>30</v>
      </c>
      <c r="T158" t="s">
        <v>31</v>
      </c>
      <c r="U158" t="s">
        <v>52</v>
      </c>
      <c r="V158" t="s">
        <v>33</v>
      </c>
      <c r="W158">
        <v>14832</v>
      </c>
      <c r="X158" s="6" t="str">
        <f t="shared" si="22"/>
        <v>LOW</v>
      </c>
      <c r="Y158" s="8" t="str">
        <f t="shared" si="23"/>
        <v>Movie</v>
      </c>
      <c r="Z158" s="10" t="str">
        <f t="shared" si="24"/>
        <v>Nature</v>
      </c>
      <c r="AA158" s="8" t="str">
        <f t="shared" si="25"/>
        <v>NO</v>
      </c>
      <c r="AB158" s="6" t="str">
        <f t="shared" si="26"/>
        <v>YES</v>
      </c>
    </row>
    <row r="159" spans="1:28" x14ac:dyDescent="0.3">
      <c r="A159">
        <v>159</v>
      </c>
      <c r="B159" t="s">
        <v>23</v>
      </c>
      <c r="C159" t="s">
        <v>75</v>
      </c>
      <c r="D159" s="1">
        <v>45509</v>
      </c>
      <c r="E159" s="2">
        <v>0.79027777777777775</v>
      </c>
      <c r="F159" t="s">
        <v>26</v>
      </c>
      <c r="G159">
        <v>137</v>
      </c>
      <c r="H159">
        <v>31339</v>
      </c>
      <c r="I159">
        <v>61</v>
      </c>
      <c r="J159" s="2">
        <v>0.96250000000000002</v>
      </c>
      <c r="K159" t="s">
        <v>44</v>
      </c>
      <c r="L159" t="s">
        <v>49</v>
      </c>
      <c r="M159" t="s">
        <v>38</v>
      </c>
      <c r="N159" t="s">
        <v>69</v>
      </c>
      <c r="O159">
        <v>374</v>
      </c>
      <c r="P159">
        <v>1000</v>
      </c>
      <c r="Q159">
        <v>652</v>
      </c>
      <c r="R159">
        <v>1.3</v>
      </c>
      <c r="S159" t="s">
        <v>40</v>
      </c>
      <c r="T159" t="s">
        <v>31</v>
      </c>
      <c r="U159" t="s">
        <v>74</v>
      </c>
      <c r="V159" t="s">
        <v>53</v>
      </c>
      <c r="W159">
        <v>16059</v>
      </c>
      <c r="X159" s="6" t="str">
        <f t="shared" si="22"/>
        <v>LOW</v>
      </c>
      <c r="Y159" s="8" t="str">
        <f t="shared" si="23"/>
        <v>Movie</v>
      </c>
      <c r="Z159" s="10" t="str">
        <f t="shared" si="24"/>
        <v>Nature</v>
      </c>
      <c r="AA159" s="8" t="str">
        <f t="shared" si="25"/>
        <v>NO</v>
      </c>
      <c r="AB159" s="6" t="str">
        <f t="shared" si="26"/>
        <v>NO</v>
      </c>
    </row>
    <row r="160" spans="1:28" x14ac:dyDescent="0.3">
      <c r="A160">
        <v>160</v>
      </c>
      <c r="B160" t="s">
        <v>54</v>
      </c>
      <c r="C160" t="s">
        <v>75</v>
      </c>
      <c r="D160" s="1">
        <v>45528</v>
      </c>
      <c r="E160" s="2">
        <v>0.28472222222222221</v>
      </c>
      <c r="F160" t="s">
        <v>36</v>
      </c>
      <c r="G160">
        <v>104</v>
      </c>
      <c r="H160">
        <v>13095</v>
      </c>
      <c r="I160">
        <v>77</v>
      </c>
      <c r="J160" s="2">
        <v>0.67569444444444449</v>
      </c>
      <c r="K160" t="s">
        <v>62</v>
      </c>
      <c r="L160" t="s">
        <v>49</v>
      </c>
      <c r="M160" t="s">
        <v>28</v>
      </c>
      <c r="N160" t="s">
        <v>71</v>
      </c>
      <c r="O160">
        <v>118</v>
      </c>
      <c r="P160">
        <v>527</v>
      </c>
      <c r="Q160">
        <v>360</v>
      </c>
      <c r="R160">
        <v>4.0999999999999996</v>
      </c>
      <c r="S160" t="s">
        <v>40</v>
      </c>
      <c r="T160" t="s">
        <v>31</v>
      </c>
      <c r="U160" t="s">
        <v>41</v>
      </c>
      <c r="V160" t="s">
        <v>33</v>
      </c>
      <c r="W160">
        <v>4011</v>
      </c>
      <c r="X160" s="6" t="str">
        <f t="shared" si="22"/>
        <v>LOW</v>
      </c>
      <c r="Y160" s="8" t="str">
        <f t="shared" si="23"/>
        <v>Documentary</v>
      </c>
      <c r="Z160" s="10" t="str">
        <f t="shared" si="24"/>
        <v>Nature</v>
      </c>
      <c r="AA160" s="8" t="str">
        <f t="shared" si="25"/>
        <v>NO</v>
      </c>
      <c r="AB160" s="6" t="str">
        <f t="shared" si="26"/>
        <v>YES</v>
      </c>
    </row>
    <row r="161" spans="1:28" x14ac:dyDescent="0.3">
      <c r="A161">
        <v>161</v>
      </c>
      <c r="B161" t="s">
        <v>34</v>
      </c>
      <c r="C161" t="s">
        <v>64</v>
      </c>
      <c r="D161" s="1">
        <v>45547</v>
      </c>
      <c r="E161" s="2">
        <v>0.33750000000000002</v>
      </c>
      <c r="F161" t="s">
        <v>68</v>
      </c>
      <c r="G161">
        <v>497</v>
      </c>
      <c r="H161">
        <v>13550</v>
      </c>
      <c r="I161">
        <v>117</v>
      </c>
      <c r="J161" s="2">
        <v>0.34166666666666667</v>
      </c>
      <c r="K161" t="s">
        <v>26</v>
      </c>
      <c r="L161" t="s">
        <v>37</v>
      </c>
      <c r="M161" t="s">
        <v>38</v>
      </c>
      <c r="N161" t="s">
        <v>59</v>
      </c>
      <c r="O161">
        <v>1499</v>
      </c>
      <c r="P161">
        <v>1267</v>
      </c>
      <c r="Q161">
        <v>837</v>
      </c>
      <c r="R161">
        <v>3</v>
      </c>
      <c r="S161" t="s">
        <v>60</v>
      </c>
      <c r="T161" t="s">
        <v>63</v>
      </c>
      <c r="U161" t="s">
        <v>32</v>
      </c>
      <c r="V161" t="s">
        <v>53</v>
      </c>
      <c r="W161">
        <v>4388</v>
      </c>
      <c r="X161" s="6" t="str">
        <f t="shared" si="22"/>
        <v>LOW</v>
      </c>
      <c r="Y161" s="8" t="str">
        <f t="shared" si="23"/>
        <v>Series</v>
      </c>
      <c r="Z161" s="10" t="str">
        <f t="shared" si="24"/>
        <v>Drama</v>
      </c>
      <c r="AA161" s="8" t="str">
        <f t="shared" si="25"/>
        <v>NO</v>
      </c>
      <c r="AB161" s="6" t="str">
        <f t="shared" si="26"/>
        <v>YES</v>
      </c>
    </row>
    <row r="162" spans="1:28" x14ac:dyDescent="0.3">
      <c r="A162">
        <v>162</v>
      </c>
      <c r="B162" t="s">
        <v>54</v>
      </c>
      <c r="C162" t="s">
        <v>64</v>
      </c>
      <c r="D162" s="1">
        <v>45537</v>
      </c>
      <c r="E162" s="2">
        <v>0.43611111111111112</v>
      </c>
      <c r="F162" t="s">
        <v>25</v>
      </c>
      <c r="G162">
        <v>115</v>
      </c>
      <c r="H162">
        <v>69302</v>
      </c>
      <c r="I162">
        <v>58</v>
      </c>
      <c r="J162" s="2">
        <v>5.4166666666666669E-2</v>
      </c>
      <c r="K162" t="s">
        <v>36</v>
      </c>
      <c r="L162" t="s">
        <v>37</v>
      </c>
      <c r="M162" t="s">
        <v>38</v>
      </c>
      <c r="N162" t="s">
        <v>59</v>
      </c>
      <c r="O162">
        <v>674</v>
      </c>
      <c r="P162">
        <v>1057</v>
      </c>
      <c r="Q162">
        <v>1194</v>
      </c>
      <c r="R162">
        <v>1.1000000000000001</v>
      </c>
      <c r="S162" t="s">
        <v>60</v>
      </c>
      <c r="T162" t="s">
        <v>31</v>
      </c>
      <c r="U162" t="s">
        <v>41</v>
      </c>
      <c r="V162" t="s">
        <v>58</v>
      </c>
      <c r="W162">
        <v>19823</v>
      </c>
      <c r="X162" s="6" t="str">
        <f t="shared" ref="X162" si="30">IF(H162&gt;15000,"HIGH",IF(H162&gt;80000,"MEDIUM","LOW"))</f>
        <v>HIGH</v>
      </c>
      <c r="Y162" s="8" t="str">
        <f t="shared" si="23"/>
        <v>Documentary</v>
      </c>
      <c r="Z162" s="10" t="str">
        <f t="shared" si="24"/>
        <v>Drama</v>
      </c>
      <c r="AA162" s="8" t="str">
        <f t="shared" si="25"/>
        <v>NO</v>
      </c>
      <c r="AB162" s="6" t="str">
        <f t="shared" si="26"/>
        <v>NO</v>
      </c>
    </row>
    <row r="163" spans="1:28" x14ac:dyDescent="0.3">
      <c r="A163">
        <v>163</v>
      </c>
      <c r="B163" t="s">
        <v>54</v>
      </c>
      <c r="C163" t="s">
        <v>55</v>
      </c>
      <c r="D163" s="1">
        <v>45543</v>
      </c>
      <c r="E163" s="2">
        <v>0.11874999999999999</v>
      </c>
      <c r="F163" t="s">
        <v>68</v>
      </c>
      <c r="G163">
        <v>88</v>
      </c>
      <c r="H163">
        <v>5903</v>
      </c>
      <c r="I163">
        <v>53</v>
      </c>
      <c r="J163" s="2">
        <v>0.59236111111111112</v>
      </c>
      <c r="K163" t="s">
        <v>44</v>
      </c>
      <c r="L163" t="s">
        <v>49</v>
      </c>
      <c r="M163" t="s">
        <v>38</v>
      </c>
      <c r="N163" t="s">
        <v>50</v>
      </c>
      <c r="O163">
        <v>756</v>
      </c>
      <c r="P163">
        <v>748</v>
      </c>
      <c r="Q163">
        <v>241</v>
      </c>
      <c r="R163">
        <v>2</v>
      </c>
      <c r="S163" t="s">
        <v>60</v>
      </c>
      <c r="T163" t="s">
        <v>31</v>
      </c>
      <c r="U163" t="s">
        <v>70</v>
      </c>
      <c r="V163" t="s">
        <v>53</v>
      </c>
      <c r="W163">
        <v>5842</v>
      </c>
      <c r="X163" s="6" t="str">
        <f t="shared" si="22"/>
        <v>LOW</v>
      </c>
      <c r="Y163" s="8" t="str">
        <f t="shared" si="23"/>
        <v>Documentary</v>
      </c>
      <c r="Z163" s="10" t="str">
        <f t="shared" si="24"/>
        <v>Fantasy</v>
      </c>
      <c r="AA163" s="8" t="str">
        <f t="shared" si="25"/>
        <v>NO</v>
      </c>
      <c r="AB163" s="6" t="str">
        <f t="shared" si="26"/>
        <v>NO</v>
      </c>
    </row>
    <row r="164" spans="1:28" x14ac:dyDescent="0.3">
      <c r="A164">
        <v>164</v>
      </c>
      <c r="B164" t="s">
        <v>23</v>
      </c>
      <c r="C164" t="s">
        <v>61</v>
      </c>
      <c r="D164" s="1">
        <v>45485</v>
      </c>
      <c r="E164" s="2">
        <v>0.84513888888888888</v>
      </c>
      <c r="F164" t="s">
        <v>62</v>
      </c>
      <c r="G164">
        <v>98</v>
      </c>
      <c r="H164">
        <v>4915</v>
      </c>
      <c r="I164">
        <v>41</v>
      </c>
      <c r="J164" s="2">
        <v>0.92986111111111114</v>
      </c>
      <c r="K164" t="s">
        <v>26</v>
      </c>
      <c r="L164" t="s">
        <v>27</v>
      </c>
      <c r="M164" t="s">
        <v>28</v>
      </c>
      <c r="N164" t="s">
        <v>69</v>
      </c>
      <c r="O164">
        <v>817</v>
      </c>
      <c r="P164">
        <v>321</v>
      </c>
      <c r="Q164">
        <v>211</v>
      </c>
      <c r="R164">
        <v>4.4000000000000004</v>
      </c>
      <c r="S164" t="s">
        <v>60</v>
      </c>
      <c r="T164" t="s">
        <v>63</v>
      </c>
      <c r="U164" t="s">
        <v>70</v>
      </c>
      <c r="V164" t="s">
        <v>58</v>
      </c>
      <c r="W164">
        <v>14327</v>
      </c>
      <c r="X164" s="6" t="str">
        <f t="shared" si="22"/>
        <v>LOW</v>
      </c>
      <c r="Y164" s="8" t="str">
        <f t="shared" si="23"/>
        <v>Movie</v>
      </c>
      <c r="Z164" s="10" t="str">
        <f t="shared" si="24"/>
        <v>History</v>
      </c>
      <c r="AA164" s="8" t="str">
        <f t="shared" si="25"/>
        <v>NO</v>
      </c>
      <c r="AB164" s="6" t="str">
        <f t="shared" si="26"/>
        <v>YES</v>
      </c>
    </row>
    <row r="165" spans="1:28" x14ac:dyDescent="0.3">
      <c r="A165">
        <v>165</v>
      </c>
      <c r="B165" t="s">
        <v>34</v>
      </c>
      <c r="C165" t="s">
        <v>24</v>
      </c>
      <c r="D165" s="1">
        <v>45530</v>
      </c>
      <c r="E165" s="2">
        <v>0.23333333333333334</v>
      </c>
      <c r="F165" t="s">
        <v>73</v>
      </c>
      <c r="G165">
        <v>1116</v>
      </c>
      <c r="H165">
        <v>68944</v>
      </c>
      <c r="I165">
        <v>133</v>
      </c>
      <c r="J165" s="2">
        <v>0.34652777777777777</v>
      </c>
      <c r="K165" t="s">
        <v>36</v>
      </c>
      <c r="L165" t="s">
        <v>56</v>
      </c>
      <c r="M165" t="s">
        <v>28</v>
      </c>
      <c r="N165" t="s">
        <v>69</v>
      </c>
      <c r="O165">
        <v>2764</v>
      </c>
      <c r="P165">
        <v>341</v>
      </c>
      <c r="Q165">
        <v>236</v>
      </c>
      <c r="R165">
        <v>1.4</v>
      </c>
      <c r="S165" t="s">
        <v>51</v>
      </c>
      <c r="T165" t="s">
        <v>63</v>
      </c>
      <c r="U165" t="s">
        <v>57</v>
      </c>
      <c r="V165" t="s">
        <v>67</v>
      </c>
      <c r="W165">
        <v>36</v>
      </c>
      <c r="X165" s="6" t="str">
        <f t="shared" si="22"/>
        <v>LOW</v>
      </c>
      <c r="Y165" s="8" t="str">
        <f t="shared" si="23"/>
        <v>Series</v>
      </c>
      <c r="Z165" s="10" t="str">
        <f t="shared" si="24"/>
        <v>Thriller</v>
      </c>
      <c r="AA165" s="8" t="str">
        <f t="shared" si="25"/>
        <v>NO</v>
      </c>
      <c r="AB165" s="6" t="str">
        <f t="shared" si="26"/>
        <v>NO</v>
      </c>
    </row>
    <row r="166" spans="1:28" x14ac:dyDescent="0.3">
      <c r="A166">
        <v>166</v>
      </c>
      <c r="B166" t="s">
        <v>54</v>
      </c>
      <c r="C166" t="s">
        <v>61</v>
      </c>
      <c r="D166" s="1">
        <v>45515</v>
      </c>
      <c r="E166" s="2">
        <v>0.90902777777777777</v>
      </c>
      <c r="F166" t="s">
        <v>26</v>
      </c>
      <c r="G166">
        <v>120</v>
      </c>
      <c r="H166">
        <v>76865</v>
      </c>
      <c r="I166">
        <v>38</v>
      </c>
      <c r="J166" s="2">
        <v>4.8611111111111112E-3</v>
      </c>
      <c r="K166" t="s">
        <v>36</v>
      </c>
      <c r="L166" t="s">
        <v>56</v>
      </c>
      <c r="M166" t="s">
        <v>28</v>
      </c>
      <c r="N166" t="s">
        <v>39</v>
      </c>
      <c r="O166">
        <v>1036</v>
      </c>
      <c r="P166">
        <v>1673</v>
      </c>
      <c r="Q166">
        <v>1441</v>
      </c>
      <c r="R166">
        <v>2</v>
      </c>
      <c r="S166" t="s">
        <v>51</v>
      </c>
      <c r="T166" t="s">
        <v>45</v>
      </c>
      <c r="U166" t="s">
        <v>46</v>
      </c>
      <c r="V166" t="s">
        <v>42</v>
      </c>
      <c r="W166">
        <v>5966</v>
      </c>
      <c r="X166" s="6" t="str">
        <f t="shared" si="22"/>
        <v>LOW</v>
      </c>
      <c r="Y166" s="8" t="str">
        <f t="shared" si="23"/>
        <v>Documentary</v>
      </c>
      <c r="Z166" s="10" t="str">
        <f t="shared" si="24"/>
        <v>History</v>
      </c>
      <c r="AA166" s="8" t="str">
        <f t="shared" si="25"/>
        <v>NO</v>
      </c>
      <c r="AB166" s="6" t="str">
        <f t="shared" si="26"/>
        <v>NO</v>
      </c>
    </row>
    <row r="167" spans="1:28" x14ac:dyDescent="0.3">
      <c r="A167">
        <v>167</v>
      </c>
      <c r="B167" t="s">
        <v>23</v>
      </c>
      <c r="C167" t="s">
        <v>48</v>
      </c>
      <c r="D167" s="1">
        <v>45523</v>
      </c>
      <c r="E167" s="2">
        <v>0.42708333333333331</v>
      </c>
      <c r="F167" t="s">
        <v>73</v>
      </c>
      <c r="G167">
        <v>90</v>
      </c>
      <c r="H167">
        <v>77643</v>
      </c>
      <c r="I167">
        <v>39</v>
      </c>
      <c r="J167" s="2">
        <v>0.16041666666666668</v>
      </c>
      <c r="K167" t="s">
        <v>44</v>
      </c>
      <c r="L167" t="s">
        <v>56</v>
      </c>
      <c r="M167" t="s">
        <v>28</v>
      </c>
      <c r="N167" t="s">
        <v>50</v>
      </c>
      <c r="O167">
        <v>1810</v>
      </c>
      <c r="P167">
        <v>977</v>
      </c>
      <c r="Q167">
        <v>1471</v>
      </c>
      <c r="R167">
        <v>1.4</v>
      </c>
      <c r="S167" t="s">
        <v>40</v>
      </c>
      <c r="T167" t="s">
        <v>63</v>
      </c>
      <c r="U167" t="s">
        <v>74</v>
      </c>
      <c r="V167" t="s">
        <v>67</v>
      </c>
      <c r="W167">
        <v>11815</v>
      </c>
      <c r="X167" s="6" t="str">
        <f t="shared" si="22"/>
        <v>LOW</v>
      </c>
      <c r="Y167" s="8" t="str">
        <f t="shared" si="23"/>
        <v>Movie</v>
      </c>
      <c r="Z167" s="10" t="str">
        <f t="shared" si="24"/>
        <v>Romance</v>
      </c>
      <c r="AA167" s="8" t="str">
        <f t="shared" si="25"/>
        <v>NO</v>
      </c>
      <c r="AB167" s="6" t="str">
        <f t="shared" si="26"/>
        <v>NO</v>
      </c>
    </row>
    <row r="168" spans="1:28" x14ac:dyDescent="0.3">
      <c r="A168">
        <v>168</v>
      </c>
      <c r="B168" t="s">
        <v>54</v>
      </c>
      <c r="C168" t="s">
        <v>64</v>
      </c>
      <c r="D168" s="1">
        <v>45514</v>
      </c>
      <c r="E168" s="2">
        <v>0.6430555555555556</v>
      </c>
      <c r="F168" t="s">
        <v>73</v>
      </c>
      <c r="G168">
        <v>105</v>
      </c>
      <c r="H168">
        <v>47246</v>
      </c>
      <c r="I168">
        <v>46</v>
      </c>
      <c r="J168" s="2">
        <v>0.79305555555555551</v>
      </c>
      <c r="K168" t="s">
        <v>62</v>
      </c>
      <c r="L168" t="s">
        <v>56</v>
      </c>
      <c r="M168" t="s">
        <v>38</v>
      </c>
      <c r="N168" t="s">
        <v>50</v>
      </c>
      <c r="O168">
        <v>2337</v>
      </c>
      <c r="P168">
        <v>1570</v>
      </c>
      <c r="Q168">
        <v>900</v>
      </c>
      <c r="R168">
        <v>3</v>
      </c>
      <c r="S168" t="s">
        <v>60</v>
      </c>
      <c r="T168" t="s">
        <v>31</v>
      </c>
      <c r="U168" t="s">
        <v>57</v>
      </c>
      <c r="V168" t="s">
        <v>53</v>
      </c>
      <c r="W168">
        <v>6799</v>
      </c>
      <c r="X168" s="6" t="str">
        <f t="shared" si="22"/>
        <v>LOW</v>
      </c>
      <c r="Y168" s="8" t="str">
        <f t="shared" si="23"/>
        <v>Documentary</v>
      </c>
      <c r="Z168" s="10" t="str">
        <f t="shared" si="24"/>
        <v>Drama</v>
      </c>
      <c r="AA168" s="8" t="str">
        <f t="shared" si="25"/>
        <v>NO</v>
      </c>
      <c r="AB168" s="6" t="str">
        <f t="shared" si="26"/>
        <v>YES</v>
      </c>
    </row>
    <row r="169" spans="1:28" x14ac:dyDescent="0.3">
      <c r="A169">
        <v>169</v>
      </c>
      <c r="B169" t="s">
        <v>34</v>
      </c>
      <c r="C169" t="s">
        <v>55</v>
      </c>
      <c r="D169" s="1">
        <v>45495</v>
      </c>
      <c r="E169" s="2">
        <v>0.60069444444444442</v>
      </c>
      <c r="F169" t="s">
        <v>26</v>
      </c>
      <c r="G169">
        <v>485</v>
      </c>
      <c r="H169">
        <v>30903</v>
      </c>
      <c r="I169">
        <v>94</v>
      </c>
      <c r="J169" s="2">
        <v>0.12569444444444444</v>
      </c>
      <c r="K169" t="s">
        <v>26</v>
      </c>
      <c r="L169" t="s">
        <v>37</v>
      </c>
      <c r="M169" t="s">
        <v>38</v>
      </c>
      <c r="N169" t="s">
        <v>76</v>
      </c>
      <c r="O169">
        <v>1785</v>
      </c>
      <c r="P169">
        <v>238</v>
      </c>
      <c r="Q169">
        <v>107</v>
      </c>
      <c r="R169">
        <v>4.4000000000000004</v>
      </c>
      <c r="S169" t="s">
        <v>60</v>
      </c>
      <c r="T169" t="s">
        <v>31</v>
      </c>
      <c r="U169" t="s">
        <v>70</v>
      </c>
      <c r="V169" t="s">
        <v>53</v>
      </c>
      <c r="W169">
        <v>8971</v>
      </c>
      <c r="X169" s="6" t="str">
        <f t="shared" si="22"/>
        <v>LOW</v>
      </c>
      <c r="Y169" s="8" t="str">
        <f t="shared" si="23"/>
        <v>Series</v>
      </c>
      <c r="Z169" s="10" t="str">
        <f t="shared" si="24"/>
        <v>Fantasy</v>
      </c>
      <c r="AA169" s="8" t="str">
        <f t="shared" si="25"/>
        <v>NO</v>
      </c>
      <c r="AB169" s="6" t="str">
        <f t="shared" si="26"/>
        <v>YES</v>
      </c>
    </row>
    <row r="170" spans="1:28" x14ac:dyDescent="0.3">
      <c r="A170">
        <v>170</v>
      </c>
      <c r="B170" t="s">
        <v>54</v>
      </c>
      <c r="C170" t="s">
        <v>72</v>
      </c>
      <c r="D170" s="1">
        <v>45528</v>
      </c>
      <c r="E170" s="2">
        <v>0.73611111111111116</v>
      </c>
      <c r="F170" t="s">
        <v>26</v>
      </c>
      <c r="G170">
        <v>102</v>
      </c>
      <c r="H170">
        <v>55117</v>
      </c>
      <c r="I170">
        <v>30</v>
      </c>
      <c r="J170" s="2">
        <v>0.89861111111111114</v>
      </c>
      <c r="K170" t="s">
        <v>36</v>
      </c>
      <c r="L170" t="s">
        <v>56</v>
      </c>
      <c r="M170" t="s">
        <v>28</v>
      </c>
      <c r="N170" t="s">
        <v>76</v>
      </c>
      <c r="O170">
        <v>1944</v>
      </c>
      <c r="P170">
        <v>1512</v>
      </c>
      <c r="Q170">
        <v>1341</v>
      </c>
      <c r="R170">
        <v>3.3</v>
      </c>
      <c r="S170" t="s">
        <v>30</v>
      </c>
      <c r="T170" t="s">
        <v>63</v>
      </c>
      <c r="U170" t="s">
        <v>57</v>
      </c>
      <c r="V170" t="s">
        <v>58</v>
      </c>
      <c r="W170">
        <v>16886</v>
      </c>
      <c r="X170" s="6" t="str">
        <f t="shared" si="22"/>
        <v>LOW</v>
      </c>
      <c r="Y170" s="8" t="str">
        <f t="shared" si="23"/>
        <v>Documentary</v>
      </c>
      <c r="Z170" s="10" t="str">
        <f t="shared" si="24"/>
        <v>Action</v>
      </c>
      <c r="AA170" s="8" t="str">
        <f t="shared" si="25"/>
        <v>NO</v>
      </c>
      <c r="AB170" s="6" t="str">
        <f t="shared" si="26"/>
        <v>YES</v>
      </c>
    </row>
    <row r="171" spans="1:28" x14ac:dyDescent="0.3">
      <c r="A171">
        <v>171</v>
      </c>
      <c r="B171" t="s">
        <v>23</v>
      </c>
      <c r="C171" t="s">
        <v>55</v>
      </c>
      <c r="D171" s="1">
        <v>45528</v>
      </c>
      <c r="E171" s="2">
        <v>0.52013888888888893</v>
      </c>
      <c r="F171" t="s">
        <v>62</v>
      </c>
      <c r="G171">
        <v>127</v>
      </c>
      <c r="H171">
        <v>63037</v>
      </c>
      <c r="I171">
        <v>65</v>
      </c>
      <c r="J171" s="2">
        <v>0.10347222222222222</v>
      </c>
      <c r="K171" t="s">
        <v>44</v>
      </c>
      <c r="L171" t="s">
        <v>27</v>
      </c>
      <c r="M171" t="s">
        <v>38</v>
      </c>
      <c r="N171" t="s">
        <v>69</v>
      </c>
      <c r="O171">
        <v>1889</v>
      </c>
      <c r="P171">
        <v>656</v>
      </c>
      <c r="Q171">
        <v>95</v>
      </c>
      <c r="R171">
        <v>4.5999999999999996</v>
      </c>
      <c r="S171" t="s">
        <v>30</v>
      </c>
      <c r="T171" t="s">
        <v>31</v>
      </c>
      <c r="U171" t="s">
        <v>32</v>
      </c>
      <c r="V171" t="s">
        <v>33</v>
      </c>
      <c r="W171">
        <v>16743</v>
      </c>
      <c r="X171" s="6" t="str">
        <f t="shared" si="22"/>
        <v>LOW</v>
      </c>
      <c r="Y171" s="8" t="str">
        <f t="shared" si="23"/>
        <v>Movie</v>
      </c>
      <c r="Z171" s="10" t="str">
        <f t="shared" si="24"/>
        <v>Fantasy</v>
      </c>
      <c r="AA171" s="8" t="str">
        <f t="shared" si="25"/>
        <v>NO</v>
      </c>
      <c r="AB171" s="6" t="str">
        <f t="shared" si="26"/>
        <v>YES</v>
      </c>
    </row>
    <row r="172" spans="1:28" x14ac:dyDescent="0.3">
      <c r="A172">
        <v>172</v>
      </c>
      <c r="B172" t="s">
        <v>54</v>
      </c>
      <c r="C172" t="s">
        <v>61</v>
      </c>
      <c r="D172" s="1">
        <v>45519</v>
      </c>
      <c r="E172" s="2">
        <v>0.25486111111111109</v>
      </c>
      <c r="F172" t="s">
        <v>62</v>
      </c>
      <c r="G172">
        <v>62</v>
      </c>
      <c r="H172">
        <v>67777</v>
      </c>
      <c r="I172">
        <v>36</v>
      </c>
      <c r="J172" s="2">
        <v>8.7499999999999994E-2</v>
      </c>
      <c r="K172" t="s">
        <v>26</v>
      </c>
      <c r="L172" t="s">
        <v>37</v>
      </c>
      <c r="M172" t="s">
        <v>28</v>
      </c>
      <c r="N172" t="s">
        <v>39</v>
      </c>
      <c r="O172">
        <v>1974</v>
      </c>
      <c r="P172">
        <v>1265</v>
      </c>
      <c r="Q172">
        <v>330</v>
      </c>
      <c r="R172">
        <v>4.2</v>
      </c>
      <c r="S172" t="s">
        <v>51</v>
      </c>
      <c r="T172" t="s">
        <v>63</v>
      </c>
      <c r="U172" t="s">
        <v>57</v>
      </c>
      <c r="V172" t="s">
        <v>42</v>
      </c>
      <c r="W172">
        <v>2774</v>
      </c>
      <c r="X172" s="6" t="str">
        <f t="shared" ref="X172" si="31">IF(H172&gt;15000,"HIGH",IF(H172&gt;80000,"MEDIUM","LOW"))</f>
        <v>HIGH</v>
      </c>
      <c r="Y172" s="8" t="str">
        <f t="shared" si="23"/>
        <v>Documentary</v>
      </c>
      <c r="Z172" s="10" t="str">
        <f t="shared" si="24"/>
        <v>History</v>
      </c>
      <c r="AA172" s="8" t="str">
        <f t="shared" si="25"/>
        <v>NO</v>
      </c>
      <c r="AB172" s="6" t="str">
        <f t="shared" si="26"/>
        <v>YES</v>
      </c>
    </row>
    <row r="173" spans="1:28" x14ac:dyDescent="0.3">
      <c r="A173">
        <v>173</v>
      </c>
      <c r="B173" t="s">
        <v>54</v>
      </c>
      <c r="C173" t="s">
        <v>48</v>
      </c>
      <c r="D173" s="1">
        <v>45500</v>
      </c>
      <c r="E173" s="2">
        <v>0.92013888888888884</v>
      </c>
      <c r="F173" t="s">
        <v>36</v>
      </c>
      <c r="G173">
        <v>120</v>
      </c>
      <c r="H173">
        <v>90961</v>
      </c>
      <c r="I173">
        <v>61</v>
      </c>
      <c r="J173" s="2">
        <v>0.62777777777777777</v>
      </c>
      <c r="K173" t="s">
        <v>36</v>
      </c>
      <c r="L173" t="s">
        <v>49</v>
      </c>
      <c r="M173" t="s">
        <v>38</v>
      </c>
      <c r="N173" t="s">
        <v>65</v>
      </c>
      <c r="O173">
        <v>1028</v>
      </c>
      <c r="P173">
        <v>1608</v>
      </c>
      <c r="Q173">
        <v>1131</v>
      </c>
      <c r="R173">
        <v>1</v>
      </c>
      <c r="S173" t="s">
        <v>60</v>
      </c>
      <c r="T173" t="s">
        <v>31</v>
      </c>
      <c r="U173" t="s">
        <v>32</v>
      </c>
      <c r="V173" t="s">
        <v>58</v>
      </c>
      <c r="W173">
        <v>3319</v>
      </c>
      <c r="X173" s="6" t="str">
        <f t="shared" si="22"/>
        <v>LOW</v>
      </c>
      <c r="Y173" s="8" t="str">
        <f t="shared" si="23"/>
        <v>Documentary</v>
      </c>
      <c r="Z173" s="10" t="str">
        <f t="shared" si="24"/>
        <v>Romance</v>
      </c>
      <c r="AA173" s="8" t="str">
        <f t="shared" si="25"/>
        <v>NO</v>
      </c>
      <c r="AB173" s="6" t="str">
        <f t="shared" si="26"/>
        <v>NO</v>
      </c>
    </row>
    <row r="174" spans="1:28" x14ac:dyDescent="0.3">
      <c r="A174">
        <v>174</v>
      </c>
      <c r="B174" t="s">
        <v>23</v>
      </c>
      <c r="C174" t="s">
        <v>72</v>
      </c>
      <c r="D174" s="1">
        <v>45500</v>
      </c>
      <c r="E174" s="2">
        <v>0.22916666666666666</v>
      </c>
      <c r="F174" t="s">
        <v>25</v>
      </c>
      <c r="G174">
        <v>173</v>
      </c>
      <c r="H174">
        <v>6476</v>
      </c>
      <c r="I174">
        <v>78</v>
      </c>
      <c r="J174" s="2">
        <v>6.5277777777777782E-2</v>
      </c>
      <c r="K174" t="s">
        <v>44</v>
      </c>
      <c r="L174" t="s">
        <v>37</v>
      </c>
      <c r="M174" t="s">
        <v>38</v>
      </c>
      <c r="N174" t="s">
        <v>29</v>
      </c>
      <c r="O174">
        <v>1169</v>
      </c>
      <c r="P174">
        <v>1619</v>
      </c>
      <c r="Q174">
        <v>107</v>
      </c>
      <c r="R174">
        <v>3.2</v>
      </c>
      <c r="S174" t="s">
        <v>30</v>
      </c>
      <c r="T174" t="s">
        <v>45</v>
      </c>
      <c r="U174" t="s">
        <v>41</v>
      </c>
      <c r="V174" t="s">
        <v>33</v>
      </c>
      <c r="W174">
        <v>11472</v>
      </c>
      <c r="X174" s="6" t="str">
        <f t="shared" si="22"/>
        <v>LOW</v>
      </c>
      <c r="Y174" s="8" t="str">
        <f t="shared" si="23"/>
        <v>Movie</v>
      </c>
      <c r="Z174" s="10" t="str">
        <f t="shared" si="24"/>
        <v>Action</v>
      </c>
      <c r="AA174" s="8" t="str">
        <f t="shared" si="25"/>
        <v>NO</v>
      </c>
      <c r="AB174" s="6" t="str">
        <f t="shared" si="26"/>
        <v>YES</v>
      </c>
    </row>
    <row r="175" spans="1:28" x14ac:dyDescent="0.3">
      <c r="A175">
        <v>175</v>
      </c>
      <c r="B175" t="s">
        <v>34</v>
      </c>
      <c r="C175" t="s">
        <v>35</v>
      </c>
      <c r="D175" s="1">
        <v>45489</v>
      </c>
      <c r="E175" s="2">
        <v>5.6944444444444443E-2</v>
      </c>
      <c r="F175" t="s">
        <v>26</v>
      </c>
      <c r="G175">
        <v>1155</v>
      </c>
      <c r="H175">
        <v>97319</v>
      </c>
      <c r="I175">
        <v>46</v>
      </c>
      <c r="J175" s="2">
        <v>0.12291666666666666</v>
      </c>
      <c r="K175" t="s">
        <v>26</v>
      </c>
      <c r="L175" t="s">
        <v>37</v>
      </c>
      <c r="M175" t="s">
        <v>28</v>
      </c>
      <c r="N175" t="s">
        <v>76</v>
      </c>
      <c r="O175">
        <v>519</v>
      </c>
      <c r="P175">
        <v>860</v>
      </c>
      <c r="Q175">
        <v>80</v>
      </c>
      <c r="R175">
        <v>1</v>
      </c>
      <c r="S175" t="s">
        <v>40</v>
      </c>
      <c r="T175" t="s">
        <v>31</v>
      </c>
      <c r="U175" t="s">
        <v>74</v>
      </c>
      <c r="V175" t="s">
        <v>47</v>
      </c>
      <c r="W175">
        <v>8569</v>
      </c>
      <c r="X175" s="6" t="str">
        <f t="shared" si="22"/>
        <v>LOW</v>
      </c>
      <c r="Y175" s="8" t="str">
        <f t="shared" si="23"/>
        <v>Series</v>
      </c>
      <c r="Z175" s="10" t="str">
        <f t="shared" si="24"/>
        <v>Comedy</v>
      </c>
      <c r="AA175" s="8" t="str">
        <f t="shared" si="25"/>
        <v>NO</v>
      </c>
      <c r="AB175" s="6" t="str">
        <f t="shared" si="26"/>
        <v>NO</v>
      </c>
    </row>
    <row r="176" spans="1:28" x14ac:dyDescent="0.3">
      <c r="A176">
        <v>176</v>
      </c>
      <c r="B176" t="s">
        <v>23</v>
      </c>
      <c r="C176" t="s">
        <v>55</v>
      </c>
      <c r="D176" s="1">
        <v>45532</v>
      </c>
      <c r="E176" s="2">
        <v>8.3333333333333329E-2</v>
      </c>
      <c r="F176" t="s">
        <v>73</v>
      </c>
      <c r="G176">
        <v>133</v>
      </c>
      <c r="H176">
        <v>95714</v>
      </c>
      <c r="I176">
        <v>66</v>
      </c>
      <c r="J176" s="2">
        <v>0.8833333333333333</v>
      </c>
      <c r="K176" t="s">
        <v>36</v>
      </c>
      <c r="L176" t="s">
        <v>56</v>
      </c>
      <c r="M176" t="s">
        <v>38</v>
      </c>
      <c r="N176" t="s">
        <v>65</v>
      </c>
      <c r="O176">
        <v>2592</v>
      </c>
      <c r="P176">
        <v>111</v>
      </c>
      <c r="Q176">
        <v>92</v>
      </c>
      <c r="R176">
        <v>3.5</v>
      </c>
      <c r="S176" t="s">
        <v>51</v>
      </c>
      <c r="T176" t="s">
        <v>45</v>
      </c>
      <c r="U176" t="s">
        <v>46</v>
      </c>
      <c r="V176" t="s">
        <v>47</v>
      </c>
      <c r="W176">
        <v>9403</v>
      </c>
      <c r="X176" s="6" t="str">
        <f t="shared" si="22"/>
        <v>LOW</v>
      </c>
      <c r="Y176" s="8" t="str">
        <f t="shared" si="23"/>
        <v>Movie</v>
      </c>
      <c r="Z176" s="10" t="str">
        <f t="shared" si="24"/>
        <v>Fantasy</v>
      </c>
      <c r="AA176" s="8" t="str">
        <f t="shared" si="25"/>
        <v>NO</v>
      </c>
      <c r="AB176" s="6" t="str">
        <f t="shared" si="26"/>
        <v>YES</v>
      </c>
    </row>
    <row r="177" spans="1:28" x14ac:dyDescent="0.3">
      <c r="A177">
        <v>177</v>
      </c>
      <c r="B177" t="s">
        <v>23</v>
      </c>
      <c r="C177" t="s">
        <v>72</v>
      </c>
      <c r="D177" s="1">
        <v>45528</v>
      </c>
      <c r="E177" s="2">
        <v>0.35138888888888886</v>
      </c>
      <c r="F177" t="s">
        <v>68</v>
      </c>
      <c r="G177">
        <v>170</v>
      </c>
      <c r="H177">
        <v>67821</v>
      </c>
      <c r="I177">
        <v>42</v>
      </c>
      <c r="J177" s="2">
        <v>0.16527777777777777</v>
      </c>
      <c r="K177" t="s">
        <v>36</v>
      </c>
      <c r="L177" t="s">
        <v>49</v>
      </c>
      <c r="M177" t="s">
        <v>38</v>
      </c>
      <c r="N177" t="s">
        <v>29</v>
      </c>
      <c r="O177">
        <v>2219</v>
      </c>
      <c r="P177">
        <v>54</v>
      </c>
      <c r="Q177">
        <v>124</v>
      </c>
      <c r="R177">
        <v>3.7</v>
      </c>
      <c r="S177" t="s">
        <v>60</v>
      </c>
      <c r="T177" t="s">
        <v>31</v>
      </c>
      <c r="U177" t="s">
        <v>74</v>
      </c>
      <c r="V177" t="s">
        <v>58</v>
      </c>
      <c r="W177">
        <v>15712</v>
      </c>
      <c r="X177" s="6" t="str">
        <f t="shared" si="22"/>
        <v>LOW</v>
      </c>
      <c r="Y177" s="8" t="str">
        <f t="shared" si="23"/>
        <v>Movie</v>
      </c>
      <c r="Z177" s="10" t="str">
        <f t="shared" si="24"/>
        <v>Action</v>
      </c>
      <c r="AA177" s="8" t="str">
        <f t="shared" si="25"/>
        <v>NO</v>
      </c>
      <c r="AB177" s="6" t="str">
        <f t="shared" si="26"/>
        <v>YES</v>
      </c>
    </row>
    <row r="178" spans="1:28" x14ac:dyDescent="0.3">
      <c r="A178">
        <v>178</v>
      </c>
      <c r="B178" t="s">
        <v>34</v>
      </c>
      <c r="C178" t="s">
        <v>55</v>
      </c>
      <c r="D178" s="1">
        <v>45514</v>
      </c>
      <c r="E178" s="2">
        <v>0.91111111111111109</v>
      </c>
      <c r="F178" t="s">
        <v>68</v>
      </c>
      <c r="G178">
        <v>1144</v>
      </c>
      <c r="H178">
        <v>4795</v>
      </c>
      <c r="I178">
        <v>68</v>
      </c>
      <c r="J178" s="2">
        <v>0.78680555555555554</v>
      </c>
      <c r="K178" t="s">
        <v>44</v>
      </c>
      <c r="L178" t="s">
        <v>49</v>
      </c>
      <c r="M178" t="s">
        <v>28</v>
      </c>
      <c r="N178" t="s">
        <v>50</v>
      </c>
      <c r="O178">
        <v>765</v>
      </c>
      <c r="P178">
        <v>57</v>
      </c>
      <c r="Q178">
        <v>954</v>
      </c>
      <c r="R178">
        <v>3.7</v>
      </c>
      <c r="S178" t="s">
        <v>30</v>
      </c>
      <c r="T178" t="s">
        <v>31</v>
      </c>
      <c r="U178" t="s">
        <v>46</v>
      </c>
      <c r="V178" t="s">
        <v>33</v>
      </c>
      <c r="W178">
        <v>2767</v>
      </c>
      <c r="X178" s="6" t="str">
        <f t="shared" si="22"/>
        <v>LOW</v>
      </c>
      <c r="Y178" s="8" t="str">
        <f t="shared" si="23"/>
        <v>Series</v>
      </c>
      <c r="Z178" s="10" t="str">
        <f t="shared" si="24"/>
        <v>Fantasy</v>
      </c>
      <c r="AA178" s="8" t="str">
        <f t="shared" si="25"/>
        <v>NO</v>
      </c>
      <c r="AB178" s="6" t="str">
        <f t="shared" si="26"/>
        <v>YES</v>
      </c>
    </row>
    <row r="179" spans="1:28" x14ac:dyDescent="0.3">
      <c r="A179">
        <v>179</v>
      </c>
      <c r="B179" t="s">
        <v>54</v>
      </c>
      <c r="C179" t="s">
        <v>48</v>
      </c>
      <c r="D179" s="1">
        <v>45498</v>
      </c>
      <c r="E179" s="2">
        <v>0.11319444444444444</v>
      </c>
      <c r="F179" t="s">
        <v>73</v>
      </c>
      <c r="G179">
        <v>56</v>
      </c>
      <c r="H179">
        <v>87094</v>
      </c>
      <c r="I179">
        <v>31</v>
      </c>
      <c r="J179" s="2">
        <v>0.35972222222222222</v>
      </c>
      <c r="K179" t="s">
        <v>62</v>
      </c>
      <c r="L179" t="s">
        <v>49</v>
      </c>
      <c r="M179" t="s">
        <v>28</v>
      </c>
      <c r="N179" t="s">
        <v>29</v>
      </c>
      <c r="O179">
        <v>1509</v>
      </c>
      <c r="P179">
        <v>479</v>
      </c>
      <c r="Q179">
        <v>336</v>
      </c>
      <c r="R179">
        <v>1.8</v>
      </c>
      <c r="S179" t="s">
        <v>40</v>
      </c>
      <c r="T179" t="s">
        <v>31</v>
      </c>
      <c r="U179" t="s">
        <v>74</v>
      </c>
      <c r="V179" t="s">
        <v>47</v>
      </c>
      <c r="W179">
        <v>8705</v>
      </c>
      <c r="X179" s="6" t="str">
        <f t="shared" si="22"/>
        <v>LOW</v>
      </c>
      <c r="Y179" s="8" t="str">
        <f t="shared" si="23"/>
        <v>Documentary</v>
      </c>
      <c r="Z179" s="10" t="str">
        <f t="shared" si="24"/>
        <v>Romance</v>
      </c>
      <c r="AA179" s="8" t="str">
        <f t="shared" si="25"/>
        <v>NO</v>
      </c>
      <c r="AB179" s="6" t="str">
        <f t="shared" si="26"/>
        <v>NO</v>
      </c>
    </row>
    <row r="180" spans="1:28" x14ac:dyDescent="0.3">
      <c r="A180">
        <v>180</v>
      </c>
      <c r="B180" t="s">
        <v>34</v>
      </c>
      <c r="C180" t="s">
        <v>55</v>
      </c>
      <c r="D180" s="1">
        <v>45509</v>
      </c>
      <c r="E180" s="2">
        <v>0.63749999999999996</v>
      </c>
      <c r="F180" t="s">
        <v>25</v>
      </c>
      <c r="G180">
        <v>358</v>
      </c>
      <c r="H180">
        <v>40974</v>
      </c>
      <c r="I180">
        <v>59</v>
      </c>
      <c r="J180" s="2">
        <v>0.85</v>
      </c>
      <c r="K180" t="s">
        <v>26</v>
      </c>
      <c r="L180" t="s">
        <v>37</v>
      </c>
      <c r="M180" t="s">
        <v>28</v>
      </c>
      <c r="N180" t="s">
        <v>29</v>
      </c>
      <c r="O180">
        <v>289</v>
      </c>
      <c r="P180">
        <v>1141</v>
      </c>
      <c r="Q180">
        <v>185</v>
      </c>
      <c r="R180">
        <v>3</v>
      </c>
      <c r="S180" t="s">
        <v>40</v>
      </c>
      <c r="T180" t="s">
        <v>45</v>
      </c>
      <c r="U180" t="s">
        <v>57</v>
      </c>
      <c r="V180" t="s">
        <v>33</v>
      </c>
      <c r="W180">
        <v>4813</v>
      </c>
      <c r="X180" s="6" t="str">
        <f t="shared" si="22"/>
        <v>LOW</v>
      </c>
      <c r="Y180" s="8" t="str">
        <f t="shared" si="23"/>
        <v>Series</v>
      </c>
      <c r="Z180" s="10" t="str">
        <f t="shared" si="24"/>
        <v>Fantasy</v>
      </c>
      <c r="AA180" s="8" t="str">
        <f t="shared" si="25"/>
        <v>NO</v>
      </c>
      <c r="AB180" s="6" t="str">
        <f t="shared" si="26"/>
        <v>YES</v>
      </c>
    </row>
    <row r="181" spans="1:28" x14ac:dyDescent="0.3">
      <c r="A181">
        <v>181</v>
      </c>
      <c r="B181" t="s">
        <v>23</v>
      </c>
      <c r="C181" t="s">
        <v>72</v>
      </c>
      <c r="D181" s="1">
        <v>45529</v>
      </c>
      <c r="E181" s="2">
        <v>0.92291666666666672</v>
      </c>
      <c r="F181" t="s">
        <v>68</v>
      </c>
      <c r="G181">
        <v>185</v>
      </c>
      <c r="H181">
        <v>58453</v>
      </c>
      <c r="I181">
        <v>101</v>
      </c>
      <c r="J181" s="2">
        <v>0.80069444444444449</v>
      </c>
      <c r="K181" t="s">
        <v>36</v>
      </c>
      <c r="L181" t="s">
        <v>56</v>
      </c>
      <c r="M181" t="s">
        <v>38</v>
      </c>
      <c r="N181" t="s">
        <v>39</v>
      </c>
      <c r="O181">
        <v>1347</v>
      </c>
      <c r="P181">
        <v>1310</v>
      </c>
      <c r="Q181">
        <v>327</v>
      </c>
      <c r="R181">
        <v>4.7</v>
      </c>
      <c r="S181" t="s">
        <v>51</v>
      </c>
      <c r="T181" t="s">
        <v>45</v>
      </c>
      <c r="U181" t="s">
        <v>41</v>
      </c>
      <c r="V181" t="s">
        <v>58</v>
      </c>
      <c r="W181">
        <v>7254</v>
      </c>
      <c r="X181" s="6" t="str">
        <f t="shared" si="22"/>
        <v>LOW</v>
      </c>
      <c r="Y181" s="8" t="str">
        <f t="shared" si="23"/>
        <v>Movie</v>
      </c>
      <c r="Z181" s="10" t="str">
        <f t="shared" si="24"/>
        <v>Action</v>
      </c>
      <c r="AA181" s="8" t="str">
        <f t="shared" si="25"/>
        <v>NO</v>
      </c>
      <c r="AB181" s="6" t="str">
        <f t="shared" si="26"/>
        <v>YES</v>
      </c>
    </row>
    <row r="182" spans="1:28" x14ac:dyDescent="0.3">
      <c r="A182">
        <v>182</v>
      </c>
      <c r="B182" t="s">
        <v>23</v>
      </c>
      <c r="C182" t="s">
        <v>72</v>
      </c>
      <c r="D182" s="1">
        <v>45489</v>
      </c>
      <c r="E182" s="2">
        <v>0.17916666666666667</v>
      </c>
      <c r="F182" t="s">
        <v>26</v>
      </c>
      <c r="G182">
        <v>183</v>
      </c>
      <c r="H182">
        <v>50532</v>
      </c>
      <c r="I182">
        <v>98</v>
      </c>
      <c r="J182" s="2">
        <v>0.75902777777777775</v>
      </c>
      <c r="K182" t="s">
        <v>44</v>
      </c>
      <c r="L182" t="s">
        <v>56</v>
      </c>
      <c r="M182" t="s">
        <v>28</v>
      </c>
      <c r="N182" t="s">
        <v>29</v>
      </c>
      <c r="O182">
        <v>1719</v>
      </c>
      <c r="P182">
        <v>1537</v>
      </c>
      <c r="Q182">
        <v>143</v>
      </c>
      <c r="R182">
        <v>3.9</v>
      </c>
      <c r="S182" t="s">
        <v>40</v>
      </c>
      <c r="T182" t="s">
        <v>45</v>
      </c>
      <c r="U182" t="s">
        <v>74</v>
      </c>
      <c r="V182" t="s">
        <v>33</v>
      </c>
      <c r="W182">
        <v>1762</v>
      </c>
      <c r="X182" s="6" t="str">
        <f t="shared" ref="X182" si="32">IF(H182&gt;15000,"HIGH",IF(H182&gt;80000,"MEDIUM","LOW"))</f>
        <v>HIGH</v>
      </c>
      <c r="Y182" s="8" t="str">
        <f t="shared" si="23"/>
        <v>Movie</v>
      </c>
      <c r="Z182" s="10" t="str">
        <f t="shared" si="24"/>
        <v>Action</v>
      </c>
      <c r="AA182" s="8" t="str">
        <f t="shared" si="25"/>
        <v>NO</v>
      </c>
      <c r="AB182" s="6" t="str">
        <f t="shared" si="26"/>
        <v>YES</v>
      </c>
    </row>
    <row r="183" spans="1:28" x14ac:dyDescent="0.3">
      <c r="A183">
        <v>183</v>
      </c>
      <c r="B183" t="s">
        <v>54</v>
      </c>
      <c r="C183" t="s">
        <v>61</v>
      </c>
      <c r="D183" s="1">
        <v>45522</v>
      </c>
      <c r="E183" s="2">
        <v>0.68541666666666667</v>
      </c>
      <c r="F183" t="s">
        <v>62</v>
      </c>
      <c r="G183">
        <v>47</v>
      </c>
      <c r="H183">
        <v>91373</v>
      </c>
      <c r="I183">
        <v>35</v>
      </c>
      <c r="J183" s="2">
        <v>0.63402777777777775</v>
      </c>
      <c r="K183" t="s">
        <v>26</v>
      </c>
      <c r="L183" t="s">
        <v>56</v>
      </c>
      <c r="M183" t="s">
        <v>28</v>
      </c>
      <c r="N183" t="s">
        <v>69</v>
      </c>
      <c r="O183">
        <v>2553</v>
      </c>
      <c r="P183">
        <v>192</v>
      </c>
      <c r="Q183">
        <v>887</v>
      </c>
      <c r="R183">
        <v>1.3</v>
      </c>
      <c r="S183" t="s">
        <v>30</v>
      </c>
      <c r="T183" t="s">
        <v>63</v>
      </c>
      <c r="U183" t="s">
        <v>32</v>
      </c>
      <c r="V183" t="s">
        <v>67</v>
      </c>
      <c r="W183">
        <v>19345</v>
      </c>
      <c r="X183" s="6" t="str">
        <f t="shared" si="22"/>
        <v>LOW</v>
      </c>
      <c r="Y183" s="8" t="str">
        <f t="shared" si="23"/>
        <v>Documentary</v>
      </c>
      <c r="Z183" s="10" t="str">
        <f t="shared" si="24"/>
        <v>History</v>
      </c>
      <c r="AA183" s="8" t="str">
        <f t="shared" si="25"/>
        <v>NO</v>
      </c>
      <c r="AB183" s="6" t="str">
        <f t="shared" si="26"/>
        <v>NO</v>
      </c>
    </row>
    <row r="184" spans="1:28" x14ac:dyDescent="0.3">
      <c r="A184">
        <v>184</v>
      </c>
      <c r="B184" t="s">
        <v>34</v>
      </c>
      <c r="C184" t="s">
        <v>64</v>
      </c>
      <c r="D184" s="1">
        <v>45505</v>
      </c>
      <c r="E184" s="2">
        <v>0.50347222222222221</v>
      </c>
      <c r="F184" t="s">
        <v>44</v>
      </c>
      <c r="G184">
        <v>661</v>
      </c>
      <c r="H184">
        <v>47418</v>
      </c>
      <c r="I184">
        <v>28</v>
      </c>
      <c r="J184" s="2">
        <v>0.34583333333333333</v>
      </c>
      <c r="K184" t="s">
        <v>36</v>
      </c>
      <c r="L184" t="s">
        <v>56</v>
      </c>
      <c r="M184" t="s">
        <v>28</v>
      </c>
      <c r="N184" t="s">
        <v>69</v>
      </c>
      <c r="O184">
        <v>2513</v>
      </c>
      <c r="P184">
        <v>1107</v>
      </c>
      <c r="Q184">
        <v>1395</v>
      </c>
      <c r="R184">
        <v>2</v>
      </c>
      <c r="S184" t="s">
        <v>40</v>
      </c>
      <c r="T184" t="s">
        <v>63</v>
      </c>
      <c r="U184" t="s">
        <v>57</v>
      </c>
      <c r="V184" t="s">
        <v>33</v>
      </c>
      <c r="W184">
        <v>10703</v>
      </c>
      <c r="X184" s="6" t="str">
        <f t="shared" si="22"/>
        <v>LOW</v>
      </c>
      <c r="Y184" s="8" t="str">
        <f t="shared" si="23"/>
        <v>Series</v>
      </c>
      <c r="Z184" s="10" t="str">
        <f t="shared" si="24"/>
        <v>Drama</v>
      </c>
      <c r="AA184" s="8" t="str">
        <f t="shared" si="25"/>
        <v>NO</v>
      </c>
      <c r="AB184" s="6" t="str">
        <f t="shared" si="26"/>
        <v>NO</v>
      </c>
    </row>
    <row r="185" spans="1:28" x14ac:dyDescent="0.3">
      <c r="A185">
        <v>185</v>
      </c>
      <c r="B185" t="s">
        <v>54</v>
      </c>
      <c r="C185" t="s">
        <v>48</v>
      </c>
      <c r="D185" s="1">
        <v>45500</v>
      </c>
      <c r="E185" s="2">
        <v>0.52569444444444446</v>
      </c>
      <c r="F185" t="s">
        <v>36</v>
      </c>
      <c r="G185">
        <v>114</v>
      </c>
      <c r="H185">
        <v>27884</v>
      </c>
      <c r="I185">
        <v>75</v>
      </c>
      <c r="J185" s="2">
        <v>0.95694444444444449</v>
      </c>
      <c r="K185" t="s">
        <v>36</v>
      </c>
      <c r="L185" t="s">
        <v>49</v>
      </c>
      <c r="M185" t="s">
        <v>38</v>
      </c>
      <c r="N185" t="s">
        <v>76</v>
      </c>
      <c r="O185">
        <v>1337</v>
      </c>
      <c r="P185">
        <v>162</v>
      </c>
      <c r="Q185">
        <v>60</v>
      </c>
      <c r="R185">
        <v>4.5999999999999996</v>
      </c>
      <c r="S185" t="s">
        <v>40</v>
      </c>
      <c r="T185" t="s">
        <v>63</v>
      </c>
      <c r="U185" t="s">
        <v>70</v>
      </c>
      <c r="V185" t="s">
        <v>67</v>
      </c>
      <c r="W185">
        <v>7615</v>
      </c>
      <c r="X185" s="6" t="str">
        <f t="shared" si="22"/>
        <v>LOW</v>
      </c>
      <c r="Y185" s="8" t="str">
        <f t="shared" si="23"/>
        <v>Documentary</v>
      </c>
      <c r="Z185" s="10" t="str">
        <f t="shared" si="24"/>
        <v>Romance</v>
      </c>
      <c r="AA185" s="8" t="str">
        <f t="shared" si="25"/>
        <v>NO</v>
      </c>
      <c r="AB185" s="6" t="str">
        <f t="shared" si="26"/>
        <v>YES</v>
      </c>
    </row>
    <row r="186" spans="1:28" x14ac:dyDescent="0.3">
      <c r="A186">
        <v>186</v>
      </c>
      <c r="B186" t="s">
        <v>54</v>
      </c>
      <c r="C186" t="s">
        <v>24</v>
      </c>
      <c r="D186" s="1">
        <v>45511</v>
      </c>
      <c r="E186" s="2">
        <v>0.9</v>
      </c>
      <c r="F186" t="s">
        <v>73</v>
      </c>
      <c r="G186">
        <v>78</v>
      </c>
      <c r="H186">
        <v>67159</v>
      </c>
      <c r="I186">
        <v>31</v>
      </c>
      <c r="J186" s="2">
        <v>0.52500000000000002</v>
      </c>
      <c r="K186" t="s">
        <v>44</v>
      </c>
      <c r="L186" t="s">
        <v>49</v>
      </c>
      <c r="M186" t="s">
        <v>28</v>
      </c>
      <c r="N186" t="s">
        <v>50</v>
      </c>
      <c r="O186">
        <v>1311</v>
      </c>
      <c r="P186">
        <v>1344</v>
      </c>
      <c r="Q186">
        <v>827</v>
      </c>
      <c r="R186">
        <v>1.3</v>
      </c>
      <c r="S186" t="s">
        <v>51</v>
      </c>
      <c r="T186" t="s">
        <v>63</v>
      </c>
      <c r="U186" t="s">
        <v>52</v>
      </c>
      <c r="V186" t="s">
        <v>53</v>
      </c>
      <c r="W186">
        <v>8406</v>
      </c>
      <c r="X186" s="6" t="str">
        <f t="shared" si="22"/>
        <v>LOW</v>
      </c>
      <c r="Y186" s="8" t="str">
        <f t="shared" si="23"/>
        <v>Documentary</v>
      </c>
      <c r="Z186" s="10" t="str">
        <f t="shared" si="24"/>
        <v>Thriller</v>
      </c>
      <c r="AA186" s="8" t="str">
        <f t="shared" si="25"/>
        <v>NO</v>
      </c>
      <c r="AB186" s="6" t="str">
        <f t="shared" si="26"/>
        <v>NO</v>
      </c>
    </row>
    <row r="187" spans="1:28" x14ac:dyDescent="0.3">
      <c r="A187">
        <v>187</v>
      </c>
      <c r="B187" t="s">
        <v>54</v>
      </c>
      <c r="C187" t="s">
        <v>61</v>
      </c>
      <c r="D187" s="1">
        <v>45482</v>
      </c>
      <c r="E187" s="2">
        <v>0.60763888888888884</v>
      </c>
      <c r="F187" t="s">
        <v>73</v>
      </c>
      <c r="G187">
        <v>51</v>
      </c>
      <c r="H187">
        <v>2058</v>
      </c>
      <c r="I187">
        <v>36</v>
      </c>
      <c r="J187" s="2">
        <v>0.28958333333333336</v>
      </c>
      <c r="K187" t="s">
        <v>62</v>
      </c>
      <c r="L187" t="s">
        <v>56</v>
      </c>
      <c r="M187" t="s">
        <v>38</v>
      </c>
      <c r="N187" t="s">
        <v>65</v>
      </c>
      <c r="O187">
        <v>1236</v>
      </c>
      <c r="P187">
        <v>763</v>
      </c>
      <c r="Q187">
        <v>1120</v>
      </c>
      <c r="R187">
        <v>1</v>
      </c>
      <c r="S187" t="s">
        <v>60</v>
      </c>
      <c r="T187" t="s">
        <v>63</v>
      </c>
      <c r="U187" t="s">
        <v>74</v>
      </c>
      <c r="V187" t="s">
        <v>67</v>
      </c>
      <c r="W187">
        <v>12705</v>
      </c>
      <c r="X187" s="6" t="str">
        <f t="shared" si="22"/>
        <v>LOW</v>
      </c>
      <c r="Y187" s="8" t="str">
        <f t="shared" si="23"/>
        <v>Documentary</v>
      </c>
      <c r="Z187" s="10" t="str">
        <f t="shared" si="24"/>
        <v>History</v>
      </c>
      <c r="AA187" s="8" t="str">
        <f t="shared" si="25"/>
        <v>NO</v>
      </c>
      <c r="AB187" s="6" t="str">
        <f t="shared" si="26"/>
        <v>NO</v>
      </c>
    </row>
    <row r="188" spans="1:28" x14ac:dyDescent="0.3">
      <c r="A188">
        <v>188</v>
      </c>
      <c r="B188" t="s">
        <v>34</v>
      </c>
      <c r="C188" t="s">
        <v>61</v>
      </c>
      <c r="D188" s="1">
        <v>45495</v>
      </c>
      <c r="E188" s="2">
        <v>5.8333333333333334E-2</v>
      </c>
      <c r="F188" t="s">
        <v>26</v>
      </c>
      <c r="G188">
        <v>1187</v>
      </c>
      <c r="H188">
        <v>32234</v>
      </c>
      <c r="I188">
        <v>30</v>
      </c>
      <c r="J188" s="2">
        <v>0.71736111111111112</v>
      </c>
      <c r="K188" t="s">
        <v>26</v>
      </c>
      <c r="L188" t="s">
        <v>37</v>
      </c>
      <c r="M188" t="s">
        <v>28</v>
      </c>
      <c r="N188" t="s">
        <v>69</v>
      </c>
      <c r="O188">
        <v>1524</v>
      </c>
      <c r="P188">
        <v>1981</v>
      </c>
      <c r="Q188">
        <v>475</v>
      </c>
      <c r="R188">
        <v>4.5999999999999996</v>
      </c>
      <c r="S188" t="s">
        <v>30</v>
      </c>
      <c r="T188" t="s">
        <v>45</v>
      </c>
      <c r="U188" t="s">
        <v>32</v>
      </c>
      <c r="V188" t="s">
        <v>42</v>
      </c>
      <c r="W188">
        <v>1886</v>
      </c>
      <c r="X188" s="6" t="str">
        <f t="shared" si="22"/>
        <v>LOW</v>
      </c>
      <c r="Y188" s="8" t="str">
        <f t="shared" si="23"/>
        <v>Series</v>
      </c>
      <c r="Z188" s="10" t="str">
        <f t="shared" si="24"/>
        <v>History</v>
      </c>
      <c r="AA188" s="8" t="str">
        <f t="shared" si="25"/>
        <v>NO</v>
      </c>
      <c r="AB188" s="6" t="str">
        <f t="shared" si="26"/>
        <v>YES</v>
      </c>
    </row>
    <row r="189" spans="1:28" x14ac:dyDescent="0.3">
      <c r="A189">
        <v>189</v>
      </c>
      <c r="B189" t="s">
        <v>54</v>
      </c>
      <c r="C189" t="s">
        <v>64</v>
      </c>
      <c r="D189" s="1">
        <v>45532</v>
      </c>
      <c r="E189" s="2">
        <v>0.99375000000000002</v>
      </c>
      <c r="F189" t="s">
        <v>68</v>
      </c>
      <c r="G189">
        <v>86</v>
      </c>
      <c r="H189">
        <v>80983</v>
      </c>
      <c r="I189">
        <v>54</v>
      </c>
      <c r="J189" s="2">
        <v>0.60902777777777772</v>
      </c>
      <c r="K189" t="s">
        <v>36</v>
      </c>
      <c r="L189" t="s">
        <v>37</v>
      </c>
      <c r="M189" t="s">
        <v>38</v>
      </c>
      <c r="N189" t="s">
        <v>69</v>
      </c>
      <c r="O189">
        <v>571</v>
      </c>
      <c r="P189">
        <v>1907</v>
      </c>
      <c r="Q189">
        <v>435</v>
      </c>
      <c r="R189">
        <v>4.3</v>
      </c>
      <c r="S189" t="s">
        <v>30</v>
      </c>
      <c r="T189" t="s">
        <v>45</v>
      </c>
      <c r="U189" t="s">
        <v>70</v>
      </c>
      <c r="V189" t="s">
        <v>58</v>
      </c>
      <c r="W189">
        <v>9776</v>
      </c>
      <c r="X189" s="6" t="str">
        <f t="shared" si="22"/>
        <v>LOW</v>
      </c>
      <c r="Y189" s="8" t="str">
        <f t="shared" si="23"/>
        <v>Documentary</v>
      </c>
      <c r="Z189" s="10" t="str">
        <f t="shared" si="24"/>
        <v>Drama</v>
      </c>
      <c r="AA189" s="8" t="str">
        <f t="shared" si="25"/>
        <v>NO</v>
      </c>
      <c r="AB189" s="6" t="str">
        <f t="shared" si="26"/>
        <v>YES</v>
      </c>
    </row>
    <row r="190" spans="1:28" x14ac:dyDescent="0.3">
      <c r="A190">
        <v>190</v>
      </c>
      <c r="B190" t="s">
        <v>23</v>
      </c>
      <c r="C190" t="s">
        <v>55</v>
      </c>
      <c r="D190" s="1">
        <v>45503</v>
      </c>
      <c r="E190" s="2">
        <v>0.46597222222222223</v>
      </c>
      <c r="F190" t="s">
        <v>25</v>
      </c>
      <c r="G190">
        <v>199</v>
      </c>
      <c r="H190">
        <v>26695</v>
      </c>
      <c r="I190">
        <v>106</v>
      </c>
      <c r="J190" s="2">
        <v>0.17777777777777778</v>
      </c>
      <c r="K190" t="s">
        <v>44</v>
      </c>
      <c r="L190" t="s">
        <v>27</v>
      </c>
      <c r="M190" t="s">
        <v>38</v>
      </c>
      <c r="N190" t="s">
        <v>50</v>
      </c>
      <c r="O190">
        <v>257</v>
      </c>
      <c r="P190">
        <v>1306</v>
      </c>
      <c r="Q190">
        <v>1499</v>
      </c>
      <c r="R190">
        <v>3</v>
      </c>
      <c r="S190" t="s">
        <v>30</v>
      </c>
      <c r="T190" t="s">
        <v>63</v>
      </c>
      <c r="U190" t="s">
        <v>66</v>
      </c>
      <c r="V190" t="s">
        <v>53</v>
      </c>
      <c r="W190">
        <v>4342</v>
      </c>
      <c r="X190" s="6" t="str">
        <f t="shared" si="22"/>
        <v>LOW</v>
      </c>
      <c r="Y190" s="8" t="str">
        <f t="shared" si="23"/>
        <v>Movie</v>
      </c>
      <c r="Z190" s="10" t="str">
        <f t="shared" si="24"/>
        <v>Fantasy</v>
      </c>
      <c r="AA190" s="8" t="str">
        <f t="shared" si="25"/>
        <v>NO</v>
      </c>
      <c r="AB190" s="6" t="str">
        <f t="shared" si="26"/>
        <v>YES</v>
      </c>
    </row>
    <row r="191" spans="1:28" x14ac:dyDescent="0.3">
      <c r="A191">
        <v>191</v>
      </c>
      <c r="B191" t="s">
        <v>34</v>
      </c>
      <c r="C191" t="s">
        <v>43</v>
      </c>
      <c r="D191" s="1">
        <v>45538</v>
      </c>
      <c r="E191" s="2">
        <v>7.2222222222222215E-2</v>
      </c>
      <c r="F191" t="s">
        <v>25</v>
      </c>
      <c r="G191">
        <v>275</v>
      </c>
      <c r="H191">
        <v>73628</v>
      </c>
      <c r="I191">
        <v>119</v>
      </c>
      <c r="J191" s="2">
        <v>0.77638888888888891</v>
      </c>
      <c r="K191" t="s">
        <v>26</v>
      </c>
      <c r="L191" t="s">
        <v>49</v>
      </c>
      <c r="M191" t="s">
        <v>28</v>
      </c>
      <c r="N191" t="s">
        <v>59</v>
      </c>
      <c r="O191">
        <v>2525</v>
      </c>
      <c r="P191">
        <v>681</v>
      </c>
      <c r="Q191">
        <v>333</v>
      </c>
      <c r="R191">
        <v>1.8</v>
      </c>
      <c r="S191" t="s">
        <v>51</v>
      </c>
      <c r="T191" t="s">
        <v>45</v>
      </c>
      <c r="U191" t="s">
        <v>57</v>
      </c>
      <c r="V191" t="s">
        <v>42</v>
      </c>
      <c r="W191">
        <v>3027</v>
      </c>
      <c r="X191" s="6" t="str">
        <f t="shared" si="22"/>
        <v>LOW</v>
      </c>
      <c r="Y191" s="8" t="str">
        <f t="shared" si="23"/>
        <v>Series</v>
      </c>
      <c r="Z191" s="10" t="str">
        <f t="shared" si="24"/>
        <v>Sci-Fi</v>
      </c>
      <c r="AA191" s="8" t="str">
        <f t="shared" si="25"/>
        <v>NO</v>
      </c>
      <c r="AB191" s="6" t="str">
        <f t="shared" si="26"/>
        <v>NO</v>
      </c>
    </row>
    <row r="192" spans="1:28" x14ac:dyDescent="0.3">
      <c r="A192">
        <v>192</v>
      </c>
      <c r="B192" t="s">
        <v>54</v>
      </c>
      <c r="C192" t="s">
        <v>43</v>
      </c>
      <c r="D192" s="1">
        <v>45499</v>
      </c>
      <c r="E192" s="2">
        <v>5.1388888888888887E-2</v>
      </c>
      <c r="F192" t="s">
        <v>44</v>
      </c>
      <c r="G192">
        <v>123</v>
      </c>
      <c r="H192">
        <v>63718</v>
      </c>
      <c r="I192">
        <v>58</v>
      </c>
      <c r="J192" s="2">
        <v>9.930555555555555E-2</v>
      </c>
      <c r="K192" t="s">
        <v>36</v>
      </c>
      <c r="L192" t="s">
        <v>37</v>
      </c>
      <c r="M192" t="s">
        <v>38</v>
      </c>
      <c r="N192" t="s">
        <v>71</v>
      </c>
      <c r="O192">
        <v>194</v>
      </c>
      <c r="P192">
        <v>1140</v>
      </c>
      <c r="Q192">
        <v>610</v>
      </c>
      <c r="R192">
        <v>3.7</v>
      </c>
      <c r="S192" t="s">
        <v>60</v>
      </c>
      <c r="T192" t="s">
        <v>63</v>
      </c>
      <c r="U192" t="s">
        <v>41</v>
      </c>
      <c r="V192" t="s">
        <v>47</v>
      </c>
      <c r="W192">
        <v>11043</v>
      </c>
      <c r="X192" s="6" t="str">
        <f t="shared" ref="X192" si="33">IF(H192&gt;15000,"HIGH",IF(H192&gt;80000,"MEDIUM","LOW"))</f>
        <v>HIGH</v>
      </c>
      <c r="Y192" s="8" t="str">
        <f t="shared" si="23"/>
        <v>Documentary</v>
      </c>
      <c r="Z192" s="10" t="str">
        <f t="shared" si="24"/>
        <v>Sci-Fi</v>
      </c>
      <c r="AA192" s="8" t="str">
        <f t="shared" si="25"/>
        <v>NO</v>
      </c>
      <c r="AB192" s="6" t="str">
        <f t="shared" si="26"/>
        <v>YES</v>
      </c>
    </row>
    <row r="193" spans="1:28" x14ac:dyDescent="0.3">
      <c r="A193">
        <v>193</v>
      </c>
      <c r="B193" t="s">
        <v>54</v>
      </c>
      <c r="C193" t="s">
        <v>72</v>
      </c>
      <c r="D193" s="1">
        <v>45535</v>
      </c>
      <c r="E193" s="2">
        <v>0.89166666666666672</v>
      </c>
      <c r="F193" t="s">
        <v>25</v>
      </c>
      <c r="G193">
        <v>76</v>
      </c>
      <c r="H193">
        <v>89401</v>
      </c>
      <c r="I193">
        <v>32</v>
      </c>
      <c r="J193" s="2">
        <v>0.54236111111111107</v>
      </c>
      <c r="K193" t="s">
        <v>44</v>
      </c>
      <c r="L193" t="s">
        <v>49</v>
      </c>
      <c r="M193" t="s">
        <v>38</v>
      </c>
      <c r="N193" t="s">
        <v>71</v>
      </c>
      <c r="O193">
        <v>965</v>
      </c>
      <c r="P193">
        <v>1915</v>
      </c>
      <c r="Q193">
        <v>189</v>
      </c>
      <c r="R193">
        <v>3.5</v>
      </c>
      <c r="S193" t="s">
        <v>30</v>
      </c>
      <c r="T193" t="s">
        <v>63</v>
      </c>
      <c r="U193" t="s">
        <v>66</v>
      </c>
      <c r="V193" t="s">
        <v>53</v>
      </c>
      <c r="W193">
        <v>8438</v>
      </c>
      <c r="X193" s="6" t="str">
        <f t="shared" si="22"/>
        <v>LOW</v>
      </c>
      <c r="Y193" s="8" t="str">
        <f t="shared" si="23"/>
        <v>Documentary</v>
      </c>
      <c r="Z193" s="10" t="str">
        <f t="shared" si="24"/>
        <v>Action</v>
      </c>
      <c r="AA193" s="8" t="str">
        <f t="shared" si="25"/>
        <v>NO</v>
      </c>
      <c r="AB193" s="6" t="str">
        <f t="shared" si="26"/>
        <v>YES</v>
      </c>
    </row>
    <row r="194" spans="1:28" x14ac:dyDescent="0.3">
      <c r="A194">
        <v>194</v>
      </c>
      <c r="B194" t="s">
        <v>34</v>
      </c>
      <c r="C194" t="s">
        <v>75</v>
      </c>
      <c r="D194" s="1">
        <v>45532</v>
      </c>
      <c r="E194" s="2">
        <v>0.16250000000000001</v>
      </c>
      <c r="F194" t="s">
        <v>62</v>
      </c>
      <c r="G194">
        <v>864</v>
      </c>
      <c r="H194">
        <v>47324</v>
      </c>
      <c r="I194">
        <v>102</v>
      </c>
      <c r="J194" s="2">
        <v>0.63611111111111107</v>
      </c>
      <c r="K194" t="s">
        <v>26</v>
      </c>
      <c r="L194" t="s">
        <v>27</v>
      </c>
      <c r="M194" t="s">
        <v>28</v>
      </c>
      <c r="N194" t="s">
        <v>65</v>
      </c>
      <c r="O194">
        <v>202</v>
      </c>
      <c r="P194">
        <v>578</v>
      </c>
      <c r="Q194">
        <v>620</v>
      </c>
      <c r="R194">
        <v>1.6</v>
      </c>
      <c r="S194" t="s">
        <v>51</v>
      </c>
      <c r="T194" t="s">
        <v>31</v>
      </c>
      <c r="U194" t="s">
        <v>52</v>
      </c>
      <c r="V194" t="s">
        <v>33</v>
      </c>
      <c r="W194">
        <v>5267</v>
      </c>
      <c r="X194" s="6" t="str">
        <f t="shared" si="22"/>
        <v>LOW</v>
      </c>
      <c r="Y194" s="8" t="str">
        <f t="shared" si="23"/>
        <v>Series</v>
      </c>
      <c r="Z194" s="10" t="str">
        <f t="shared" si="24"/>
        <v>Nature</v>
      </c>
      <c r="AA194" s="8" t="str">
        <f t="shared" si="25"/>
        <v>NO</v>
      </c>
      <c r="AB194" s="6" t="str">
        <f t="shared" si="26"/>
        <v>NO</v>
      </c>
    </row>
    <row r="195" spans="1:28" x14ac:dyDescent="0.3">
      <c r="A195">
        <v>195</v>
      </c>
      <c r="B195" t="s">
        <v>23</v>
      </c>
      <c r="C195" t="s">
        <v>64</v>
      </c>
      <c r="D195" s="1">
        <v>45509</v>
      </c>
      <c r="E195" s="2">
        <v>0.81597222222222221</v>
      </c>
      <c r="F195" t="s">
        <v>73</v>
      </c>
      <c r="G195">
        <v>182</v>
      </c>
      <c r="H195">
        <v>49310</v>
      </c>
      <c r="I195">
        <v>56</v>
      </c>
      <c r="J195" s="2">
        <v>0.91249999999999998</v>
      </c>
      <c r="K195" t="s">
        <v>36</v>
      </c>
      <c r="L195" t="s">
        <v>56</v>
      </c>
      <c r="M195" t="s">
        <v>38</v>
      </c>
      <c r="N195" t="s">
        <v>71</v>
      </c>
      <c r="O195">
        <v>1852</v>
      </c>
      <c r="P195">
        <v>1245</v>
      </c>
      <c r="Q195">
        <v>368</v>
      </c>
      <c r="R195">
        <v>1.7</v>
      </c>
      <c r="S195" t="s">
        <v>60</v>
      </c>
      <c r="T195" t="s">
        <v>63</v>
      </c>
      <c r="U195" t="s">
        <v>66</v>
      </c>
      <c r="V195" t="s">
        <v>47</v>
      </c>
      <c r="W195">
        <v>17825</v>
      </c>
      <c r="X195" s="6" t="str">
        <f t="shared" ref="X195:X258" si="34">IF(H195&gt;100000,"HIGH","LOW")</f>
        <v>LOW</v>
      </c>
      <c r="Y195" s="8" t="str">
        <f t="shared" ref="Y195:Y258" si="35">VLOOKUP(A195,A:B,2,FALSE)</f>
        <v>Movie</v>
      </c>
      <c r="Z195" s="10" t="str">
        <f t="shared" ref="Z195:Z258" si="36">INDEX(C:C,MATCH(A195,A:A,0))</f>
        <v>Drama</v>
      </c>
      <c r="AA195" s="8" t="str">
        <f t="shared" ref="AA195:AA258" si="37">IF(AND(H195&gt;1000,V195="YES"),"YES","NO")</f>
        <v>NO</v>
      </c>
      <c r="AB195" s="6" t="str">
        <f t="shared" ref="AB195:AB258" si="38">IF(R195&gt;AVERAGE(R:R),"YES","NO")</f>
        <v>NO</v>
      </c>
    </row>
    <row r="196" spans="1:28" x14ac:dyDescent="0.3">
      <c r="A196">
        <v>196</v>
      </c>
      <c r="B196" t="s">
        <v>34</v>
      </c>
      <c r="C196" t="s">
        <v>72</v>
      </c>
      <c r="D196" s="1">
        <v>45504</v>
      </c>
      <c r="E196" s="2">
        <v>0.93680555555555556</v>
      </c>
      <c r="F196" t="s">
        <v>44</v>
      </c>
      <c r="G196">
        <v>432</v>
      </c>
      <c r="H196">
        <v>27642</v>
      </c>
      <c r="I196">
        <v>71</v>
      </c>
      <c r="J196" s="2">
        <v>3.888888888888889E-2</v>
      </c>
      <c r="K196" t="s">
        <v>36</v>
      </c>
      <c r="L196" t="s">
        <v>27</v>
      </c>
      <c r="M196" t="s">
        <v>28</v>
      </c>
      <c r="N196" t="s">
        <v>65</v>
      </c>
      <c r="O196">
        <v>2422</v>
      </c>
      <c r="P196">
        <v>715</v>
      </c>
      <c r="Q196">
        <v>1058</v>
      </c>
      <c r="R196">
        <v>3</v>
      </c>
      <c r="S196" t="s">
        <v>30</v>
      </c>
      <c r="T196" t="s">
        <v>31</v>
      </c>
      <c r="U196" t="s">
        <v>70</v>
      </c>
      <c r="V196" t="s">
        <v>42</v>
      </c>
      <c r="W196">
        <v>3044</v>
      </c>
      <c r="X196" s="6" t="str">
        <f t="shared" si="34"/>
        <v>LOW</v>
      </c>
      <c r="Y196" s="8" t="str">
        <f t="shared" si="35"/>
        <v>Series</v>
      </c>
      <c r="Z196" s="10" t="str">
        <f t="shared" si="36"/>
        <v>Action</v>
      </c>
      <c r="AA196" s="8" t="str">
        <f t="shared" si="37"/>
        <v>NO</v>
      </c>
      <c r="AB196" s="6" t="str">
        <f t="shared" si="38"/>
        <v>YES</v>
      </c>
    </row>
    <row r="197" spans="1:28" x14ac:dyDescent="0.3">
      <c r="A197">
        <v>197</v>
      </c>
      <c r="B197" t="s">
        <v>54</v>
      </c>
      <c r="C197" t="s">
        <v>35</v>
      </c>
      <c r="D197" s="1">
        <v>45483</v>
      </c>
      <c r="E197" s="2">
        <v>0.10833333333333334</v>
      </c>
      <c r="F197" t="s">
        <v>44</v>
      </c>
      <c r="G197">
        <v>69</v>
      </c>
      <c r="H197">
        <v>22310</v>
      </c>
      <c r="I197">
        <v>54</v>
      </c>
      <c r="J197" s="2">
        <v>0.97013888888888888</v>
      </c>
      <c r="K197" t="s">
        <v>44</v>
      </c>
      <c r="L197" t="s">
        <v>37</v>
      </c>
      <c r="M197" t="s">
        <v>38</v>
      </c>
      <c r="N197" t="s">
        <v>50</v>
      </c>
      <c r="O197">
        <v>2083</v>
      </c>
      <c r="P197">
        <v>54</v>
      </c>
      <c r="Q197">
        <v>1442</v>
      </c>
      <c r="R197">
        <v>3</v>
      </c>
      <c r="S197" t="s">
        <v>30</v>
      </c>
      <c r="T197" t="s">
        <v>45</v>
      </c>
      <c r="U197" t="s">
        <v>70</v>
      </c>
      <c r="V197" t="s">
        <v>58</v>
      </c>
      <c r="W197">
        <v>1339</v>
      </c>
      <c r="X197" s="6" t="str">
        <f t="shared" si="34"/>
        <v>LOW</v>
      </c>
      <c r="Y197" s="8" t="str">
        <f t="shared" si="35"/>
        <v>Documentary</v>
      </c>
      <c r="Z197" s="10" t="str">
        <f t="shared" si="36"/>
        <v>Comedy</v>
      </c>
      <c r="AA197" s="8" t="str">
        <f t="shared" si="37"/>
        <v>NO</v>
      </c>
      <c r="AB197" s="6" t="str">
        <f t="shared" si="38"/>
        <v>YES</v>
      </c>
    </row>
    <row r="198" spans="1:28" x14ac:dyDescent="0.3">
      <c r="A198">
        <v>198</v>
      </c>
      <c r="B198" t="s">
        <v>23</v>
      </c>
      <c r="C198" t="s">
        <v>72</v>
      </c>
      <c r="D198" s="1">
        <v>45548</v>
      </c>
      <c r="E198" s="2">
        <v>0.40833333333333333</v>
      </c>
      <c r="F198" t="s">
        <v>26</v>
      </c>
      <c r="G198">
        <v>121</v>
      </c>
      <c r="H198">
        <v>4942</v>
      </c>
      <c r="I198">
        <v>40</v>
      </c>
      <c r="J198" s="2">
        <v>0.87569444444444444</v>
      </c>
      <c r="K198" t="s">
        <v>62</v>
      </c>
      <c r="L198" t="s">
        <v>56</v>
      </c>
      <c r="M198" t="s">
        <v>28</v>
      </c>
      <c r="N198" t="s">
        <v>69</v>
      </c>
      <c r="O198">
        <v>1755</v>
      </c>
      <c r="P198">
        <v>1786</v>
      </c>
      <c r="Q198">
        <v>139</v>
      </c>
      <c r="R198">
        <v>3.7</v>
      </c>
      <c r="S198" t="s">
        <v>51</v>
      </c>
      <c r="T198" t="s">
        <v>63</v>
      </c>
      <c r="U198" t="s">
        <v>57</v>
      </c>
      <c r="V198" t="s">
        <v>67</v>
      </c>
      <c r="W198">
        <v>19719</v>
      </c>
      <c r="X198" s="6" t="str">
        <f t="shared" si="34"/>
        <v>LOW</v>
      </c>
      <c r="Y198" s="8" t="str">
        <f t="shared" si="35"/>
        <v>Movie</v>
      </c>
      <c r="Z198" s="10" t="str">
        <f t="shared" si="36"/>
        <v>Action</v>
      </c>
      <c r="AA198" s="8" t="str">
        <f t="shared" si="37"/>
        <v>NO</v>
      </c>
      <c r="AB198" s="6" t="str">
        <f t="shared" si="38"/>
        <v>YES</v>
      </c>
    </row>
    <row r="199" spans="1:28" x14ac:dyDescent="0.3">
      <c r="A199">
        <v>199</v>
      </c>
      <c r="B199" t="s">
        <v>23</v>
      </c>
      <c r="C199" t="s">
        <v>61</v>
      </c>
      <c r="D199" s="1">
        <v>45499</v>
      </c>
      <c r="E199" s="2">
        <v>0.3923611111111111</v>
      </c>
      <c r="F199" t="s">
        <v>73</v>
      </c>
      <c r="G199">
        <v>193</v>
      </c>
      <c r="H199">
        <v>31956</v>
      </c>
      <c r="I199">
        <v>39</v>
      </c>
      <c r="J199" s="2">
        <v>0.82430555555555551</v>
      </c>
      <c r="K199" t="s">
        <v>26</v>
      </c>
      <c r="L199" t="s">
        <v>27</v>
      </c>
      <c r="M199" t="s">
        <v>28</v>
      </c>
      <c r="N199" t="s">
        <v>50</v>
      </c>
      <c r="O199">
        <v>2664</v>
      </c>
      <c r="P199">
        <v>1491</v>
      </c>
      <c r="Q199">
        <v>620</v>
      </c>
      <c r="R199">
        <v>3</v>
      </c>
      <c r="S199" t="s">
        <v>30</v>
      </c>
      <c r="T199" t="s">
        <v>45</v>
      </c>
      <c r="U199" t="s">
        <v>74</v>
      </c>
      <c r="V199" t="s">
        <v>42</v>
      </c>
      <c r="W199">
        <v>3887</v>
      </c>
      <c r="X199" s="6" t="str">
        <f t="shared" si="34"/>
        <v>LOW</v>
      </c>
      <c r="Y199" s="8" t="str">
        <f t="shared" si="35"/>
        <v>Movie</v>
      </c>
      <c r="Z199" s="10" t="str">
        <f t="shared" si="36"/>
        <v>History</v>
      </c>
      <c r="AA199" s="8" t="str">
        <f t="shared" si="37"/>
        <v>NO</v>
      </c>
      <c r="AB199" s="6" t="str">
        <f t="shared" si="38"/>
        <v>YES</v>
      </c>
    </row>
    <row r="200" spans="1:28" x14ac:dyDescent="0.3">
      <c r="A200">
        <v>200</v>
      </c>
      <c r="B200" t="s">
        <v>23</v>
      </c>
      <c r="C200" t="s">
        <v>24</v>
      </c>
      <c r="D200" s="1">
        <v>45519</v>
      </c>
      <c r="E200" s="2">
        <v>0.11736111111111111</v>
      </c>
      <c r="F200" t="s">
        <v>62</v>
      </c>
      <c r="G200">
        <v>145</v>
      </c>
      <c r="H200">
        <v>78159</v>
      </c>
      <c r="I200">
        <v>69</v>
      </c>
      <c r="J200" s="2">
        <v>0.24583333333333332</v>
      </c>
      <c r="K200" t="s">
        <v>36</v>
      </c>
      <c r="L200" t="s">
        <v>27</v>
      </c>
      <c r="M200" t="s">
        <v>28</v>
      </c>
      <c r="N200" t="s">
        <v>76</v>
      </c>
      <c r="O200">
        <v>2141</v>
      </c>
      <c r="P200">
        <v>938</v>
      </c>
      <c r="Q200">
        <v>1261</v>
      </c>
      <c r="R200">
        <v>2.2999999999999998</v>
      </c>
      <c r="S200" t="s">
        <v>30</v>
      </c>
      <c r="T200" t="s">
        <v>45</v>
      </c>
      <c r="U200" t="s">
        <v>52</v>
      </c>
      <c r="V200" t="s">
        <v>47</v>
      </c>
      <c r="W200">
        <v>3576</v>
      </c>
      <c r="X200" s="6" t="str">
        <f t="shared" si="34"/>
        <v>LOW</v>
      </c>
      <c r="Y200" s="8" t="str">
        <f t="shared" si="35"/>
        <v>Movie</v>
      </c>
      <c r="Z200" s="10" t="str">
        <f t="shared" si="36"/>
        <v>Thriller</v>
      </c>
      <c r="AA200" s="8" t="str">
        <f t="shared" si="37"/>
        <v>NO</v>
      </c>
      <c r="AB200" s="6" t="str">
        <f t="shared" si="38"/>
        <v>NO</v>
      </c>
    </row>
    <row r="201" spans="1:28" x14ac:dyDescent="0.3">
      <c r="A201">
        <v>201</v>
      </c>
      <c r="B201" t="s">
        <v>54</v>
      </c>
      <c r="C201" t="s">
        <v>72</v>
      </c>
      <c r="D201" s="1">
        <v>45536</v>
      </c>
      <c r="E201" s="2">
        <v>1.5277777777777777E-2</v>
      </c>
      <c r="F201" t="s">
        <v>25</v>
      </c>
      <c r="G201">
        <v>78</v>
      </c>
      <c r="H201">
        <v>71478</v>
      </c>
      <c r="I201">
        <v>46</v>
      </c>
      <c r="J201" s="2">
        <v>0.52777777777777779</v>
      </c>
      <c r="K201" t="s">
        <v>44</v>
      </c>
      <c r="L201" t="s">
        <v>49</v>
      </c>
      <c r="M201" t="s">
        <v>28</v>
      </c>
      <c r="N201" t="s">
        <v>71</v>
      </c>
      <c r="O201">
        <v>2971</v>
      </c>
      <c r="P201">
        <v>1003</v>
      </c>
      <c r="Q201">
        <v>294</v>
      </c>
      <c r="R201">
        <v>2.9</v>
      </c>
      <c r="S201" t="s">
        <v>60</v>
      </c>
      <c r="T201" t="s">
        <v>31</v>
      </c>
      <c r="U201" t="s">
        <v>52</v>
      </c>
      <c r="V201" t="s">
        <v>33</v>
      </c>
      <c r="W201">
        <v>17409</v>
      </c>
      <c r="X201" s="6" t="str">
        <f t="shared" si="34"/>
        <v>LOW</v>
      </c>
      <c r="Y201" s="8" t="str">
        <f t="shared" si="35"/>
        <v>Documentary</v>
      </c>
      <c r="Z201" s="10" t="str">
        <f t="shared" si="36"/>
        <v>Action</v>
      </c>
      <c r="AA201" s="8" t="str">
        <f t="shared" si="37"/>
        <v>NO</v>
      </c>
      <c r="AB201" s="6" t="str">
        <f t="shared" si="38"/>
        <v>YES</v>
      </c>
    </row>
    <row r="202" spans="1:28" x14ac:dyDescent="0.3">
      <c r="A202">
        <v>202</v>
      </c>
      <c r="B202" t="s">
        <v>34</v>
      </c>
      <c r="C202" t="s">
        <v>55</v>
      </c>
      <c r="D202" s="1">
        <v>45528</v>
      </c>
      <c r="E202" s="2">
        <v>0.58611111111111114</v>
      </c>
      <c r="F202" t="s">
        <v>73</v>
      </c>
      <c r="G202">
        <v>454</v>
      </c>
      <c r="H202">
        <v>82822</v>
      </c>
      <c r="I202">
        <v>58</v>
      </c>
      <c r="J202" s="2">
        <v>0.16111111111111112</v>
      </c>
      <c r="K202" t="s">
        <v>26</v>
      </c>
      <c r="L202" t="s">
        <v>56</v>
      </c>
      <c r="M202" t="s">
        <v>38</v>
      </c>
      <c r="N202" t="s">
        <v>69</v>
      </c>
      <c r="O202">
        <v>46</v>
      </c>
      <c r="P202">
        <v>1617</v>
      </c>
      <c r="Q202">
        <v>987</v>
      </c>
      <c r="R202">
        <v>2.4</v>
      </c>
      <c r="S202" t="s">
        <v>30</v>
      </c>
      <c r="T202" t="s">
        <v>45</v>
      </c>
      <c r="U202" t="s">
        <v>41</v>
      </c>
      <c r="V202" t="s">
        <v>58</v>
      </c>
      <c r="W202">
        <v>15016</v>
      </c>
      <c r="X202" s="6" t="str">
        <f t="shared" ref="X202" si="39">IF(H202&gt;15000,"HIGH",IF(H202&gt;80000,"MEDIUM","LOW"))</f>
        <v>HIGH</v>
      </c>
      <c r="Y202" s="8" t="str">
        <f t="shared" si="35"/>
        <v>Series</v>
      </c>
      <c r="Z202" s="10" t="str">
        <f t="shared" si="36"/>
        <v>Fantasy</v>
      </c>
      <c r="AA202" s="8" t="str">
        <f t="shared" si="37"/>
        <v>NO</v>
      </c>
      <c r="AB202" s="6" t="str">
        <f t="shared" si="38"/>
        <v>NO</v>
      </c>
    </row>
    <row r="203" spans="1:28" x14ac:dyDescent="0.3">
      <c r="A203">
        <v>203</v>
      </c>
      <c r="B203" t="s">
        <v>34</v>
      </c>
      <c r="C203" t="s">
        <v>75</v>
      </c>
      <c r="D203" s="1">
        <v>45517</v>
      </c>
      <c r="E203" s="2">
        <v>0.33611111111111114</v>
      </c>
      <c r="F203" t="s">
        <v>62</v>
      </c>
      <c r="G203">
        <v>746</v>
      </c>
      <c r="H203">
        <v>91942</v>
      </c>
      <c r="I203">
        <v>72</v>
      </c>
      <c r="J203" s="2">
        <v>5.8333333333333334E-2</v>
      </c>
      <c r="K203" t="s">
        <v>36</v>
      </c>
      <c r="L203" t="s">
        <v>37</v>
      </c>
      <c r="M203" t="s">
        <v>28</v>
      </c>
      <c r="N203" t="s">
        <v>69</v>
      </c>
      <c r="O203">
        <v>305</v>
      </c>
      <c r="P203">
        <v>25</v>
      </c>
      <c r="Q203">
        <v>747</v>
      </c>
      <c r="R203">
        <v>3</v>
      </c>
      <c r="S203" t="s">
        <v>40</v>
      </c>
      <c r="T203" t="s">
        <v>63</v>
      </c>
      <c r="U203" t="s">
        <v>70</v>
      </c>
      <c r="V203" t="s">
        <v>33</v>
      </c>
      <c r="W203">
        <v>6354</v>
      </c>
      <c r="X203" s="6" t="str">
        <f t="shared" si="34"/>
        <v>LOW</v>
      </c>
      <c r="Y203" s="8" t="str">
        <f t="shared" si="35"/>
        <v>Series</v>
      </c>
      <c r="Z203" s="10" t="str">
        <f t="shared" si="36"/>
        <v>Nature</v>
      </c>
      <c r="AA203" s="8" t="str">
        <f t="shared" si="37"/>
        <v>NO</v>
      </c>
      <c r="AB203" s="6" t="str">
        <f t="shared" si="38"/>
        <v>YES</v>
      </c>
    </row>
    <row r="204" spans="1:28" x14ac:dyDescent="0.3">
      <c r="A204">
        <v>204</v>
      </c>
      <c r="B204" t="s">
        <v>23</v>
      </c>
      <c r="C204" t="s">
        <v>48</v>
      </c>
      <c r="D204" s="1">
        <v>45503</v>
      </c>
      <c r="E204" s="2">
        <v>0.19791666666666666</v>
      </c>
      <c r="F204" t="s">
        <v>62</v>
      </c>
      <c r="G204">
        <v>126</v>
      </c>
      <c r="H204">
        <v>59814</v>
      </c>
      <c r="I204">
        <v>86</v>
      </c>
      <c r="J204" s="2">
        <v>0.21875</v>
      </c>
      <c r="K204" t="s">
        <v>36</v>
      </c>
      <c r="L204" t="s">
        <v>37</v>
      </c>
      <c r="M204" t="s">
        <v>28</v>
      </c>
      <c r="N204" t="s">
        <v>76</v>
      </c>
      <c r="O204">
        <v>2221</v>
      </c>
      <c r="P204">
        <v>966</v>
      </c>
      <c r="Q204">
        <v>1239</v>
      </c>
      <c r="R204">
        <v>4.2</v>
      </c>
      <c r="S204" t="s">
        <v>30</v>
      </c>
      <c r="T204" t="s">
        <v>31</v>
      </c>
      <c r="U204" t="s">
        <v>41</v>
      </c>
      <c r="V204" t="s">
        <v>47</v>
      </c>
      <c r="W204">
        <v>12983</v>
      </c>
      <c r="X204" s="6" t="str">
        <f t="shared" si="34"/>
        <v>LOW</v>
      </c>
      <c r="Y204" s="8" t="str">
        <f t="shared" si="35"/>
        <v>Movie</v>
      </c>
      <c r="Z204" s="10" t="str">
        <f t="shared" si="36"/>
        <v>Romance</v>
      </c>
      <c r="AA204" s="8" t="str">
        <f t="shared" si="37"/>
        <v>NO</v>
      </c>
      <c r="AB204" s="6" t="str">
        <f t="shared" si="38"/>
        <v>YES</v>
      </c>
    </row>
    <row r="205" spans="1:28" x14ac:dyDescent="0.3">
      <c r="A205">
        <v>205</v>
      </c>
      <c r="B205" t="s">
        <v>23</v>
      </c>
      <c r="C205" t="s">
        <v>24</v>
      </c>
      <c r="D205" s="1">
        <v>45542</v>
      </c>
      <c r="E205" s="2">
        <v>0.22708333333333333</v>
      </c>
      <c r="F205" t="s">
        <v>73</v>
      </c>
      <c r="G205">
        <v>188</v>
      </c>
      <c r="H205">
        <v>58857</v>
      </c>
      <c r="I205">
        <v>94</v>
      </c>
      <c r="J205" s="2">
        <v>0.22847222222222222</v>
      </c>
      <c r="K205" t="s">
        <v>44</v>
      </c>
      <c r="L205" t="s">
        <v>56</v>
      </c>
      <c r="M205" t="s">
        <v>28</v>
      </c>
      <c r="N205" t="s">
        <v>69</v>
      </c>
      <c r="O205">
        <v>2538</v>
      </c>
      <c r="P205">
        <v>719</v>
      </c>
      <c r="Q205">
        <v>455</v>
      </c>
      <c r="R205">
        <v>4</v>
      </c>
      <c r="S205" t="s">
        <v>51</v>
      </c>
      <c r="T205" t="s">
        <v>45</v>
      </c>
      <c r="U205" t="s">
        <v>57</v>
      </c>
      <c r="V205" t="s">
        <v>53</v>
      </c>
      <c r="W205">
        <v>12973</v>
      </c>
      <c r="X205" s="6" t="str">
        <f t="shared" si="34"/>
        <v>LOW</v>
      </c>
      <c r="Y205" s="8" t="str">
        <f t="shared" si="35"/>
        <v>Movie</v>
      </c>
      <c r="Z205" s="10" t="str">
        <f t="shared" si="36"/>
        <v>Thriller</v>
      </c>
      <c r="AA205" s="8" t="str">
        <f t="shared" si="37"/>
        <v>NO</v>
      </c>
      <c r="AB205" s="6" t="str">
        <f t="shared" si="38"/>
        <v>YES</v>
      </c>
    </row>
    <row r="206" spans="1:28" x14ac:dyDescent="0.3">
      <c r="A206">
        <v>206</v>
      </c>
      <c r="B206" t="s">
        <v>23</v>
      </c>
      <c r="C206" t="s">
        <v>72</v>
      </c>
      <c r="D206" s="1">
        <v>45523</v>
      </c>
      <c r="E206" s="2">
        <v>0.96319444444444446</v>
      </c>
      <c r="F206" t="s">
        <v>68</v>
      </c>
      <c r="G206">
        <v>163</v>
      </c>
      <c r="H206">
        <v>86351</v>
      </c>
      <c r="I206">
        <v>133</v>
      </c>
      <c r="J206" s="2">
        <v>0.14374999999999999</v>
      </c>
      <c r="K206" t="s">
        <v>62</v>
      </c>
      <c r="L206" t="s">
        <v>49</v>
      </c>
      <c r="M206" t="s">
        <v>28</v>
      </c>
      <c r="N206" t="s">
        <v>50</v>
      </c>
      <c r="O206">
        <v>314</v>
      </c>
      <c r="P206">
        <v>897</v>
      </c>
      <c r="Q206">
        <v>1372</v>
      </c>
      <c r="R206">
        <v>3</v>
      </c>
      <c r="S206" t="s">
        <v>30</v>
      </c>
      <c r="T206" t="s">
        <v>31</v>
      </c>
      <c r="U206" t="s">
        <v>52</v>
      </c>
      <c r="V206" t="s">
        <v>47</v>
      </c>
      <c r="W206">
        <v>10647</v>
      </c>
      <c r="X206" s="6" t="str">
        <f t="shared" si="34"/>
        <v>LOW</v>
      </c>
      <c r="Y206" s="8" t="str">
        <f t="shared" si="35"/>
        <v>Movie</v>
      </c>
      <c r="Z206" s="10" t="str">
        <f t="shared" si="36"/>
        <v>Action</v>
      </c>
      <c r="AA206" s="8" t="str">
        <f t="shared" si="37"/>
        <v>NO</v>
      </c>
      <c r="AB206" s="6" t="str">
        <f t="shared" si="38"/>
        <v>YES</v>
      </c>
    </row>
    <row r="207" spans="1:28" x14ac:dyDescent="0.3">
      <c r="A207">
        <v>207</v>
      </c>
      <c r="B207" t="s">
        <v>54</v>
      </c>
      <c r="C207" t="s">
        <v>55</v>
      </c>
      <c r="D207" s="1">
        <v>45498</v>
      </c>
      <c r="E207" s="2">
        <v>0.92638888888888893</v>
      </c>
      <c r="F207" t="s">
        <v>25</v>
      </c>
      <c r="G207">
        <v>63</v>
      </c>
      <c r="H207">
        <v>22896</v>
      </c>
      <c r="I207">
        <v>53</v>
      </c>
      <c r="J207" s="2">
        <v>0.78472222222222221</v>
      </c>
      <c r="K207" t="s">
        <v>26</v>
      </c>
      <c r="L207" t="s">
        <v>49</v>
      </c>
      <c r="M207" t="s">
        <v>38</v>
      </c>
      <c r="N207" t="s">
        <v>59</v>
      </c>
      <c r="O207">
        <v>2623</v>
      </c>
      <c r="P207">
        <v>304</v>
      </c>
      <c r="Q207">
        <v>15</v>
      </c>
      <c r="R207">
        <v>1</v>
      </c>
      <c r="S207" t="s">
        <v>30</v>
      </c>
      <c r="T207" t="s">
        <v>63</v>
      </c>
      <c r="U207" t="s">
        <v>74</v>
      </c>
      <c r="V207" t="s">
        <v>58</v>
      </c>
      <c r="W207">
        <v>14067</v>
      </c>
      <c r="X207" s="6" t="str">
        <f t="shared" si="34"/>
        <v>LOW</v>
      </c>
      <c r="Y207" s="8" t="str">
        <f t="shared" si="35"/>
        <v>Documentary</v>
      </c>
      <c r="Z207" s="10" t="str">
        <f t="shared" si="36"/>
        <v>Fantasy</v>
      </c>
      <c r="AA207" s="8" t="str">
        <f t="shared" si="37"/>
        <v>NO</v>
      </c>
      <c r="AB207" s="6" t="str">
        <f t="shared" si="38"/>
        <v>NO</v>
      </c>
    </row>
    <row r="208" spans="1:28" x14ac:dyDescent="0.3">
      <c r="A208">
        <v>208</v>
      </c>
      <c r="B208" t="s">
        <v>34</v>
      </c>
      <c r="C208" t="s">
        <v>35</v>
      </c>
      <c r="D208" s="1">
        <v>45496</v>
      </c>
      <c r="E208" s="2">
        <v>0.90625</v>
      </c>
      <c r="F208" t="s">
        <v>62</v>
      </c>
      <c r="G208">
        <v>257</v>
      </c>
      <c r="H208">
        <v>94642</v>
      </c>
      <c r="I208">
        <v>115</v>
      </c>
      <c r="J208" s="2">
        <v>0.37777777777777777</v>
      </c>
      <c r="K208" t="s">
        <v>36</v>
      </c>
      <c r="L208" t="s">
        <v>27</v>
      </c>
      <c r="M208" t="s">
        <v>38</v>
      </c>
      <c r="N208" t="s">
        <v>50</v>
      </c>
      <c r="O208">
        <v>1799</v>
      </c>
      <c r="P208">
        <v>241</v>
      </c>
      <c r="Q208">
        <v>365</v>
      </c>
      <c r="R208">
        <v>3.8</v>
      </c>
      <c r="S208" t="s">
        <v>30</v>
      </c>
      <c r="T208" t="s">
        <v>31</v>
      </c>
      <c r="U208" t="s">
        <v>52</v>
      </c>
      <c r="V208" t="s">
        <v>67</v>
      </c>
      <c r="W208">
        <v>15400</v>
      </c>
      <c r="X208" s="6" t="str">
        <f t="shared" si="34"/>
        <v>LOW</v>
      </c>
      <c r="Y208" s="8" t="str">
        <f t="shared" si="35"/>
        <v>Series</v>
      </c>
      <c r="Z208" s="10" t="str">
        <f t="shared" si="36"/>
        <v>Comedy</v>
      </c>
      <c r="AA208" s="8" t="str">
        <f t="shared" si="37"/>
        <v>NO</v>
      </c>
      <c r="AB208" s="6" t="str">
        <f t="shared" si="38"/>
        <v>YES</v>
      </c>
    </row>
    <row r="209" spans="1:28" x14ac:dyDescent="0.3">
      <c r="A209">
        <v>209</v>
      </c>
      <c r="B209" t="s">
        <v>34</v>
      </c>
      <c r="C209" t="s">
        <v>72</v>
      </c>
      <c r="D209" s="1">
        <v>45478</v>
      </c>
      <c r="E209" s="2">
        <v>0.87083333333333335</v>
      </c>
      <c r="F209" t="s">
        <v>25</v>
      </c>
      <c r="G209">
        <v>522</v>
      </c>
      <c r="H209">
        <v>99019</v>
      </c>
      <c r="I209">
        <v>26</v>
      </c>
      <c r="J209" s="2">
        <v>6.2500000000000003E-3</v>
      </c>
      <c r="K209" t="s">
        <v>44</v>
      </c>
      <c r="L209" t="s">
        <v>49</v>
      </c>
      <c r="M209" t="s">
        <v>28</v>
      </c>
      <c r="N209" t="s">
        <v>59</v>
      </c>
      <c r="O209">
        <v>109</v>
      </c>
      <c r="P209">
        <v>341</v>
      </c>
      <c r="Q209">
        <v>22</v>
      </c>
      <c r="R209">
        <v>4.2</v>
      </c>
      <c r="S209" t="s">
        <v>60</v>
      </c>
      <c r="T209" t="s">
        <v>31</v>
      </c>
      <c r="U209" t="s">
        <v>70</v>
      </c>
      <c r="V209" t="s">
        <v>42</v>
      </c>
      <c r="W209">
        <v>9918</v>
      </c>
      <c r="X209" s="6" t="str">
        <f t="shared" si="34"/>
        <v>LOW</v>
      </c>
      <c r="Y209" s="8" t="str">
        <f t="shared" si="35"/>
        <v>Series</v>
      </c>
      <c r="Z209" s="10" t="str">
        <f t="shared" si="36"/>
        <v>Action</v>
      </c>
      <c r="AA209" s="8" t="str">
        <f t="shared" si="37"/>
        <v>NO</v>
      </c>
      <c r="AB209" s="6" t="str">
        <f t="shared" si="38"/>
        <v>YES</v>
      </c>
    </row>
    <row r="210" spans="1:28" x14ac:dyDescent="0.3">
      <c r="A210">
        <v>210</v>
      </c>
      <c r="B210" t="s">
        <v>34</v>
      </c>
      <c r="C210" t="s">
        <v>43</v>
      </c>
      <c r="D210" s="1">
        <v>45511</v>
      </c>
      <c r="E210" s="2">
        <v>0.6645833333333333</v>
      </c>
      <c r="F210" t="s">
        <v>73</v>
      </c>
      <c r="G210">
        <v>493</v>
      </c>
      <c r="H210">
        <v>80888</v>
      </c>
      <c r="I210">
        <v>102</v>
      </c>
      <c r="J210" s="2">
        <v>0.90347222222222223</v>
      </c>
      <c r="K210" t="s">
        <v>26</v>
      </c>
      <c r="L210" t="s">
        <v>37</v>
      </c>
      <c r="M210" t="s">
        <v>28</v>
      </c>
      <c r="N210" t="s">
        <v>71</v>
      </c>
      <c r="O210">
        <v>2823</v>
      </c>
      <c r="P210">
        <v>1292</v>
      </c>
      <c r="Q210">
        <v>1148</v>
      </c>
      <c r="R210">
        <v>2</v>
      </c>
      <c r="S210" t="s">
        <v>51</v>
      </c>
      <c r="T210" t="s">
        <v>45</v>
      </c>
      <c r="U210" t="s">
        <v>57</v>
      </c>
      <c r="V210" t="s">
        <v>42</v>
      </c>
      <c r="W210">
        <v>3421</v>
      </c>
      <c r="X210" s="6" t="str">
        <f t="shared" si="34"/>
        <v>LOW</v>
      </c>
      <c r="Y210" s="8" t="str">
        <f t="shared" si="35"/>
        <v>Series</v>
      </c>
      <c r="Z210" s="10" t="str">
        <f t="shared" si="36"/>
        <v>Sci-Fi</v>
      </c>
      <c r="AA210" s="8" t="str">
        <f t="shared" si="37"/>
        <v>NO</v>
      </c>
      <c r="AB210" s="6" t="str">
        <f t="shared" si="38"/>
        <v>NO</v>
      </c>
    </row>
    <row r="211" spans="1:28" x14ac:dyDescent="0.3">
      <c r="A211">
        <v>211</v>
      </c>
      <c r="B211" t="s">
        <v>54</v>
      </c>
      <c r="C211" t="s">
        <v>24</v>
      </c>
      <c r="D211" s="1">
        <v>45534</v>
      </c>
      <c r="E211" s="2">
        <v>0.40347222222222223</v>
      </c>
      <c r="F211" t="s">
        <v>36</v>
      </c>
      <c r="G211">
        <v>102</v>
      </c>
      <c r="H211">
        <v>82310</v>
      </c>
      <c r="I211">
        <v>83</v>
      </c>
      <c r="J211" s="2">
        <v>0.33055555555555555</v>
      </c>
      <c r="K211" t="s">
        <v>36</v>
      </c>
      <c r="L211" t="s">
        <v>56</v>
      </c>
      <c r="M211" t="s">
        <v>38</v>
      </c>
      <c r="N211" t="s">
        <v>65</v>
      </c>
      <c r="O211">
        <v>2821</v>
      </c>
      <c r="P211">
        <v>1692</v>
      </c>
      <c r="Q211">
        <v>1433</v>
      </c>
      <c r="R211">
        <v>3.5</v>
      </c>
      <c r="S211" t="s">
        <v>40</v>
      </c>
      <c r="T211" t="s">
        <v>45</v>
      </c>
      <c r="U211" t="s">
        <v>46</v>
      </c>
      <c r="V211" t="s">
        <v>42</v>
      </c>
      <c r="W211">
        <v>14109</v>
      </c>
      <c r="X211" s="6" t="str">
        <f t="shared" si="34"/>
        <v>LOW</v>
      </c>
      <c r="Y211" s="8" t="str">
        <f t="shared" si="35"/>
        <v>Documentary</v>
      </c>
      <c r="Z211" s="10" t="str">
        <f t="shared" si="36"/>
        <v>Thriller</v>
      </c>
      <c r="AA211" s="8" t="str">
        <f t="shared" si="37"/>
        <v>NO</v>
      </c>
      <c r="AB211" s="6" t="str">
        <f t="shared" si="38"/>
        <v>YES</v>
      </c>
    </row>
    <row r="212" spans="1:28" x14ac:dyDescent="0.3">
      <c r="A212">
        <v>212</v>
      </c>
      <c r="B212" t="s">
        <v>54</v>
      </c>
      <c r="C212" t="s">
        <v>55</v>
      </c>
      <c r="D212" s="1">
        <v>45509</v>
      </c>
      <c r="E212" s="2">
        <v>0.95902777777777781</v>
      </c>
      <c r="F212" t="s">
        <v>26</v>
      </c>
      <c r="G212">
        <v>76</v>
      </c>
      <c r="H212">
        <v>94696</v>
      </c>
      <c r="I212">
        <v>55</v>
      </c>
      <c r="J212" s="2">
        <v>0.6958333333333333</v>
      </c>
      <c r="K212" t="s">
        <v>44</v>
      </c>
      <c r="L212" t="s">
        <v>49</v>
      </c>
      <c r="M212" t="s">
        <v>38</v>
      </c>
      <c r="N212" t="s">
        <v>50</v>
      </c>
      <c r="O212">
        <v>1595</v>
      </c>
      <c r="P212">
        <v>1189</v>
      </c>
      <c r="Q212">
        <v>580</v>
      </c>
      <c r="R212">
        <v>2.4</v>
      </c>
      <c r="S212" t="s">
        <v>40</v>
      </c>
      <c r="T212" t="s">
        <v>31</v>
      </c>
      <c r="U212" t="s">
        <v>46</v>
      </c>
      <c r="V212" t="s">
        <v>47</v>
      </c>
      <c r="W212">
        <v>888</v>
      </c>
      <c r="X212" s="6" t="str">
        <f t="shared" ref="X212" si="40">IF(H212&gt;15000,"HIGH",IF(H212&gt;80000,"MEDIUM","LOW"))</f>
        <v>HIGH</v>
      </c>
      <c r="Y212" s="8" t="str">
        <f t="shared" si="35"/>
        <v>Documentary</v>
      </c>
      <c r="Z212" s="10" t="str">
        <f t="shared" si="36"/>
        <v>Fantasy</v>
      </c>
      <c r="AA212" s="8" t="str">
        <f t="shared" si="37"/>
        <v>NO</v>
      </c>
      <c r="AB212" s="6" t="str">
        <f t="shared" si="38"/>
        <v>NO</v>
      </c>
    </row>
    <row r="213" spans="1:28" x14ac:dyDescent="0.3">
      <c r="A213">
        <v>213</v>
      </c>
      <c r="B213" t="s">
        <v>34</v>
      </c>
      <c r="C213" t="s">
        <v>48</v>
      </c>
      <c r="D213" s="1">
        <v>45528</v>
      </c>
      <c r="E213" s="2">
        <v>0.81388888888888888</v>
      </c>
      <c r="F213" t="s">
        <v>68</v>
      </c>
      <c r="G213">
        <v>1090</v>
      </c>
      <c r="H213">
        <v>98861</v>
      </c>
      <c r="I213">
        <v>50</v>
      </c>
      <c r="J213" s="2">
        <v>0.40833333333333333</v>
      </c>
      <c r="K213" t="s">
        <v>26</v>
      </c>
      <c r="L213" t="s">
        <v>27</v>
      </c>
      <c r="M213" t="s">
        <v>28</v>
      </c>
      <c r="N213" t="s">
        <v>50</v>
      </c>
      <c r="O213">
        <v>142</v>
      </c>
      <c r="P213">
        <v>31</v>
      </c>
      <c r="Q213">
        <v>368</v>
      </c>
      <c r="R213">
        <v>3.6</v>
      </c>
      <c r="S213" t="s">
        <v>30</v>
      </c>
      <c r="T213" t="s">
        <v>63</v>
      </c>
      <c r="U213" t="s">
        <v>57</v>
      </c>
      <c r="V213" t="s">
        <v>47</v>
      </c>
      <c r="W213">
        <v>10942</v>
      </c>
      <c r="X213" s="6" t="str">
        <f t="shared" si="34"/>
        <v>LOW</v>
      </c>
      <c r="Y213" s="8" t="str">
        <f t="shared" si="35"/>
        <v>Series</v>
      </c>
      <c r="Z213" s="10" t="str">
        <f t="shared" si="36"/>
        <v>Romance</v>
      </c>
      <c r="AA213" s="8" t="str">
        <f t="shared" si="37"/>
        <v>NO</v>
      </c>
      <c r="AB213" s="6" t="str">
        <f t="shared" si="38"/>
        <v>YES</v>
      </c>
    </row>
    <row r="214" spans="1:28" x14ac:dyDescent="0.3">
      <c r="A214">
        <v>214</v>
      </c>
      <c r="B214" t="s">
        <v>54</v>
      </c>
      <c r="C214" t="s">
        <v>61</v>
      </c>
      <c r="D214" s="1">
        <v>45516</v>
      </c>
      <c r="E214" s="2">
        <v>0.70694444444444449</v>
      </c>
      <c r="F214" t="s">
        <v>26</v>
      </c>
      <c r="G214">
        <v>95</v>
      </c>
      <c r="H214">
        <v>61113</v>
      </c>
      <c r="I214">
        <v>31</v>
      </c>
      <c r="J214" s="2">
        <v>0.43333333333333335</v>
      </c>
      <c r="K214" t="s">
        <v>36</v>
      </c>
      <c r="L214" t="s">
        <v>37</v>
      </c>
      <c r="M214" t="s">
        <v>38</v>
      </c>
      <c r="N214" t="s">
        <v>76</v>
      </c>
      <c r="O214">
        <v>722</v>
      </c>
      <c r="P214">
        <v>1253</v>
      </c>
      <c r="Q214">
        <v>999</v>
      </c>
      <c r="R214">
        <v>4</v>
      </c>
      <c r="S214" t="s">
        <v>40</v>
      </c>
      <c r="T214" t="s">
        <v>45</v>
      </c>
      <c r="U214" t="s">
        <v>52</v>
      </c>
      <c r="V214" t="s">
        <v>33</v>
      </c>
      <c r="W214">
        <v>3070</v>
      </c>
      <c r="X214" s="6" t="str">
        <f t="shared" si="34"/>
        <v>LOW</v>
      </c>
      <c r="Y214" s="8" t="str">
        <f t="shared" si="35"/>
        <v>Documentary</v>
      </c>
      <c r="Z214" s="10" t="str">
        <f t="shared" si="36"/>
        <v>History</v>
      </c>
      <c r="AA214" s="8" t="str">
        <f t="shared" si="37"/>
        <v>NO</v>
      </c>
      <c r="AB214" s="6" t="str">
        <f t="shared" si="38"/>
        <v>YES</v>
      </c>
    </row>
    <row r="215" spans="1:28" x14ac:dyDescent="0.3">
      <c r="A215">
        <v>215</v>
      </c>
      <c r="B215" t="s">
        <v>34</v>
      </c>
      <c r="C215" t="s">
        <v>55</v>
      </c>
      <c r="D215" s="1">
        <v>45528</v>
      </c>
      <c r="E215" s="2">
        <v>0.20902777777777778</v>
      </c>
      <c r="F215" t="s">
        <v>25</v>
      </c>
      <c r="G215">
        <v>987</v>
      </c>
      <c r="H215">
        <v>67566</v>
      </c>
      <c r="I215">
        <v>102</v>
      </c>
      <c r="J215" s="2">
        <v>0.11388888888888889</v>
      </c>
      <c r="K215" t="s">
        <v>36</v>
      </c>
      <c r="L215" t="s">
        <v>49</v>
      </c>
      <c r="M215" t="s">
        <v>38</v>
      </c>
      <c r="N215" t="s">
        <v>69</v>
      </c>
      <c r="O215">
        <v>823</v>
      </c>
      <c r="P215">
        <v>1258</v>
      </c>
      <c r="Q215">
        <v>903</v>
      </c>
      <c r="R215">
        <v>3.4</v>
      </c>
      <c r="S215" t="s">
        <v>60</v>
      </c>
      <c r="T215" t="s">
        <v>63</v>
      </c>
      <c r="U215" t="s">
        <v>32</v>
      </c>
      <c r="V215" t="s">
        <v>47</v>
      </c>
      <c r="W215">
        <v>3498</v>
      </c>
      <c r="X215" s="6" t="str">
        <f t="shared" si="34"/>
        <v>LOW</v>
      </c>
      <c r="Y215" s="8" t="str">
        <f t="shared" si="35"/>
        <v>Series</v>
      </c>
      <c r="Z215" s="10" t="str">
        <f t="shared" si="36"/>
        <v>Fantasy</v>
      </c>
      <c r="AA215" s="8" t="str">
        <f t="shared" si="37"/>
        <v>NO</v>
      </c>
      <c r="AB215" s="6" t="str">
        <f t="shared" si="38"/>
        <v>YES</v>
      </c>
    </row>
    <row r="216" spans="1:28" x14ac:dyDescent="0.3">
      <c r="A216">
        <v>216</v>
      </c>
      <c r="B216" t="s">
        <v>23</v>
      </c>
      <c r="C216" t="s">
        <v>48</v>
      </c>
      <c r="D216" s="1">
        <v>45549</v>
      </c>
      <c r="E216" s="2">
        <v>0.25555555555555554</v>
      </c>
      <c r="F216" t="s">
        <v>62</v>
      </c>
      <c r="G216">
        <v>105</v>
      </c>
      <c r="H216">
        <v>93538</v>
      </c>
      <c r="I216">
        <v>41</v>
      </c>
      <c r="J216" s="2">
        <v>0.54861111111111116</v>
      </c>
      <c r="K216" t="s">
        <v>44</v>
      </c>
      <c r="L216" t="s">
        <v>37</v>
      </c>
      <c r="M216" t="s">
        <v>28</v>
      </c>
      <c r="N216" t="s">
        <v>65</v>
      </c>
      <c r="O216">
        <v>820</v>
      </c>
      <c r="P216">
        <v>594</v>
      </c>
      <c r="Q216">
        <v>8</v>
      </c>
      <c r="R216">
        <v>3.1</v>
      </c>
      <c r="S216" t="s">
        <v>40</v>
      </c>
      <c r="T216" t="s">
        <v>31</v>
      </c>
      <c r="U216" t="s">
        <v>74</v>
      </c>
      <c r="V216" t="s">
        <v>47</v>
      </c>
      <c r="W216">
        <v>17270</v>
      </c>
      <c r="X216" s="6" t="str">
        <f t="shared" si="34"/>
        <v>LOW</v>
      </c>
      <c r="Y216" s="8" t="str">
        <f t="shared" si="35"/>
        <v>Movie</v>
      </c>
      <c r="Z216" s="10" t="str">
        <f t="shared" si="36"/>
        <v>Romance</v>
      </c>
      <c r="AA216" s="8" t="str">
        <f t="shared" si="37"/>
        <v>NO</v>
      </c>
      <c r="AB216" s="6" t="str">
        <f t="shared" si="38"/>
        <v>YES</v>
      </c>
    </row>
    <row r="217" spans="1:28" x14ac:dyDescent="0.3">
      <c r="A217">
        <v>217</v>
      </c>
      <c r="B217" t="s">
        <v>34</v>
      </c>
      <c r="C217" t="s">
        <v>64</v>
      </c>
      <c r="D217" s="1">
        <v>45477</v>
      </c>
      <c r="E217" s="2">
        <v>0.57916666666666672</v>
      </c>
      <c r="F217" t="s">
        <v>26</v>
      </c>
      <c r="G217">
        <v>851</v>
      </c>
      <c r="H217">
        <v>44614</v>
      </c>
      <c r="I217">
        <v>124</v>
      </c>
      <c r="J217" s="2">
        <v>0.80972222222222223</v>
      </c>
      <c r="K217" t="s">
        <v>62</v>
      </c>
      <c r="L217" t="s">
        <v>27</v>
      </c>
      <c r="M217" t="s">
        <v>28</v>
      </c>
      <c r="N217" t="s">
        <v>50</v>
      </c>
      <c r="O217">
        <v>2064</v>
      </c>
      <c r="P217">
        <v>1639</v>
      </c>
      <c r="Q217">
        <v>484</v>
      </c>
      <c r="R217">
        <v>3.1</v>
      </c>
      <c r="S217" t="s">
        <v>40</v>
      </c>
      <c r="T217" t="s">
        <v>63</v>
      </c>
      <c r="U217" t="s">
        <v>46</v>
      </c>
      <c r="V217" t="s">
        <v>47</v>
      </c>
      <c r="W217">
        <v>14830</v>
      </c>
      <c r="X217" s="6" t="str">
        <f t="shared" si="34"/>
        <v>LOW</v>
      </c>
      <c r="Y217" s="8" t="str">
        <f t="shared" si="35"/>
        <v>Series</v>
      </c>
      <c r="Z217" s="10" t="str">
        <f t="shared" si="36"/>
        <v>Drama</v>
      </c>
      <c r="AA217" s="8" t="str">
        <f t="shared" si="37"/>
        <v>NO</v>
      </c>
      <c r="AB217" s="6" t="str">
        <f t="shared" si="38"/>
        <v>YES</v>
      </c>
    </row>
    <row r="218" spans="1:28" x14ac:dyDescent="0.3">
      <c r="A218">
        <v>218</v>
      </c>
      <c r="B218" t="s">
        <v>54</v>
      </c>
      <c r="C218" t="s">
        <v>64</v>
      </c>
      <c r="D218" s="1">
        <v>45517</v>
      </c>
      <c r="E218" s="2">
        <v>0.96805555555555556</v>
      </c>
      <c r="F218" t="s">
        <v>62</v>
      </c>
      <c r="G218">
        <v>73</v>
      </c>
      <c r="H218">
        <v>84334</v>
      </c>
      <c r="I218">
        <v>46</v>
      </c>
      <c r="J218" s="2">
        <v>0.72777777777777775</v>
      </c>
      <c r="K218" t="s">
        <v>26</v>
      </c>
      <c r="L218" t="s">
        <v>56</v>
      </c>
      <c r="M218" t="s">
        <v>38</v>
      </c>
      <c r="N218" t="s">
        <v>50</v>
      </c>
      <c r="O218">
        <v>1747</v>
      </c>
      <c r="P218">
        <v>566</v>
      </c>
      <c r="Q218">
        <v>759</v>
      </c>
      <c r="R218">
        <v>2</v>
      </c>
      <c r="S218" t="s">
        <v>40</v>
      </c>
      <c r="T218" t="s">
        <v>31</v>
      </c>
      <c r="U218" t="s">
        <v>32</v>
      </c>
      <c r="V218" t="s">
        <v>42</v>
      </c>
      <c r="W218">
        <v>18275</v>
      </c>
      <c r="X218" s="6" t="str">
        <f t="shared" si="34"/>
        <v>LOW</v>
      </c>
      <c r="Y218" s="8" t="str">
        <f t="shared" si="35"/>
        <v>Documentary</v>
      </c>
      <c r="Z218" s="10" t="str">
        <f t="shared" si="36"/>
        <v>Drama</v>
      </c>
      <c r="AA218" s="8" t="str">
        <f t="shared" si="37"/>
        <v>NO</v>
      </c>
      <c r="AB218" s="6" t="str">
        <f t="shared" si="38"/>
        <v>NO</v>
      </c>
    </row>
    <row r="219" spans="1:28" x14ac:dyDescent="0.3">
      <c r="A219">
        <v>219</v>
      </c>
      <c r="B219" t="s">
        <v>23</v>
      </c>
      <c r="C219" t="s">
        <v>72</v>
      </c>
      <c r="D219" s="1">
        <v>45522</v>
      </c>
      <c r="E219" s="2">
        <v>0.86319444444444449</v>
      </c>
      <c r="F219" t="s">
        <v>73</v>
      </c>
      <c r="G219">
        <v>129</v>
      </c>
      <c r="H219">
        <v>82491</v>
      </c>
      <c r="I219">
        <v>78</v>
      </c>
      <c r="J219" s="2">
        <v>0.86597222222222225</v>
      </c>
      <c r="K219" t="s">
        <v>36</v>
      </c>
      <c r="L219" t="s">
        <v>27</v>
      </c>
      <c r="M219" t="s">
        <v>38</v>
      </c>
      <c r="N219" t="s">
        <v>71</v>
      </c>
      <c r="O219">
        <v>656</v>
      </c>
      <c r="P219">
        <v>980</v>
      </c>
      <c r="Q219">
        <v>95</v>
      </c>
      <c r="R219">
        <v>2</v>
      </c>
      <c r="S219" t="s">
        <v>40</v>
      </c>
      <c r="T219" t="s">
        <v>31</v>
      </c>
      <c r="U219" t="s">
        <v>66</v>
      </c>
      <c r="V219" t="s">
        <v>33</v>
      </c>
      <c r="W219">
        <v>12868</v>
      </c>
      <c r="X219" s="6" t="str">
        <f t="shared" si="34"/>
        <v>LOW</v>
      </c>
      <c r="Y219" s="8" t="str">
        <f t="shared" si="35"/>
        <v>Movie</v>
      </c>
      <c r="Z219" s="10" t="str">
        <f t="shared" si="36"/>
        <v>Action</v>
      </c>
      <c r="AA219" s="8" t="str">
        <f t="shared" si="37"/>
        <v>NO</v>
      </c>
      <c r="AB219" s="6" t="str">
        <f t="shared" si="38"/>
        <v>NO</v>
      </c>
    </row>
    <row r="220" spans="1:28" x14ac:dyDescent="0.3">
      <c r="A220">
        <v>220</v>
      </c>
      <c r="B220" t="s">
        <v>54</v>
      </c>
      <c r="C220" t="s">
        <v>61</v>
      </c>
      <c r="D220" s="1">
        <v>45481</v>
      </c>
      <c r="E220" s="2">
        <v>0.3840277777777778</v>
      </c>
      <c r="F220" t="s">
        <v>25</v>
      </c>
      <c r="G220">
        <v>101</v>
      </c>
      <c r="H220">
        <v>56059</v>
      </c>
      <c r="I220">
        <v>50</v>
      </c>
      <c r="J220" s="2">
        <v>0.8666666666666667</v>
      </c>
      <c r="K220" t="s">
        <v>44</v>
      </c>
      <c r="L220" t="s">
        <v>49</v>
      </c>
      <c r="M220" t="s">
        <v>38</v>
      </c>
      <c r="N220" t="s">
        <v>29</v>
      </c>
      <c r="O220">
        <v>1461</v>
      </c>
      <c r="P220">
        <v>1116</v>
      </c>
      <c r="Q220">
        <v>220</v>
      </c>
      <c r="R220">
        <v>4.3</v>
      </c>
      <c r="S220" t="s">
        <v>60</v>
      </c>
      <c r="T220" t="s">
        <v>31</v>
      </c>
      <c r="U220" t="s">
        <v>74</v>
      </c>
      <c r="V220" t="s">
        <v>47</v>
      </c>
      <c r="W220">
        <v>15241</v>
      </c>
      <c r="X220" s="6" t="str">
        <f t="shared" si="34"/>
        <v>LOW</v>
      </c>
      <c r="Y220" s="8" t="str">
        <f t="shared" si="35"/>
        <v>Documentary</v>
      </c>
      <c r="Z220" s="10" t="str">
        <f t="shared" si="36"/>
        <v>History</v>
      </c>
      <c r="AA220" s="8" t="str">
        <f t="shared" si="37"/>
        <v>NO</v>
      </c>
      <c r="AB220" s="6" t="str">
        <f t="shared" si="38"/>
        <v>YES</v>
      </c>
    </row>
    <row r="221" spans="1:28" x14ac:dyDescent="0.3">
      <c r="A221">
        <v>221</v>
      </c>
      <c r="B221" t="s">
        <v>34</v>
      </c>
      <c r="C221" t="s">
        <v>24</v>
      </c>
      <c r="D221" s="1">
        <v>45501</v>
      </c>
      <c r="E221" s="2">
        <v>0.17499999999999999</v>
      </c>
      <c r="F221" t="s">
        <v>62</v>
      </c>
      <c r="G221">
        <v>797</v>
      </c>
      <c r="H221">
        <v>70400</v>
      </c>
      <c r="I221">
        <v>25</v>
      </c>
      <c r="J221" s="2">
        <v>3.888888888888889E-2</v>
      </c>
      <c r="K221" t="s">
        <v>26</v>
      </c>
      <c r="L221" t="s">
        <v>27</v>
      </c>
      <c r="M221" t="s">
        <v>38</v>
      </c>
      <c r="N221" t="s">
        <v>29</v>
      </c>
      <c r="O221">
        <v>1941</v>
      </c>
      <c r="P221">
        <v>1380</v>
      </c>
      <c r="Q221">
        <v>606</v>
      </c>
      <c r="R221">
        <v>3.6</v>
      </c>
      <c r="S221" t="s">
        <v>51</v>
      </c>
      <c r="T221" t="s">
        <v>63</v>
      </c>
      <c r="U221" t="s">
        <v>46</v>
      </c>
      <c r="V221" t="s">
        <v>47</v>
      </c>
      <c r="W221">
        <v>12487</v>
      </c>
      <c r="X221" s="6" t="str">
        <f t="shared" si="34"/>
        <v>LOW</v>
      </c>
      <c r="Y221" s="8" t="str">
        <f t="shared" si="35"/>
        <v>Series</v>
      </c>
      <c r="Z221" s="10" t="str">
        <f t="shared" si="36"/>
        <v>Thriller</v>
      </c>
      <c r="AA221" s="8" t="str">
        <f t="shared" si="37"/>
        <v>NO</v>
      </c>
      <c r="AB221" s="6" t="str">
        <f t="shared" si="38"/>
        <v>YES</v>
      </c>
    </row>
    <row r="222" spans="1:28" x14ac:dyDescent="0.3">
      <c r="A222">
        <v>222</v>
      </c>
      <c r="B222" t="s">
        <v>34</v>
      </c>
      <c r="C222" t="s">
        <v>75</v>
      </c>
      <c r="D222" s="1">
        <v>45544</v>
      </c>
      <c r="E222" s="2">
        <v>0.25069444444444444</v>
      </c>
      <c r="F222" t="s">
        <v>25</v>
      </c>
      <c r="G222">
        <v>577</v>
      </c>
      <c r="H222">
        <v>41968</v>
      </c>
      <c r="I222">
        <v>129</v>
      </c>
      <c r="J222" s="2">
        <v>0.72986111111111107</v>
      </c>
      <c r="K222" t="s">
        <v>36</v>
      </c>
      <c r="L222" t="s">
        <v>56</v>
      </c>
      <c r="M222" t="s">
        <v>38</v>
      </c>
      <c r="N222" t="s">
        <v>39</v>
      </c>
      <c r="O222">
        <v>1426</v>
      </c>
      <c r="P222">
        <v>686</v>
      </c>
      <c r="Q222">
        <v>182</v>
      </c>
      <c r="R222">
        <v>4.3</v>
      </c>
      <c r="S222" t="s">
        <v>30</v>
      </c>
      <c r="T222" t="s">
        <v>45</v>
      </c>
      <c r="U222" t="s">
        <v>66</v>
      </c>
      <c r="V222" t="s">
        <v>33</v>
      </c>
      <c r="W222">
        <v>11260</v>
      </c>
      <c r="X222" s="6" t="str">
        <f t="shared" ref="X222" si="41">IF(H222&gt;15000,"HIGH",IF(H222&gt;80000,"MEDIUM","LOW"))</f>
        <v>HIGH</v>
      </c>
      <c r="Y222" s="8" t="str">
        <f t="shared" si="35"/>
        <v>Series</v>
      </c>
      <c r="Z222" s="10" t="str">
        <f t="shared" si="36"/>
        <v>Nature</v>
      </c>
      <c r="AA222" s="8" t="str">
        <f t="shared" si="37"/>
        <v>NO</v>
      </c>
      <c r="AB222" s="6" t="str">
        <f t="shared" si="38"/>
        <v>YES</v>
      </c>
    </row>
    <row r="223" spans="1:28" x14ac:dyDescent="0.3">
      <c r="A223">
        <v>223</v>
      </c>
      <c r="B223" t="s">
        <v>23</v>
      </c>
      <c r="C223" t="s">
        <v>72</v>
      </c>
      <c r="D223" s="1">
        <v>45478</v>
      </c>
      <c r="E223" s="2">
        <v>0.87152777777777779</v>
      </c>
      <c r="F223" t="s">
        <v>26</v>
      </c>
      <c r="G223">
        <v>198</v>
      </c>
      <c r="H223">
        <v>65347</v>
      </c>
      <c r="I223">
        <v>34</v>
      </c>
      <c r="J223" s="2">
        <v>4.3749999999999997E-2</v>
      </c>
      <c r="K223" t="s">
        <v>36</v>
      </c>
      <c r="L223" t="s">
        <v>49</v>
      </c>
      <c r="M223" t="s">
        <v>28</v>
      </c>
      <c r="N223" t="s">
        <v>39</v>
      </c>
      <c r="O223">
        <v>2793</v>
      </c>
      <c r="P223">
        <v>579</v>
      </c>
      <c r="Q223">
        <v>730</v>
      </c>
      <c r="R223">
        <v>1</v>
      </c>
      <c r="S223" t="s">
        <v>40</v>
      </c>
      <c r="T223" t="s">
        <v>63</v>
      </c>
      <c r="U223" t="s">
        <v>46</v>
      </c>
      <c r="V223" t="s">
        <v>47</v>
      </c>
      <c r="W223">
        <v>15251</v>
      </c>
      <c r="X223" s="6" t="str">
        <f t="shared" si="34"/>
        <v>LOW</v>
      </c>
      <c r="Y223" s="8" t="str">
        <f t="shared" si="35"/>
        <v>Movie</v>
      </c>
      <c r="Z223" s="10" t="str">
        <f t="shared" si="36"/>
        <v>Action</v>
      </c>
      <c r="AA223" s="8" t="str">
        <f t="shared" si="37"/>
        <v>NO</v>
      </c>
      <c r="AB223" s="6" t="str">
        <f t="shared" si="38"/>
        <v>NO</v>
      </c>
    </row>
    <row r="224" spans="1:28" x14ac:dyDescent="0.3">
      <c r="A224">
        <v>224</v>
      </c>
      <c r="B224" t="s">
        <v>54</v>
      </c>
      <c r="C224" t="s">
        <v>61</v>
      </c>
      <c r="D224" s="1">
        <v>45496</v>
      </c>
      <c r="E224" s="2">
        <v>0.92500000000000004</v>
      </c>
      <c r="F224" t="s">
        <v>68</v>
      </c>
      <c r="G224">
        <v>70</v>
      </c>
      <c r="H224">
        <v>48004</v>
      </c>
      <c r="I224">
        <v>48</v>
      </c>
      <c r="J224" s="2">
        <v>0.54374999999999996</v>
      </c>
      <c r="K224" t="s">
        <v>44</v>
      </c>
      <c r="L224" t="s">
        <v>27</v>
      </c>
      <c r="M224" t="s">
        <v>38</v>
      </c>
      <c r="N224" t="s">
        <v>39</v>
      </c>
      <c r="O224">
        <v>537</v>
      </c>
      <c r="P224">
        <v>98</v>
      </c>
      <c r="Q224">
        <v>1477</v>
      </c>
      <c r="R224">
        <v>1.4</v>
      </c>
      <c r="S224" t="s">
        <v>51</v>
      </c>
      <c r="T224" t="s">
        <v>45</v>
      </c>
      <c r="U224" t="s">
        <v>41</v>
      </c>
      <c r="V224" t="s">
        <v>47</v>
      </c>
      <c r="W224">
        <v>12200</v>
      </c>
      <c r="X224" s="6" t="str">
        <f t="shared" si="34"/>
        <v>LOW</v>
      </c>
      <c r="Y224" s="8" t="str">
        <f t="shared" si="35"/>
        <v>Documentary</v>
      </c>
      <c r="Z224" s="10" t="str">
        <f t="shared" si="36"/>
        <v>History</v>
      </c>
      <c r="AA224" s="8" t="str">
        <f t="shared" si="37"/>
        <v>NO</v>
      </c>
      <c r="AB224" s="6" t="str">
        <f t="shared" si="38"/>
        <v>NO</v>
      </c>
    </row>
    <row r="225" spans="1:28" x14ac:dyDescent="0.3">
      <c r="A225">
        <v>225</v>
      </c>
      <c r="B225" t="s">
        <v>34</v>
      </c>
      <c r="C225" t="s">
        <v>75</v>
      </c>
      <c r="D225" s="1">
        <v>45507</v>
      </c>
      <c r="E225" s="2">
        <v>0.38958333333333334</v>
      </c>
      <c r="F225" t="s">
        <v>44</v>
      </c>
      <c r="G225">
        <v>706</v>
      </c>
      <c r="H225">
        <v>34934</v>
      </c>
      <c r="I225">
        <v>49</v>
      </c>
      <c r="J225" s="2">
        <v>0.15416666666666667</v>
      </c>
      <c r="K225" t="s">
        <v>62</v>
      </c>
      <c r="L225" t="s">
        <v>56</v>
      </c>
      <c r="M225" t="s">
        <v>28</v>
      </c>
      <c r="N225" t="s">
        <v>59</v>
      </c>
      <c r="O225">
        <v>1563</v>
      </c>
      <c r="P225">
        <v>1092</v>
      </c>
      <c r="Q225">
        <v>459</v>
      </c>
      <c r="R225">
        <v>3.4</v>
      </c>
      <c r="S225" t="s">
        <v>40</v>
      </c>
      <c r="T225" t="s">
        <v>45</v>
      </c>
      <c r="U225" t="s">
        <v>52</v>
      </c>
      <c r="V225" t="s">
        <v>33</v>
      </c>
      <c r="W225">
        <v>12733</v>
      </c>
      <c r="X225" s="6" t="str">
        <f t="shared" si="34"/>
        <v>LOW</v>
      </c>
      <c r="Y225" s="8" t="str">
        <f t="shared" si="35"/>
        <v>Series</v>
      </c>
      <c r="Z225" s="10" t="str">
        <f t="shared" si="36"/>
        <v>Nature</v>
      </c>
      <c r="AA225" s="8" t="str">
        <f t="shared" si="37"/>
        <v>NO</v>
      </c>
      <c r="AB225" s="6" t="str">
        <f t="shared" si="38"/>
        <v>YES</v>
      </c>
    </row>
    <row r="226" spans="1:28" x14ac:dyDescent="0.3">
      <c r="A226">
        <v>226</v>
      </c>
      <c r="B226" t="s">
        <v>23</v>
      </c>
      <c r="C226" t="s">
        <v>64</v>
      </c>
      <c r="D226" s="1">
        <v>45529</v>
      </c>
      <c r="E226" s="2">
        <v>0.92083333333333328</v>
      </c>
      <c r="F226" t="s">
        <v>36</v>
      </c>
      <c r="G226">
        <v>191</v>
      </c>
      <c r="H226">
        <v>91659</v>
      </c>
      <c r="I226">
        <v>76</v>
      </c>
      <c r="J226" s="2">
        <v>0.3034722222222222</v>
      </c>
      <c r="K226" t="s">
        <v>26</v>
      </c>
      <c r="L226" t="s">
        <v>56</v>
      </c>
      <c r="M226" t="s">
        <v>38</v>
      </c>
      <c r="N226" t="s">
        <v>59</v>
      </c>
      <c r="O226">
        <v>84</v>
      </c>
      <c r="P226">
        <v>1676</v>
      </c>
      <c r="Q226">
        <v>404</v>
      </c>
      <c r="R226">
        <v>1.2</v>
      </c>
      <c r="S226" t="s">
        <v>30</v>
      </c>
      <c r="T226" t="s">
        <v>63</v>
      </c>
      <c r="U226" t="s">
        <v>70</v>
      </c>
      <c r="V226" t="s">
        <v>42</v>
      </c>
      <c r="W226">
        <v>14994</v>
      </c>
      <c r="X226" s="6" t="str">
        <f t="shared" si="34"/>
        <v>LOW</v>
      </c>
      <c r="Y226" s="8" t="str">
        <f t="shared" si="35"/>
        <v>Movie</v>
      </c>
      <c r="Z226" s="10" t="str">
        <f t="shared" si="36"/>
        <v>Drama</v>
      </c>
      <c r="AA226" s="8" t="str">
        <f t="shared" si="37"/>
        <v>NO</v>
      </c>
      <c r="AB226" s="6" t="str">
        <f t="shared" si="38"/>
        <v>NO</v>
      </c>
    </row>
    <row r="227" spans="1:28" x14ac:dyDescent="0.3">
      <c r="A227">
        <v>227</v>
      </c>
      <c r="B227" t="s">
        <v>23</v>
      </c>
      <c r="C227" t="s">
        <v>72</v>
      </c>
      <c r="D227" s="1">
        <v>45519</v>
      </c>
      <c r="E227" s="2">
        <v>3.9583333333333331E-2</v>
      </c>
      <c r="F227" t="s">
        <v>36</v>
      </c>
      <c r="G227">
        <v>108</v>
      </c>
      <c r="H227">
        <v>59204</v>
      </c>
      <c r="I227">
        <v>37</v>
      </c>
      <c r="J227" s="2">
        <v>0.7583333333333333</v>
      </c>
      <c r="K227" t="s">
        <v>36</v>
      </c>
      <c r="L227" t="s">
        <v>27</v>
      </c>
      <c r="M227" t="s">
        <v>38</v>
      </c>
      <c r="N227" t="s">
        <v>39</v>
      </c>
      <c r="O227">
        <v>2850</v>
      </c>
      <c r="P227">
        <v>675</v>
      </c>
      <c r="Q227">
        <v>720</v>
      </c>
      <c r="R227">
        <v>4.3</v>
      </c>
      <c r="S227" t="s">
        <v>40</v>
      </c>
      <c r="T227" t="s">
        <v>63</v>
      </c>
      <c r="U227" t="s">
        <v>57</v>
      </c>
      <c r="V227" t="s">
        <v>58</v>
      </c>
      <c r="W227">
        <v>18472</v>
      </c>
      <c r="X227" s="6" t="str">
        <f t="shared" si="34"/>
        <v>LOW</v>
      </c>
      <c r="Y227" s="8" t="str">
        <f t="shared" si="35"/>
        <v>Movie</v>
      </c>
      <c r="Z227" s="10" t="str">
        <f t="shared" si="36"/>
        <v>Action</v>
      </c>
      <c r="AA227" s="8" t="str">
        <f t="shared" si="37"/>
        <v>NO</v>
      </c>
      <c r="AB227" s="6" t="str">
        <f t="shared" si="38"/>
        <v>YES</v>
      </c>
    </row>
    <row r="228" spans="1:28" x14ac:dyDescent="0.3">
      <c r="A228">
        <v>228</v>
      </c>
      <c r="B228" t="s">
        <v>34</v>
      </c>
      <c r="C228" t="s">
        <v>55</v>
      </c>
      <c r="D228" s="1">
        <v>45532</v>
      </c>
      <c r="E228" s="2">
        <v>0.25347222222222221</v>
      </c>
      <c r="F228" t="s">
        <v>68</v>
      </c>
      <c r="G228">
        <v>499</v>
      </c>
      <c r="H228">
        <v>34463</v>
      </c>
      <c r="I228">
        <v>86</v>
      </c>
      <c r="J228" s="2">
        <v>0.47013888888888888</v>
      </c>
      <c r="K228" t="s">
        <v>44</v>
      </c>
      <c r="L228" t="s">
        <v>56</v>
      </c>
      <c r="M228" t="s">
        <v>38</v>
      </c>
      <c r="N228" t="s">
        <v>59</v>
      </c>
      <c r="O228">
        <v>1938</v>
      </c>
      <c r="P228">
        <v>412</v>
      </c>
      <c r="Q228">
        <v>426</v>
      </c>
      <c r="R228">
        <v>3.9</v>
      </c>
      <c r="S228" t="s">
        <v>60</v>
      </c>
      <c r="T228" t="s">
        <v>63</v>
      </c>
      <c r="U228" t="s">
        <v>52</v>
      </c>
      <c r="V228" t="s">
        <v>53</v>
      </c>
      <c r="W228">
        <v>5078</v>
      </c>
      <c r="X228" s="6" t="str">
        <f t="shared" si="34"/>
        <v>LOW</v>
      </c>
      <c r="Y228" s="8" t="str">
        <f t="shared" si="35"/>
        <v>Series</v>
      </c>
      <c r="Z228" s="10" t="str">
        <f t="shared" si="36"/>
        <v>Fantasy</v>
      </c>
      <c r="AA228" s="8" t="str">
        <f t="shared" si="37"/>
        <v>NO</v>
      </c>
      <c r="AB228" s="6" t="str">
        <f t="shared" si="38"/>
        <v>YES</v>
      </c>
    </row>
    <row r="229" spans="1:28" x14ac:dyDescent="0.3">
      <c r="A229">
        <v>229</v>
      </c>
      <c r="B229" t="s">
        <v>34</v>
      </c>
      <c r="C229" t="s">
        <v>75</v>
      </c>
      <c r="D229" s="1">
        <v>45522</v>
      </c>
      <c r="E229" s="2">
        <v>0.32430555555555557</v>
      </c>
      <c r="F229" t="s">
        <v>44</v>
      </c>
      <c r="G229">
        <v>585</v>
      </c>
      <c r="H229">
        <v>22665</v>
      </c>
      <c r="I229">
        <v>117</v>
      </c>
      <c r="J229" s="2">
        <v>0.31597222222222221</v>
      </c>
      <c r="K229" t="s">
        <v>26</v>
      </c>
      <c r="L229" t="s">
        <v>49</v>
      </c>
      <c r="M229" t="s">
        <v>28</v>
      </c>
      <c r="N229" t="s">
        <v>39</v>
      </c>
      <c r="O229">
        <v>2047</v>
      </c>
      <c r="P229">
        <v>1776</v>
      </c>
      <c r="Q229">
        <v>1108</v>
      </c>
      <c r="R229">
        <v>1.1000000000000001</v>
      </c>
      <c r="S229" t="s">
        <v>40</v>
      </c>
      <c r="T229" t="s">
        <v>63</v>
      </c>
      <c r="U229" t="s">
        <v>41</v>
      </c>
      <c r="V229" t="s">
        <v>53</v>
      </c>
      <c r="W229">
        <v>7865</v>
      </c>
      <c r="X229" s="6" t="str">
        <f t="shared" si="34"/>
        <v>LOW</v>
      </c>
      <c r="Y229" s="8" t="str">
        <f t="shared" si="35"/>
        <v>Series</v>
      </c>
      <c r="Z229" s="10" t="str">
        <f t="shared" si="36"/>
        <v>Nature</v>
      </c>
      <c r="AA229" s="8" t="str">
        <f t="shared" si="37"/>
        <v>NO</v>
      </c>
      <c r="AB229" s="6" t="str">
        <f t="shared" si="38"/>
        <v>NO</v>
      </c>
    </row>
    <row r="230" spans="1:28" x14ac:dyDescent="0.3">
      <c r="A230">
        <v>230</v>
      </c>
      <c r="B230" t="s">
        <v>34</v>
      </c>
      <c r="C230" t="s">
        <v>61</v>
      </c>
      <c r="D230" s="1">
        <v>45519</v>
      </c>
      <c r="E230" s="2">
        <v>0.94097222222222221</v>
      </c>
      <c r="F230" t="s">
        <v>44</v>
      </c>
      <c r="G230">
        <v>163</v>
      </c>
      <c r="H230">
        <v>913</v>
      </c>
      <c r="I230">
        <v>50</v>
      </c>
      <c r="J230" s="2">
        <v>0.34444444444444444</v>
      </c>
      <c r="K230" t="s">
        <v>36</v>
      </c>
      <c r="L230" t="s">
        <v>49</v>
      </c>
      <c r="M230" t="s">
        <v>28</v>
      </c>
      <c r="N230" t="s">
        <v>76</v>
      </c>
      <c r="O230">
        <v>1017</v>
      </c>
      <c r="P230">
        <v>974</v>
      </c>
      <c r="Q230">
        <v>354</v>
      </c>
      <c r="R230">
        <v>4.2</v>
      </c>
      <c r="S230" t="s">
        <v>60</v>
      </c>
      <c r="T230" t="s">
        <v>31</v>
      </c>
      <c r="U230" t="s">
        <v>41</v>
      </c>
      <c r="V230" t="s">
        <v>42</v>
      </c>
      <c r="W230">
        <v>8136</v>
      </c>
      <c r="X230" s="6" t="str">
        <f t="shared" si="34"/>
        <v>LOW</v>
      </c>
      <c r="Y230" s="8" t="str">
        <f t="shared" si="35"/>
        <v>Series</v>
      </c>
      <c r="Z230" s="10" t="str">
        <f t="shared" si="36"/>
        <v>History</v>
      </c>
      <c r="AA230" s="8" t="str">
        <f t="shared" si="37"/>
        <v>NO</v>
      </c>
      <c r="AB230" s="6" t="str">
        <f t="shared" si="38"/>
        <v>YES</v>
      </c>
    </row>
    <row r="231" spans="1:28" x14ac:dyDescent="0.3">
      <c r="A231">
        <v>231</v>
      </c>
      <c r="B231" t="s">
        <v>54</v>
      </c>
      <c r="C231" t="s">
        <v>43</v>
      </c>
      <c r="D231" s="1">
        <v>45542</v>
      </c>
      <c r="E231" s="2">
        <v>0.52847222222222223</v>
      </c>
      <c r="F231" t="s">
        <v>68</v>
      </c>
      <c r="G231">
        <v>83</v>
      </c>
      <c r="H231">
        <v>41335</v>
      </c>
      <c r="I231">
        <v>52</v>
      </c>
      <c r="J231" s="2">
        <v>0.50347222222222221</v>
      </c>
      <c r="K231" t="s">
        <v>44</v>
      </c>
      <c r="L231" t="s">
        <v>27</v>
      </c>
      <c r="M231" t="s">
        <v>38</v>
      </c>
      <c r="N231" t="s">
        <v>69</v>
      </c>
      <c r="O231">
        <v>1538</v>
      </c>
      <c r="P231">
        <v>934</v>
      </c>
      <c r="Q231">
        <v>472</v>
      </c>
      <c r="R231">
        <v>3.2</v>
      </c>
      <c r="S231" t="s">
        <v>40</v>
      </c>
      <c r="T231" t="s">
        <v>63</v>
      </c>
      <c r="U231" t="s">
        <v>57</v>
      </c>
      <c r="V231" t="s">
        <v>42</v>
      </c>
      <c r="W231">
        <v>16517</v>
      </c>
      <c r="X231" s="6" t="str">
        <f t="shared" si="34"/>
        <v>LOW</v>
      </c>
      <c r="Y231" s="8" t="str">
        <f t="shared" si="35"/>
        <v>Documentary</v>
      </c>
      <c r="Z231" s="10" t="str">
        <f t="shared" si="36"/>
        <v>Sci-Fi</v>
      </c>
      <c r="AA231" s="8" t="str">
        <f t="shared" si="37"/>
        <v>NO</v>
      </c>
      <c r="AB231" s="6" t="str">
        <f t="shared" si="38"/>
        <v>YES</v>
      </c>
    </row>
    <row r="232" spans="1:28" x14ac:dyDescent="0.3">
      <c r="A232">
        <v>232</v>
      </c>
      <c r="B232" t="s">
        <v>34</v>
      </c>
      <c r="C232" t="s">
        <v>43</v>
      </c>
      <c r="D232" s="1">
        <v>45487</v>
      </c>
      <c r="E232" s="2">
        <v>0.34513888888888888</v>
      </c>
      <c r="F232" t="s">
        <v>36</v>
      </c>
      <c r="G232">
        <v>308</v>
      </c>
      <c r="H232">
        <v>34349</v>
      </c>
      <c r="I232">
        <v>68</v>
      </c>
      <c r="J232" s="2">
        <v>0.66180555555555554</v>
      </c>
      <c r="K232" t="s">
        <v>26</v>
      </c>
      <c r="L232" t="s">
        <v>56</v>
      </c>
      <c r="M232" t="s">
        <v>28</v>
      </c>
      <c r="N232" t="s">
        <v>39</v>
      </c>
      <c r="O232">
        <v>773</v>
      </c>
      <c r="P232">
        <v>638</v>
      </c>
      <c r="Q232">
        <v>775</v>
      </c>
      <c r="R232">
        <v>3.3</v>
      </c>
      <c r="S232" t="s">
        <v>30</v>
      </c>
      <c r="T232" t="s">
        <v>63</v>
      </c>
      <c r="U232" t="s">
        <v>74</v>
      </c>
      <c r="V232" t="s">
        <v>47</v>
      </c>
      <c r="W232">
        <v>1611</v>
      </c>
      <c r="X232" s="6" t="str">
        <f t="shared" ref="X232" si="42">IF(H232&gt;15000,"HIGH",IF(H232&gt;80000,"MEDIUM","LOW"))</f>
        <v>HIGH</v>
      </c>
      <c r="Y232" s="8" t="str">
        <f t="shared" si="35"/>
        <v>Series</v>
      </c>
      <c r="Z232" s="10" t="str">
        <f t="shared" si="36"/>
        <v>Sci-Fi</v>
      </c>
      <c r="AA232" s="8" t="str">
        <f t="shared" si="37"/>
        <v>NO</v>
      </c>
      <c r="AB232" s="6" t="str">
        <f t="shared" si="38"/>
        <v>YES</v>
      </c>
    </row>
    <row r="233" spans="1:28" x14ac:dyDescent="0.3">
      <c r="A233">
        <v>233</v>
      </c>
      <c r="B233" t="s">
        <v>54</v>
      </c>
      <c r="C233" t="s">
        <v>43</v>
      </c>
      <c r="D233" s="1">
        <v>45520</v>
      </c>
      <c r="E233" s="2">
        <v>0.4375</v>
      </c>
      <c r="F233" t="s">
        <v>68</v>
      </c>
      <c r="G233">
        <v>77</v>
      </c>
      <c r="H233">
        <v>27792</v>
      </c>
      <c r="I233">
        <v>36</v>
      </c>
      <c r="J233" s="2">
        <v>0.35486111111111113</v>
      </c>
      <c r="K233" t="s">
        <v>36</v>
      </c>
      <c r="L233" t="s">
        <v>27</v>
      </c>
      <c r="M233" t="s">
        <v>28</v>
      </c>
      <c r="N233" t="s">
        <v>50</v>
      </c>
      <c r="O233">
        <v>513</v>
      </c>
      <c r="P233">
        <v>549</v>
      </c>
      <c r="Q233">
        <v>1486</v>
      </c>
      <c r="R233">
        <v>1.5</v>
      </c>
      <c r="S233" t="s">
        <v>40</v>
      </c>
      <c r="T233" t="s">
        <v>45</v>
      </c>
      <c r="U233" t="s">
        <v>57</v>
      </c>
      <c r="V233" t="s">
        <v>33</v>
      </c>
      <c r="W233">
        <v>3296</v>
      </c>
      <c r="X233" s="6" t="str">
        <f t="shared" si="34"/>
        <v>LOW</v>
      </c>
      <c r="Y233" s="8" t="str">
        <f t="shared" si="35"/>
        <v>Documentary</v>
      </c>
      <c r="Z233" s="10" t="str">
        <f t="shared" si="36"/>
        <v>Sci-Fi</v>
      </c>
      <c r="AA233" s="8" t="str">
        <f t="shared" si="37"/>
        <v>NO</v>
      </c>
      <c r="AB233" s="6" t="str">
        <f t="shared" si="38"/>
        <v>NO</v>
      </c>
    </row>
    <row r="234" spans="1:28" x14ac:dyDescent="0.3">
      <c r="A234">
        <v>234</v>
      </c>
      <c r="B234" t="s">
        <v>54</v>
      </c>
      <c r="C234" t="s">
        <v>43</v>
      </c>
      <c r="D234" s="1">
        <v>45536</v>
      </c>
      <c r="E234" s="2">
        <v>0.44444444444444442</v>
      </c>
      <c r="F234" t="s">
        <v>68</v>
      </c>
      <c r="G234">
        <v>57</v>
      </c>
      <c r="H234">
        <v>23087</v>
      </c>
      <c r="I234">
        <v>35</v>
      </c>
      <c r="J234" s="2">
        <v>0.31041666666666667</v>
      </c>
      <c r="K234" t="s">
        <v>36</v>
      </c>
      <c r="L234" t="s">
        <v>56</v>
      </c>
      <c r="M234" t="s">
        <v>28</v>
      </c>
      <c r="N234" t="s">
        <v>29</v>
      </c>
      <c r="O234">
        <v>1892</v>
      </c>
      <c r="P234">
        <v>551</v>
      </c>
      <c r="Q234">
        <v>577</v>
      </c>
      <c r="R234">
        <v>3</v>
      </c>
      <c r="S234" t="s">
        <v>51</v>
      </c>
      <c r="T234" t="s">
        <v>45</v>
      </c>
      <c r="U234" t="s">
        <v>66</v>
      </c>
      <c r="V234" t="s">
        <v>58</v>
      </c>
      <c r="W234">
        <v>10122</v>
      </c>
      <c r="X234" s="6" t="str">
        <f t="shared" si="34"/>
        <v>LOW</v>
      </c>
      <c r="Y234" s="8" t="str">
        <f t="shared" si="35"/>
        <v>Documentary</v>
      </c>
      <c r="Z234" s="10" t="str">
        <f t="shared" si="36"/>
        <v>Sci-Fi</v>
      </c>
      <c r="AA234" s="8" t="str">
        <f t="shared" si="37"/>
        <v>NO</v>
      </c>
      <c r="AB234" s="6" t="str">
        <f t="shared" si="38"/>
        <v>YES</v>
      </c>
    </row>
    <row r="235" spans="1:28" x14ac:dyDescent="0.3">
      <c r="A235">
        <v>235</v>
      </c>
      <c r="B235" t="s">
        <v>23</v>
      </c>
      <c r="C235" t="s">
        <v>64</v>
      </c>
      <c r="D235" s="1">
        <v>45530</v>
      </c>
      <c r="E235" s="2">
        <v>0.83194444444444449</v>
      </c>
      <c r="F235" t="s">
        <v>26</v>
      </c>
      <c r="G235">
        <v>123</v>
      </c>
      <c r="H235">
        <v>51605</v>
      </c>
      <c r="I235">
        <v>42</v>
      </c>
      <c r="J235" s="2">
        <v>0.49652777777777779</v>
      </c>
      <c r="K235" t="s">
        <v>44</v>
      </c>
      <c r="L235" t="s">
        <v>49</v>
      </c>
      <c r="M235" t="s">
        <v>38</v>
      </c>
      <c r="N235" t="s">
        <v>71</v>
      </c>
      <c r="O235">
        <v>2269</v>
      </c>
      <c r="P235">
        <v>417</v>
      </c>
      <c r="Q235">
        <v>65</v>
      </c>
      <c r="R235">
        <v>3.8</v>
      </c>
      <c r="S235" t="s">
        <v>51</v>
      </c>
      <c r="T235" t="s">
        <v>31</v>
      </c>
      <c r="U235" t="s">
        <v>32</v>
      </c>
      <c r="V235" t="s">
        <v>53</v>
      </c>
      <c r="W235">
        <v>7983</v>
      </c>
      <c r="X235" s="6" t="str">
        <f t="shared" si="34"/>
        <v>LOW</v>
      </c>
      <c r="Y235" s="8" t="str">
        <f t="shared" si="35"/>
        <v>Movie</v>
      </c>
      <c r="Z235" s="10" t="str">
        <f t="shared" si="36"/>
        <v>Drama</v>
      </c>
      <c r="AA235" s="8" t="str">
        <f t="shared" si="37"/>
        <v>NO</v>
      </c>
      <c r="AB235" s="6" t="str">
        <f t="shared" si="38"/>
        <v>YES</v>
      </c>
    </row>
    <row r="236" spans="1:28" x14ac:dyDescent="0.3">
      <c r="A236">
        <v>236</v>
      </c>
      <c r="B236" t="s">
        <v>54</v>
      </c>
      <c r="C236" t="s">
        <v>64</v>
      </c>
      <c r="D236" s="1">
        <v>45479</v>
      </c>
      <c r="E236" s="2">
        <v>0.85486111111111107</v>
      </c>
      <c r="F236" t="s">
        <v>68</v>
      </c>
      <c r="G236">
        <v>124</v>
      </c>
      <c r="H236">
        <v>27605</v>
      </c>
      <c r="I236">
        <v>31</v>
      </c>
      <c r="J236" s="2">
        <v>0.81597222222222221</v>
      </c>
      <c r="K236" t="s">
        <v>62</v>
      </c>
      <c r="L236" t="s">
        <v>37</v>
      </c>
      <c r="M236" t="s">
        <v>28</v>
      </c>
      <c r="N236" t="s">
        <v>39</v>
      </c>
      <c r="O236">
        <v>1898</v>
      </c>
      <c r="P236">
        <v>1451</v>
      </c>
      <c r="Q236">
        <v>1121</v>
      </c>
      <c r="R236">
        <v>4.9000000000000004</v>
      </c>
      <c r="S236" t="s">
        <v>51</v>
      </c>
      <c r="T236" t="s">
        <v>45</v>
      </c>
      <c r="U236" t="s">
        <v>74</v>
      </c>
      <c r="V236" t="s">
        <v>67</v>
      </c>
      <c r="W236">
        <v>3114</v>
      </c>
      <c r="X236" s="6" t="str">
        <f t="shared" si="34"/>
        <v>LOW</v>
      </c>
      <c r="Y236" s="8" t="str">
        <f t="shared" si="35"/>
        <v>Documentary</v>
      </c>
      <c r="Z236" s="10" t="str">
        <f t="shared" si="36"/>
        <v>Drama</v>
      </c>
      <c r="AA236" s="8" t="str">
        <f t="shared" si="37"/>
        <v>NO</v>
      </c>
      <c r="AB236" s="6" t="str">
        <f t="shared" si="38"/>
        <v>YES</v>
      </c>
    </row>
    <row r="237" spans="1:28" x14ac:dyDescent="0.3">
      <c r="A237">
        <v>237</v>
      </c>
      <c r="B237" t="s">
        <v>54</v>
      </c>
      <c r="C237" t="s">
        <v>48</v>
      </c>
      <c r="D237" s="1">
        <v>45484</v>
      </c>
      <c r="E237" s="2">
        <v>0.2590277777777778</v>
      </c>
      <c r="F237" t="s">
        <v>36</v>
      </c>
      <c r="G237">
        <v>110</v>
      </c>
      <c r="H237">
        <v>62300</v>
      </c>
      <c r="I237">
        <v>68</v>
      </c>
      <c r="J237" s="2">
        <v>6.25E-2</v>
      </c>
      <c r="K237" t="s">
        <v>26</v>
      </c>
      <c r="L237" t="s">
        <v>49</v>
      </c>
      <c r="M237" t="s">
        <v>28</v>
      </c>
      <c r="N237" t="s">
        <v>69</v>
      </c>
      <c r="O237">
        <v>1484</v>
      </c>
      <c r="P237">
        <v>1815</v>
      </c>
      <c r="Q237">
        <v>104</v>
      </c>
      <c r="R237">
        <v>2.8</v>
      </c>
      <c r="S237" t="s">
        <v>30</v>
      </c>
      <c r="T237" t="s">
        <v>63</v>
      </c>
      <c r="U237" t="s">
        <v>57</v>
      </c>
      <c r="V237" t="s">
        <v>58</v>
      </c>
      <c r="W237">
        <v>18910</v>
      </c>
      <c r="X237" s="6" t="str">
        <f t="shared" si="34"/>
        <v>LOW</v>
      </c>
      <c r="Y237" s="8" t="str">
        <f t="shared" si="35"/>
        <v>Documentary</v>
      </c>
      <c r="Z237" s="10" t="str">
        <f t="shared" si="36"/>
        <v>Romance</v>
      </c>
      <c r="AA237" s="8" t="str">
        <f t="shared" si="37"/>
        <v>NO</v>
      </c>
      <c r="AB237" s="6" t="str">
        <f t="shared" si="38"/>
        <v>YES</v>
      </c>
    </row>
    <row r="238" spans="1:28" x14ac:dyDescent="0.3">
      <c r="A238">
        <v>238</v>
      </c>
      <c r="B238" t="s">
        <v>34</v>
      </c>
      <c r="C238" t="s">
        <v>55</v>
      </c>
      <c r="D238" s="1">
        <v>45496</v>
      </c>
      <c r="E238" s="2">
        <v>7.6388888888888886E-3</v>
      </c>
      <c r="F238" t="s">
        <v>73</v>
      </c>
      <c r="G238">
        <v>1055</v>
      </c>
      <c r="H238">
        <v>86671</v>
      </c>
      <c r="I238">
        <v>37</v>
      </c>
      <c r="J238" s="2">
        <v>0.11388888888888889</v>
      </c>
      <c r="K238" t="s">
        <v>36</v>
      </c>
      <c r="L238" t="s">
        <v>49</v>
      </c>
      <c r="M238" t="s">
        <v>38</v>
      </c>
      <c r="N238" t="s">
        <v>59</v>
      </c>
      <c r="O238">
        <v>44</v>
      </c>
      <c r="P238">
        <v>1964</v>
      </c>
      <c r="Q238">
        <v>710</v>
      </c>
      <c r="R238">
        <v>4.2</v>
      </c>
      <c r="S238" t="s">
        <v>40</v>
      </c>
      <c r="T238" t="s">
        <v>63</v>
      </c>
      <c r="U238" t="s">
        <v>46</v>
      </c>
      <c r="V238" t="s">
        <v>33</v>
      </c>
      <c r="W238">
        <v>1050</v>
      </c>
      <c r="X238" s="6" t="str">
        <f t="shared" si="34"/>
        <v>LOW</v>
      </c>
      <c r="Y238" s="8" t="str">
        <f t="shared" si="35"/>
        <v>Series</v>
      </c>
      <c r="Z238" s="10" t="str">
        <f t="shared" si="36"/>
        <v>Fantasy</v>
      </c>
      <c r="AA238" s="8" t="str">
        <f t="shared" si="37"/>
        <v>NO</v>
      </c>
      <c r="AB238" s="6" t="str">
        <f t="shared" si="38"/>
        <v>YES</v>
      </c>
    </row>
    <row r="239" spans="1:28" x14ac:dyDescent="0.3">
      <c r="A239">
        <v>239</v>
      </c>
      <c r="B239" t="s">
        <v>23</v>
      </c>
      <c r="C239" t="s">
        <v>24</v>
      </c>
      <c r="D239" s="1">
        <v>45543</v>
      </c>
      <c r="E239" s="2">
        <v>0.51458333333333328</v>
      </c>
      <c r="F239" t="s">
        <v>73</v>
      </c>
      <c r="G239">
        <v>91</v>
      </c>
      <c r="H239">
        <v>16994</v>
      </c>
      <c r="I239">
        <v>37</v>
      </c>
      <c r="J239" s="2">
        <v>5.9027777777777776E-2</v>
      </c>
      <c r="K239" t="s">
        <v>44</v>
      </c>
      <c r="L239" t="s">
        <v>37</v>
      </c>
      <c r="M239" t="s">
        <v>38</v>
      </c>
      <c r="N239" t="s">
        <v>65</v>
      </c>
      <c r="O239">
        <v>1825</v>
      </c>
      <c r="P239">
        <v>38</v>
      </c>
      <c r="Q239">
        <v>1425</v>
      </c>
      <c r="R239">
        <v>2.7</v>
      </c>
      <c r="S239" t="s">
        <v>40</v>
      </c>
      <c r="T239" t="s">
        <v>63</v>
      </c>
      <c r="U239" t="s">
        <v>70</v>
      </c>
      <c r="V239" t="s">
        <v>47</v>
      </c>
      <c r="W239">
        <v>2208</v>
      </c>
      <c r="X239" s="6" t="str">
        <f t="shared" si="34"/>
        <v>LOW</v>
      </c>
      <c r="Y239" s="8" t="str">
        <f t="shared" si="35"/>
        <v>Movie</v>
      </c>
      <c r="Z239" s="10" t="str">
        <f t="shared" si="36"/>
        <v>Thriller</v>
      </c>
      <c r="AA239" s="8" t="str">
        <f t="shared" si="37"/>
        <v>NO</v>
      </c>
      <c r="AB239" s="6" t="str">
        <f t="shared" si="38"/>
        <v>NO</v>
      </c>
    </row>
    <row r="240" spans="1:28" x14ac:dyDescent="0.3">
      <c r="A240">
        <v>240</v>
      </c>
      <c r="B240" t="s">
        <v>54</v>
      </c>
      <c r="C240" t="s">
        <v>43</v>
      </c>
      <c r="D240" s="1">
        <v>45521</v>
      </c>
      <c r="E240" s="2">
        <v>0.14722222222222223</v>
      </c>
      <c r="F240" t="s">
        <v>62</v>
      </c>
      <c r="G240">
        <v>78</v>
      </c>
      <c r="H240">
        <v>72045</v>
      </c>
      <c r="I240">
        <v>48</v>
      </c>
      <c r="J240" s="2">
        <v>0.10833333333333334</v>
      </c>
      <c r="K240" t="s">
        <v>26</v>
      </c>
      <c r="L240" t="s">
        <v>37</v>
      </c>
      <c r="M240" t="s">
        <v>38</v>
      </c>
      <c r="N240" t="s">
        <v>29</v>
      </c>
      <c r="O240">
        <v>2822</v>
      </c>
      <c r="P240">
        <v>1399</v>
      </c>
      <c r="Q240">
        <v>707</v>
      </c>
      <c r="R240">
        <v>1.1000000000000001</v>
      </c>
      <c r="S240" t="s">
        <v>30</v>
      </c>
      <c r="T240" t="s">
        <v>31</v>
      </c>
      <c r="U240" t="s">
        <v>52</v>
      </c>
      <c r="V240" t="s">
        <v>67</v>
      </c>
      <c r="W240">
        <v>1364</v>
      </c>
      <c r="X240" s="6" t="str">
        <f t="shared" si="34"/>
        <v>LOW</v>
      </c>
      <c r="Y240" s="8" t="str">
        <f t="shared" si="35"/>
        <v>Documentary</v>
      </c>
      <c r="Z240" s="10" t="str">
        <f t="shared" si="36"/>
        <v>Sci-Fi</v>
      </c>
      <c r="AA240" s="8" t="str">
        <f t="shared" si="37"/>
        <v>NO</v>
      </c>
      <c r="AB240" s="6" t="str">
        <f t="shared" si="38"/>
        <v>NO</v>
      </c>
    </row>
    <row r="241" spans="1:28" x14ac:dyDescent="0.3">
      <c r="A241">
        <v>241</v>
      </c>
      <c r="B241" t="s">
        <v>23</v>
      </c>
      <c r="C241" t="s">
        <v>61</v>
      </c>
      <c r="D241" s="1">
        <v>45495</v>
      </c>
      <c r="E241" s="2">
        <v>0.70277777777777772</v>
      </c>
      <c r="F241" t="s">
        <v>36</v>
      </c>
      <c r="G241">
        <v>192</v>
      </c>
      <c r="H241">
        <v>8801</v>
      </c>
      <c r="I241">
        <v>77</v>
      </c>
      <c r="J241" s="2">
        <v>8.4722222222222227E-2</v>
      </c>
      <c r="K241" t="s">
        <v>36</v>
      </c>
      <c r="L241" t="s">
        <v>27</v>
      </c>
      <c r="M241" t="s">
        <v>38</v>
      </c>
      <c r="N241" t="s">
        <v>65</v>
      </c>
      <c r="O241">
        <v>1391</v>
      </c>
      <c r="P241">
        <v>1781</v>
      </c>
      <c r="Q241">
        <v>652</v>
      </c>
      <c r="R241">
        <v>4.5999999999999996</v>
      </c>
      <c r="S241" t="s">
        <v>60</v>
      </c>
      <c r="T241" t="s">
        <v>31</v>
      </c>
      <c r="U241" t="s">
        <v>70</v>
      </c>
      <c r="V241" t="s">
        <v>67</v>
      </c>
      <c r="W241">
        <v>18716</v>
      </c>
      <c r="X241" s="6" t="str">
        <f t="shared" si="34"/>
        <v>LOW</v>
      </c>
      <c r="Y241" s="8" t="str">
        <f t="shared" si="35"/>
        <v>Movie</v>
      </c>
      <c r="Z241" s="10" t="str">
        <f t="shared" si="36"/>
        <v>History</v>
      </c>
      <c r="AA241" s="8" t="str">
        <f t="shared" si="37"/>
        <v>NO</v>
      </c>
      <c r="AB241" s="6" t="str">
        <f t="shared" si="38"/>
        <v>YES</v>
      </c>
    </row>
    <row r="242" spans="1:28" x14ac:dyDescent="0.3">
      <c r="A242">
        <v>242</v>
      </c>
      <c r="B242" t="s">
        <v>54</v>
      </c>
      <c r="C242" t="s">
        <v>61</v>
      </c>
      <c r="D242" s="1">
        <v>45532</v>
      </c>
      <c r="E242" s="2">
        <v>0.38333333333333336</v>
      </c>
      <c r="F242" t="s">
        <v>68</v>
      </c>
      <c r="G242">
        <v>47</v>
      </c>
      <c r="H242">
        <v>13749</v>
      </c>
      <c r="I242">
        <v>47</v>
      </c>
      <c r="J242" s="2">
        <v>1.2500000000000001E-2</v>
      </c>
      <c r="K242" t="s">
        <v>36</v>
      </c>
      <c r="L242" t="s">
        <v>37</v>
      </c>
      <c r="M242" t="s">
        <v>28</v>
      </c>
      <c r="N242" t="s">
        <v>59</v>
      </c>
      <c r="O242">
        <v>2557</v>
      </c>
      <c r="P242">
        <v>1420</v>
      </c>
      <c r="Q242">
        <v>881</v>
      </c>
      <c r="R242">
        <v>4.4000000000000004</v>
      </c>
      <c r="S242" t="s">
        <v>30</v>
      </c>
      <c r="T242" t="s">
        <v>31</v>
      </c>
      <c r="U242" t="s">
        <v>32</v>
      </c>
      <c r="V242" t="s">
        <v>33</v>
      </c>
      <c r="W242">
        <v>1286</v>
      </c>
      <c r="X242" s="6" t="str">
        <f t="shared" ref="X242" si="43">IF(H242&gt;15000,"HIGH",IF(H242&gt;80000,"MEDIUM","LOW"))</f>
        <v>LOW</v>
      </c>
      <c r="Y242" s="8" t="str">
        <f t="shared" si="35"/>
        <v>Documentary</v>
      </c>
      <c r="Z242" s="10" t="str">
        <f t="shared" si="36"/>
        <v>History</v>
      </c>
      <c r="AA242" s="8" t="str">
        <f t="shared" si="37"/>
        <v>NO</v>
      </c>
      <c r="AB242" s="6" t="str">
        <f t="shared" si="38"/>
        <v>YES</v>
      </c>
    </row>
    <row r="243" spans="1:28" x14ac:dyDescent="0.3">
      <c r="A243">
        <v>243</v>
      </c>
      <c r="B243" t="s">
        <v>54</v>
      </c>
      <c r="C243" t="s">
        <v>48</v>
      </c>
      <c r="D243" s="1">
        <v>45494</v>
      </c>
      <c r="E243" s="2">
        <v>0.90902777777777777</v>
      </c>
      <c r="F243" t="s">
        <v>73</v>
      </c>
      <c r="G243">
        <v>64</v>
      </c>
      <c r="H243">
        <v>78806</v>
      </c>
      <c r="I243">
        <v>51</v>
      </c>
      <c r="J243" s="2">
        <v>0.40555555555555556</v>
      </c>
      <c r="K243" t="s">
        <v>44</v>
      </c>
      <c r="L243" t="s">
        <v>27</v>
      </c>
      <c r="M243" t="s">
        <v>28</v>
      </c>
      <c r="N243" t="s">
        <v>71</v>
      </c>
      <c r="O243">
        <v>220</v>
      </c>
      <c r="P243">
        <v>33</v>
      </c>
      <c r="Q243">
        <v>844</v>
      </c>
      <c r="R243">
        <v>1.4</v>
      </c>
      <c r="S243" t="s">
        <v>60</v>
      </c>
      <c r="T243" t="s">
        <v>45</v>
      </c>
      <c r="U243" t="s">
        <v>32</v>
      </c>
      <c r="V243" t="s">
        <v>67</v>
      </c>
      <c r="W243">
        <v>7858</v>
      </c>
      <c r="X243" s="6" t="str">
        <f t="shared" si="34"/>
        <v>LOW</v>
      </c>
      <c r="Y243" s="8" t="str">
        <f t="shared" si="35"/>
        <v>Documentary</v>
      </c>
      <c r="Z243" s="10" t="str">
        <f t="shared" si="36"/>
        <v>Romance</v>
      </c>
      <c r="AA243" s="8" t="str">
        <f t="shared" si="37"/>
        <v>NO</v>
      </c>
      <c r="AB243" s="6" t="str">
        <f t="shared" si="38"/>
        <v>NO</v>
      </c>
    </row>
    <row r="244" spans="1:28" x14ac:dyDescent="0.3">
      <c r="A244">
        <v>244</v>
      </c>
      <c r="B244" t="s">
        <v>23</v>
      </c>
      <c r="C244" t="s">
        <v>48</v>
      </c>
      <c r="D244" s="1">
        <v>45496</v>
      </c>
      <c r="E244" s="2">
        <v>0.62013888888888891</v>
      </c>
      <c r="F244" t="s">
        <v>44</v>
      </c>
      <c r="G244">
        <v>166</v>
      </c>
      <c r="H244">
        <v>17400</v>
      </c>
      <c r="I244">
        <v>122</v>
      </c>
      <c r="J244" s="2">
        <v>0.39861111111111114</v>
      </c>
      <c r="K244" t="s">
        <v>62</v>
      </c>
      <c r="L244" t="s">
        <v>37</v>
      </c>
      <c r="M244" t="s">
        <v>28</v>
      </c>
      <c r="N244" t="s">
        <v>59</v>
      </c>
      <c r="O244">
        <v>246</v>
      </c>
      <c r="P244">
        <v>1894</v>
      </c>
      <c r="Q244">
        <v>1317</v>
      </c>
      <c r="R244">
        <v>2.1</v>
      </c>
      <c r="S244" t="s">
        <v>40</v>
      </c>
      <c r="T244" t="s">
        <v>45</v>
      </c>
      <c r="U244" t="s">
        <v>57</v>
      </c>
      <c r="V244" t="s">
        <v>58</v>
      </c>
      <c r="W244">
        <v>1731</v>
      </c>
      <c r="X244" s="6" t="str">
        <f t="shared" si="34"/>
        <v>LOW</v>
      </c>
      <c r="Y244" s="8" t="str">
        <f t="shared" si="35"/>
        <v>Movie</v>
      </c>
      <c r="Z244" s="10" t="str">
        <f t="shared" si="36"/>
        <v>Romance</v>
      </c>
      <c r="AA244" s="8" t="str">
        <f t="shared" si="37"/>
        <v>NO</v>
      </c>
      <c r="AB244" s="6" t="str">
        <f t="shared" si="38"/>
        <v>NO</v>
      </c>
    </row>
    <row r="245" spans="1:28" x14ac:dyDescent="0.3">
      <c r="A245">
        <v>245</v>
      </c>
      <c r="B245" t="s">
        <v>23</v>
      </c>
      <c r="C245" t="s">
        <v>48</v>
      </c>
      <c r="D245" s="1">
        <v>45537</v>
      </c>
      <c r="E245" s="2">
        <v>0.82430555555555551</v>
      </c>
      <c r="F245" t="s">
        <v>25</v>
      </c>
      <c r="G245">
        <v>126</v>
      </c>
      <c r="H245">
        <v>64004</v>
      </c>
      <c r="I245">
        <v>33</v>
      </c>
      <c r="J245" s="2">
        <v>0.55902777777777779</v>
      </c>
      <c r="K245" t="s">
        <v>26</v>
      </c>
      <c r="L245" t="s">
        <v>56</v>
      </c>
      <c r="M245" t="s">
        <v>28</v>
      </c>
      <c r="N245" t="s">
        <v>65</v>
      </c>
      <c r="O245">
        <v>417</v>
      </c>
      <c r="P245">
        <v>1805</v>
      </c>
      <c r="Q245">
        <v>44</v>
      </c>
      <c r="R245">
        <v>2</v>
      </c>
      <c r="S245" t="s">
        <v>51</v>
      </c>
      <c r="T245" t="s">
        <v>31</v>
      </c>
      <c r="U245" t="s">
        <v>41</v>
      </c>
      <c r="V245" t="s">
        <v>53</v>
      </c>
      <c r="W245">
        <v>19529</v>
      </c>
      <c r="X245" s="6" t="str">
        <f t="shared" si="34"/>
        <v>LOW</v>
      </c>
      <c r="Y245" s="8" t="str">
        <f t="shared" si="35"/>
        <v>Movie</v>
      </c>
      <c r="Z245" s="10" t="str">
        <f t="shared" si="36"/>
        <v>Romance</v>
      </c>
      <c r="AA245" s="8" t="str">
        <f t="shared" si="37"/>
        <v>NO</v>
      </c>
      <c r="AB245" s="6" t="str">
        <f t="shared" si="38"/>
        <v>NO</v>
      </c>
    </row>
    <row r="246" spans="1:28" x14ac:dyDescent="0.3">
      <c r="A246">
        <v>246</v>
      </c>
      <c r="B246" t="s">
        <v>54</v>
      </c>
      <c r="C246" t="s">
        <v>35</v>
      </c>
      <c r="D246" s="1">
        <v>45484</v>
      </c>
      <c r="E246" s="2">
        <v>0.47083333333333333</v>
      </c>
      <c r="F246" t="s">
        <v>68</v>
      </c>
      <c r="G246">
        <v>114</v>
      </c>
      <c r="H246">
        <v>86024</v>
      </c>
      <c r="I246">
        <v>58</v>
      </c>
      <c r="J246" s="2">
        <v>6.5972222222222224E-2</v>
      </c>
      <c r="K246" t="s">
        <v>36</v>
      </c>
      <c r="L246" t="s">
        <v>27</v>
      </c>
      <c r="M246" t="s">
        <v>38</v>
      </c>
      <c r="N246" t="s">
        <v>50</v>
      </c>
      <c r="O246">
        <v>2748</v>
      </c>
      <c r="P246">
        <v>723</v>
      </c>
      <c r="Q246">
        <v>46</v>
      </c>
      <c r="R246">
        <v>4.3</v>
      </c>
      <c r="S246" t="s">
        <v>51</v>
      </c>
      <c r="T246" t="s">
        <v>31</v>
      </c>
      <c r="U246" t="s">
        <v>32</v>
      </c>
      <c r="V246" t="s">
        <v>53</v>
      </c>
      <c r="W246">
        <v>19058</v>
      </c>
      <c r="X246" s="6" t="str">
        <f t="shared" si="34"/>
        <v>LOW</v>
      </c>
      <c r="Y246" s="8" t="str">
        <f t="shared" si="35"/>
        <v>Documentary</v>
      </c>
      <c r="Z246" s="10" t="str">
        <f t="shared" si="36"/>
        <v>Comedy</v>
      </c>
      <c r="AA246" s="8" t="str">
        <f t="shared" si="37"/>
        <v>NO</v>
      </c>
      <c r="AB246" s="6" t="str">
        <f t="shared" si="38"/>
        <v>YES</v>
      </c>
    </row>
    <row r="247" spans="1:28" x14ac:dyDescent="0.3">
      <c r="A247">
        <v>247</v>
      </c>
      <c r="B247" t="s">
        <v>23</v>
      </c>
      <c r="C247" t="s">
        <v>43</v>
      </c>
      <c r="D247" s="1">
        <v>45509</v>
      </c>
      <c r="E247" s="2">
        <v>0.43611111111111112</v>
      </c>
      <c r="F247" t="s">
        <v>73</v>
      </c>
      <c r="G247">
        <v>159</v>
      </c>
      <c r="H247">
        <v>26295</v>
      </c>
      <c r="I247">
        <v>111</v>
      </c>
      <c r="J247" s="2">
        <v>0.69791666666666663</v>
      </c>
      <c r="K247" t="s">
        <v>44</v>
      </c>
      <c r="L247" t="s">
        <v>27</v>
      </c>
      <c r="M247" t="s">
        <v>28</v>
      </c>
      <c r="N247" t="s">
        <v>76</v>
      </c>
      <c r="O247">
        <v>1608</v>
      </c>
      <c r="P247">
        <v>857</v>
      </c>
      <c r="Q247">
        <v>81</v>
      </c>
      <c r="R247">
        <v>1.7</v>
      </c>
      <c r="S247" t="s">
        <v>30</v>
      </c>
      <c r="T247" t="s">
        <v>31</v>
      </c>
      <c r="U247" t="s">
        <v>32</v>
      </c>
      <c r="V247" t="s">
        <v>58</v>
      </c>
      <c r="W247">
        <v>13666</v>
      </c>
      <c r="X247" s="6" t="str">
        <f t="shared" si="34"/>
        <v>LOW</v>
      </c>
      <c r="Y247" s="8" t="str">
        <f t="shared" si="35"/>
        <v>Movie</v>
      </c>
      <c r="Z247" s="10" t="str">
        <f t="shared" si="36"/>
        <v>Sci-Fi</v>
      </c>
      <c r="AA247" s="8" t="str">
        <f t="shared" si="37"/>
        <v>NO</v>
      </c>
      <c r="AB247" s="6" t="str">
        <f t="shared" si="38"/>
        <v>NO</v>
      </c>
    </row>
    <row r="248" spans="1:28" x14ac:dyDescent="0.3">
      <c r="A248">
        <v>248</v>
      </c>
      <c r="B248" t="s">
        <v>54</v>
      </c>
      <c r="C248" t="s">
        <v>35</v>
      </c>
      <c r="D248" s="1">
        <v>45489</v>
      </c>
      <c r="E248" s="2">
        <v>0.7895833333333333</v>
      </c>
      <c r="F248" t="s">
        <v>44</v>
      </c>
      <c r="G248">
        <v>82</v>
      </c>
      <c r="H248">
        <v>10725</v>
      </c>
      <c r="I248">
        <v>35</v>
      </c>
      <c r="J248" s="2">
        <v>6.3194444444444442E-2</v>
      </c>
      <c r="K248" t="s">
        <v>26</v>
      </c>
      <c r="L248" t="s">
        <v>37</v>
      </c>
      <c r="M248" t="s">
        <v>28</v>
      </c>
      <c r="N248" t="s">
        <v>71</v>
      </c>
      <c r="O248">
        <v>543</v>
      </c>
      <c r="P248">
        <v>365</v>
      </c>
      <c r="Q248">
        <v>1017</v>
      </c>
      <c r="R248">
        <v>2</v>
      </c>
      <c r="S248" t="s">
        <v>40</v>
      </c>
      <c r="T248" t="s">
        <v>31</v>
      </c>
      <c r="U248" t="s">
        <v>46</v>
      </c>
      <c r="V248" t="s">
        <v>58</v>
      </c>
      <c r="W248">
        <v>10341</v>
      </c>
      <c r="X248" s="6" t="str">
        <f t="shared" si="34"/>
        <v>LOW</v>
      </c>
      <c r="Y248" s="8" t="str">
        <f t="shared" si="35"/>
        <v>Documentary</v>
      </c>
      <c r="Z248" s="10" t="str">
        <f t="shared" si="36"/>
        <v>Comedy</v>
      </c>
      <c r="AA248" s="8" t="str">
        <f t="shared" si="37"/>
        <v>NO</v>
      </c>
      <c r="AB248" s="6" t="str">
        <f t="shared" si="38"/>
        <v>NO</v>
      </c>
    </row>
    <row r="249" spans="1:28" x14ac:dyDescent="0.3">
      <c r="A249">
        <v>249</v>
      </c>
      <c r="B249" t="s">
        <v>34</v>
      </c>
      <c r="C249" t="s">
        <v>64</v>
      </c>
      <c r="D249" s="1">
        <v>45540</v>
      </c>
      <c r="E249" s="2">
        <v>0.20555555555555555</v>
      </c>
      <c r="F249" t="s">
        <v>36</v>
      </c>
      <c r="G249">
        <v>422</v>
      </c>
      <c r="H249">
        <v>34358</v>
      </c>
      <c r="I249">
        <v>84</v>
      </c>
      <c r="J249" s="2">
        <v>7.7083333333333337E-2</v>
      </c>
      <c r="K249" t="s">
        <v>36</v>
      </c>
      <c r="L249" t="s">
        <v>27</v>
      </c>
      <c r="M249" t="s">
        <v>38</v>
      </c>
      <c r="N249" t="s">
        <v>59</v>
      </c>
      <c r="O249">
        <v>280</v>
      </c>
      <c r="P249">
        <v>1667</v>
      </c>
      <c r="Q249">
        <v>169</v>
      </c>
      <c r="R249">
        <v>1</v>
      </c>
      <c r="S249" t="s">
        <v>30</v>
      </c>
      <c r="T249" t="s">
        <v>63</v>
      </c>
      <c r="U249" t="s">
        <v>52</v>
      </c>
      <c r="V249" t="s">
        <v>47</v>
      </c>
      <c r="W249">
        <v>17706</v>
      </c>
      <c r="X249" s="6" t="str">
        <f t="shared" si="34"/>
        <v>LOW</v>
      </c>
      <c r="Y249" s="8" t="str">
        <f t="shared" si="35"/>
        <v>Series</v>
      </c>
      <c r="Z249" s="10" t="str">
        <f t="shared" si="36"/>
        <v>Drama</v>
      </c>
      <c r="AA249" s="8" t="str">
        <f t="shared" si="37"/>
        <v>NO</v>
      </c>
      <c r="AB249" s="6" t="str">
        <f t="shared" si="38"/>
        <v>NO</v>
      </c>
    </row>
    <row r="250" spans="1:28" x14ac:dyDescent="0.3">
      <c r="A250">
        <v>250</v>
      </c>
      <c r="B250" t="s">
        <v>54</v>
      </c>
      <c r="C250" t="s">
        <v>48</v>
      </c>
      <c r="D250" s="1">
        <v>45509</v>
      </c>
      <c r="E250" s="2">
        <v>0.81805555555555554</v>
      </c>
      <c r="F250" t="s">
        <v>36</v>
      </c>
      <c r="G250">
        <v>69</v>
      </c>
      <c r="H250">
        <v>61966</v>
      </c>
      <c r="I250">
        <v>30</v>
      </c>
      <c r="J250" s="2">
        <v>0.30208333333333331</v>
      </c>
      <c r="K250" t="s">
        <v>44</v>
      </c>
      <c r="L250" t="s">
        <v>37</v>
      </c>
      <c r="M250" t="s">
        <v>38</v>
      </c>
      <c r="N250" t="s">
        <v>29</v>
      </c>
      <c r="O250">
        <v>146</v>
      </c>
      <c r="P250">
        <v>1540</v>
      </c>
      <c r="Q250">
        <v>181</v>
      </c>
      <c r="R250">
        <v>1.4</v>
      </c>
      <c r="S250" t="s">
        <v>30</v>
      </c>
      <c r="T250" t="s">
        <v>45</v>
      </c>
      <c r="U250" t="s">
        <v>74</v>
      </c>
      <c r="V250" t="s">
        <v>58</v>
      </c>
      <c r="W250">
        <v>10379</v>
      </c>
      <c r="X250" s="6" t="str">
        <f t="shared" si="34"/>
        <v>LOW</v>
      </c>
      <c r="Y250" s="8" t="str">
        <f t="shared" si="35"/>
        <v>Documentary</v>
      </c>
      <c r="Z250" s="10" t="str">
        <f t="shared" si="36"/>
        <v>Romance</v>
      </c>
      <c r="AA250" s="8" t="str">
        <f t="shared" si="37"/>
        <v>NO</v>
      </c>
      <c r="AB250" s="6" t="str">
        <f t="shared" si="38"/>
        <v>NO</v>
      </c>
    </row>
    <row r="251" spans="1:28" x14ac:dyDescent="0.3">
      <c r="A251">
        <v>251</v>
      </c>
      <c r="B251" t="s">
        <v>34</v>
      </c>
      <c r="C251" t="s">
        <v>24</v>
      </c>
      <c r="D251" s="1">
        <v>45504</v>
      </c>
      <c r="E251" s="2">
        <v>0.4201388888888889</v>
      </c>
      <c r="F251" t="s">
        <v>26</v>
      </c>
      <c r="G251">
        <v>778</v>
      </c>
      <c r="H251">
        <v>71013</v>
      </c>
      <c r="I251">
        <v>100</v>
      </c>
      <c r="J251" s="2">
        <v>0.11388888888888889</v>
      </c>
      <c r="K251" t="s">
        <v>26</v>
      </c>
      <c r="L251" t="s">
        <v>37</v>
      </c>
      <c r="M251" t="s">
        <v>28</v>
      </c>
      <c r="N251" t="s">
        <v>59</v>
      </c>
      <c r="O251">
        <v>2396</v>
      </c>
      <c r="P251">
        <v>1615</v>
      </c>
      <c r="Q251">
        <v>338</v>
      </c>
      <c r="R251">
        <v>3.6</v>
      </c>
      <c r="S251" t="s">
        <v>60</v>
      </c>
      <c r="T251" t="s">
        <v>45</v>
      </c>
      <c r="U251" t="s">
        <v>32</v>
      </c>
      <c r="V251" t="s">
        <v>33</v>
      </c>
      <c r="W251">
        <v>9439</v>
      </c>
      <c r="X251" s="6" t="str">
        <f t="shared" si="34"/>
        <v>LOW</v>
      </c>
      <c r="Y251" s="8" t="str">
        <f t="shared" si="35"/>
        <v>Series</v>
      </c>
      <c r="Z251" s="10" t="str">
        <f t="shared" si="36"/>
        <v>Thriller</v>
      </c>
      <c r="AA251" s="8" t="str">
        <f t="shared" si="37"/>
        <v>NO</v>
      </c>
      <c r="AB251" s="6" t="str">
        <f t="shared" si="38"/>
        <v>YES</v>
      </c>
    </row>
    <row r="252" spans="1:28" x14ac:dyDescent="0.3">
      <c r="A252">
        <v>252</v>
      </c>
      <c r="B252" t="s">
        <v>54</v>
      </c>
      <c r="C252" t="s">
        <v>64</v>
      </c>
      <c r="D252" s="1">
        <v>45477</v>
      </c>
      <c r="E252" s="2">
        <v>0.32777777777777778</v>
      </c>
      <c r="F252" t="s">
        <v>44</v>
      </c>
      <c r="G252">
        <v>87</v>
      </c>
      <c r="H252">
        <v>99939</v>
      </c>
      <c r="I252">
        <v>46</v>
      </c>
      <c r="J252" s="2">
        <v>2.5694444444444443E-2</v>
      </c>
      <c r="K252" t="s">
        <v>36</v>
      </c>
      <c r="L252" t="s">
        <v>56</v>
      </c>
      <c r="M252" t="s">
        <v>38</v>
      </c>
      <c r="N252" t="s">
        <v>71</v>
      </c>
      <c r="O252">
        <v>2340</v>
      </c>
      <c r="P252">
        <v>1361</v>
      </c>
      <c r="Q252">
        <v>387</v>
      </c>
      <c r="R252">
        <v>3</v>
      </c>
      <c r="S252" t="s">
        <v>60</v>
      </c>
      <c r="T252" t="s">
        <v>45</v>
      </c>
      <c r="U252" t="s">
        <v>32</v>
      </c>
      <c r="V252" t="s">
        <v>58</v>
      </c>
      <c r="W252">
        <v>9665</v>
      </c>
      <c r="X252" s="6" t="str">
        <f t="shared" ref="X252" si="44">IF(H252&gt;15000,"HIGH",IF(H252&gt;80000,"MEDIUM","LOW"))</f>
        <v>HIGH</v>
      </c>
      <c r="Y252" s="8" t="str">
        <f t="shared" si="35"/>
        <v>Documentary</v>
      </c>
      <c r="Z252" s="10" t="str">
        <f t="shared" si="36"/>
        <v>Drama</v>
      </c>
      <c r="AA252" s="8" t="str">
        <f t="shared" si="37"/>
        <v>NO</v>
      </c>
      <c r="AB252" s="6" t="str">
        <f t="shared" si="38"/>
        <v>YES</v>
      </c>
    </row>
    <row r="253" spans="1:28" x14ac:dyDescent="0.3">
      <c r="A253">
        <v>253</v>
      </c>
      <c r="B253" t="s">
        <v>34</v>
      </c>
      <c r="C253" t="s">
        <v>61</v>
      </c>
      <c r="D253" s="1">
        <v>45487</v>
      </c>
      <c r="E253" s="2">
        <v>0.69791666666666663</v>
      </c>
      <c r="F253" t="s">
        <v>68</v>
      </c>
      <c r="G253">
        <v>139</v>
      </c>
      <c r="H253">
        <v>19955</v>
      </c>
      <c r="I253">
        <v>68</v>
      </c>
      <c r="J253" s="2">
        <v>0.34861111111111109</v>
      </c>
      <c r="K253" t="s">
        <v>36</v>
      </c>
      <c r="L253" t="s">
        <v>56</v>
      </c>
      <c r="M253" t="s">
        <v>38</v>
      </c>
      <c r="N253" t="s">
        <v>71</v>
      </c>
      <c r="O253">
        <v>2676</v>
      </c>
      <c r="P253">
        <v>1011</v>
      </c>
      <c r="Q253">
        <v>124</v>
      </c>
      <c r="R253">
        <v>1</v>
      </c>
      <c r="S253" t="s">
        <v>60</v>
      </c>
      <c r="T253" t="s">
        <v>63</v>
      </c>
      <c r="U253" t="s">
        <v>74</v>
      </c>
      <c r="V253" t="s">
        <v>42</v>
      </c>
      <c r="W253">
        <v>17190</v>
      </c>
      <c r="X253" s="6" t="str">
        <f t="shared" si="34"/>
        <v>LOW</v>
      </c>
      <c r="Y253" s="8" t="str">
        <f t="shared" si="35"/>
        <v>Series</v>
      </c>
      <c r="Z253" s="10" t="str">
        <f t="shared" si="36"/>
        <v>History</v>
      </c>
      <c r="AA253" s="8" t="str">
        <f t="shared" si="37"/>
        <v>NO</v>
      </c>
      <c r="AB253" s="6" t="str">
        <f t="shared" si="38"/>
        <v>NO</v>
      </c>
    </row>
    <row r="254" spans="1:28" x14ac:dyDescent="0.3">
      <c r="A254">
        <v>254</v>
      </c>
      <c r="B254" t="s">
        <v>54</v>
      </c>
      <c r="C254" t="s">
        <v>64</v>
      </c>
      <c r="D254" s="1">
        <v>45502</v>
      </c>
      <c r="E254" s="2">
        <v>0.17777777777777778</v>
      </c>
      <c r="F254" t="s">
        <v>25</v>
      </c>
      <c r="G254">
        <v>104</v>
      </c>
      <c r="H254">
        <v>91393</v>
      </c>
      <c r="I254">
        <v>71</v>
      </c>
      <c r="J254" s="2">
        <v>0.63263888888888886</v>
      </c>
      <c r="K254" t="s">
        <v>44</v>
      </c>
      <c r="L254" t="s">
        <v>56</v>
      </c>
      <c r="M254" t="s">
        <v>38</v>
      </c>
      <c r="N254" t="s">
        <v>65</v>
      </c>
      <c r="O254">
        <v>2401</v>
      </c>
      <c r="P254">
        <v>1687</v>
      </c>
      <c r="Q254">
        <v>166</v>
      </c>
      <c r="R254">
        <v>4.3</v>
      </c>
      <c r="S254" t="s">
        <v>40</v>
      </c>
      <c r="T254" t="s">
        <v>45</v>
      </c>
      <c r="U254" t="s">
        <v>57</v>
      </c>
      <c r="V254" t="s">
        <v>42</v>
      </c>
      <c r="W254">
        <v>11970</v>
      </c>
      <c r="X254" s="6" t="str">
        <f t="shared" si="34"/>
        <v>LOW</v>
      </c>
      <c r="Y254" s="8" t="str">
        <f t="shared" si="35"/>
        <v>Documentary</v>
      </c>
      <c r="Z254" s="10" t="str">
        <f t="shared" si="36"/>
        <v>Drama</v>
      </c>
      <c r="AA254" s="8" t="str">
        <f t="shared" si="37"/>
        <v>NO</v>
      </c>
      <c r="AB254" s="6" t="str">
        <f t="shared" si="38"/>
        <v>YES</v>
      </c>
    </row>
    <row r="255" spans="1:28" x14ac:dyDescent="0.3">
      <c r="A255">
        <v>255</v>
      </c>
      <c r="B255" t="s">
        <v>23</v>
      </c>
      <c r="C255" t="s">
        <v>43</v>
      </c>
      <c r="D255" s="1">
        <v>45484</v>
      </c>
      <c r="E255" s="2">
        <v>5.6250000000000001E-2</v>
      </c>
      <c r="F255" t="s">
        <v>36</v>
      </c>
      <c r="G255">
        <v>119</v>
      </c>
      <c r="H255">
        <v>36028</v>
      </c>
      <c r="I255">
        <v>51</v>
      </c>
      <c r="J255" s="2">
        <v>0.7895833333333333</v>
      </c>
      <c r="K255" t="s">
        <v>62</v>
      </c>
      <c r="L255" t="s">
        <v>56</v>
      </c>
      <c r="M255" t="s">
        <v>28</v>
      </c>
      <c r="N255" t="s">
        <v>29</v>
      </c>
      <c r="O255">
        <v>1564</v>
      </c>
      <c r="P255">
        <v>700</v>
      </c>
      <c r="Q255">
        <v>997</v>
      </c>
      <c r="R255">
        <v>2</v>
      </c>
      <c r="S255" t="s">
        <v>40</v>
      </c>
      <c r="T255" t="s">
        <v>63</v>
      </c>
      <c r="U255" t="s">
        <v>41</v>
      </c>
      <c r="V255" t="s">
        <v>47</v>
      </c>
      <c r="W255">
        <v>5757</v>
      </c>
      <c r="X255" s="6" t="str">
        <f t="shared" si="34"/>
        <v>LOW</v>
      </c>
      <c r="Y255" s="8" t="str">
        <f t="shared" si="35"/>
        <v>Movie</v>
      </c>
      <c r="Z255" s="10" t="str">
        <f t="shared" si="36"/>
        <v>Sci-Fi</v>
      </c>
      <c r="AA255" s="8" t="str">
        <f t="shared" si="37"/>
        <v>NO</v>
      </c>
      <c r="AB255" s="6" t="str">
        <f t="shared" si="38"/>
        <v>NO</v>
      </c>
    </row>
    <row r="256" spans="1:28" x14ac:dyDescent="0.3">
      <c r="A256">
        <v>256</v>
      </c>
      <c r="B256" t="s">
        <v>34</v>
      </c>
      <c r="C256" t="s">
        <v>43</v>
      </c>
      <c r="D256" s="1">
        <v>45528</v>
      </c>
      <c r="E256" s="2">
        <v>6.9444444444444447E-4</v>
      </c>
      <c r="F256" t="s">
        <v>62</v>
      </c>
      <c r="G256">
        <v>1068</v>
      </c>
      <c r="H256">
        <v>75436</v>
      </c>
      <c r="I256">
        <v>87</v>
      </c>
      <c r="J256" s="2">
        <v>0.23958333333333334</v>
      </c>
      <c r="K256" t="s">
        <v>26</v>
      </c>
      <c r="L256" t="s">
        <v>27</v>
      </c>
      <c r="M256" t="s">
        <v>28</v>
      </c>
      <c r="N256" t="s">
        <v>69</v>
      </c>
      <c r="O256">
        <v>2574</v>
      </c>
      <c r="P256">
        <v>16</v>
      </c>
      <c r="Q256">
        <v>1111</v>
      </c>
      <c r="R256">
        <v>4.5</v>
      </c>
      <c r="S256" t="s">
        <v>60</v>
      </c>
      <c r="T256" t="s">
        <v>63</v>
      </c>
      <c r="U256" t="s">
        <v>70</v>
      </c>
      <c r="V256" t="s">
        <v>53</v>
      </c>
      <c r="W256">
        <v>8450</v>
      </c>
      <c r="X256" s="6" t="str">
        <f t="shared" si="34"/>
        <v>LOW</v>
      </c>
      <c r="Y256" s="8" t="str">
        <f t="shared" si="35"/>
        <v>Series</v>
      </c>
      <c r="Z256" s="10" t="str">
        <f t="shared" si="36"/>
        <v>Sci-Fi</v>
      </c>
      <c r="AA256" s="8" t="str">
        <f t="shared" si="37"/>
        <v>NO</v>
      </c>
      <c r="AB256" s="6" t="str">
        <f t="shared" si="38"/>
        <v>YES</v>
      </c>
    </row>
    <row r="257" spans="1:28" x14ac:dyDescent="0.3">
      <c r="A257">
        <v>257</v>
      </c>
      <c r="B257" t="s">
        <v>34</v>
      </c>
      <c r="C257" t="s">
        <v>72</v>
      </c>
      <c r="D257" s="1">
        <v>45538</v>
      </c>
      <c r="E257" s="2">
        <v>0.41249999999999998</v>
      </c>
      <c r="F257" t="s">
        <v>62</v>
      </c>
      <c r="G257">
        <v>1178</v>
      </c>
      <c r="H257">
        <v>77717</v>
      </c>
      <c r="I257">
        <v>116</v>
      </c>
      <c r="J257" s="2">
        <v>0.99791666666666667</v>
      </c>
      <c r="K257" t="s">
        <v>36</v>
      </c>
      <c r="L257" t="s">
        <v>27</v>
      </c>
      <c r="M257" t="s">
        <v>38</v>
      </c>
      <c r="N257" t="s">
        <v>39</v>
      </c>
      <c r="O257">
        <v>2543</v>
      </c>
      <c r="P257">
        <v>1556</v>
      </c>
      <c r="Q257">
        <v>469</v>
      </c>
      <c r="R257">
        <v>1.9</v>
      </c>
      <c r="S257" t="s">
        <v>30</v>
      </c>
      <c r="T257" t="s">
        <v>63</v>
      </c>
      <c r="U257" t="s">
        <v>32</v>
      </c>
      <c r="V257" t="s">
        <v>58</v>
      </c>
      <c r="W257">
        <v>1967</v>
      </c>
      <c r="X257" s="6" t="str">
        <f t="shared" si="34"/>
        <v>LOW</v>
      </c>
      <c r="Y257" s="8" t="str">
        <f t="shared" si="35"/>
        <v>Series</v>
      </c>
      <c r="Z257" s="10" t="str">
        <f t="shared" si="36"/>
        <v>Action</v>
      </c>
      <c r="AA257" s="8" t="str">
        <f t="shared" si="37"/>
        <v>NO</v>
      </c>
      <c r="AB257" s="6" t="str">
        <f t="shared" si="38"/>
        <v>NO</v>
      </c>
    </row>
    <row r="258" spans="1:28" x14ac:dyDescent="0.3">
      <c r="A258">
        <v>258</v>
      </c>
      <c r="B258" t="s">
        <v>34</v>
      </c>
      <c r="C258" t="s">
        <v>43</v>
      </c>
      <c r="D258" s="1">
        <v>45481</v>
      </c>
      <c r="E258" s="2">
        <v>0.49722222222222223</v>
      </c>
      <c r="F258" t="s">
        <v>44</v>
      </c>
      <c r="G258">
        <v>642</v>
      </c>
      <c r="H258">
        <v>54958</v>
      </c>
      <c r="I258">
        <v>63</v>
      </c>
      <c r="J258" s="2">
        <v>0.14652777777777778</v>
      </c>
      <c r="K258" t="s">
        <v>44</v>
      </c>
      <c r="L258" t="s">
        <v>56</v>
      </c>
      <c r="M258" t="s">
        <v>28</v>
      </c>
      <c r="N258" t="s">
        <v>29</v>
      </c>
      <c r="O258">
        <v>2229</v>
      </c>
      <c r="P258">
        <v>1279</v>
      </c>
      <c r="Q258">
        <v>1330</v>
      </c>
      <c r="R258">
        <v>2.5</v>
      </c>
      <c r="S258" t="s">
        <v>51</v>
      </c>
      <c r="T258" t="s">
        <v>31</v>
      </c>
      <c r="U258" t="s">
        <v>32</v>
      </c>
      <c r="V258" t="s">
        <v>53</v>
      </c>
      <c r="W258">
        <v>12084</v>
      </c>
      <c r="X258" s="6" t="str">
        <f t="shared" si="34"/>
        <v>LOW</v>
      </c>
      <c r="Y258" s="8" t="str">
        <f t="shared" si="35"/>
        <v>Series</v>
      </c>
      <c r="Z258" s="10" t="str">
        <f t="shared" si="36"/>
        <v>Sci-Fi</v>
      </c>
      <c r="AA258" s="8" t="str">
        <f t="shared" si="37"/>
        <v>NO</v>
      </c>
      <c r="AB258" s="6" t="str">
        <f t="shared" si="38"/>
        <v>NO</v>
      </c>
    </row>
    <row r="259" spans="1:28" x14ac:dyDescent="0.3">
      <c r="A259">
        <v>259</v>
      </c>
      <c r="B259" t="s">
        <v>23</v>
      </c>
      <c r="C259" t="s">
        <v>24</v>
      </c>
      <c r="D259" s="1">
        <v>45497</v>
      </c>
      <c r="E259" s="2">
        <v>0.20347222222222222</v>
      </c>
      <c r="F259" t="s">
        <v>68</v>
      </c>
      <c r="G259">
        <v>150</v>
      </c>
      <c r="H259">
        <v>47866</v>
      </c>
      <c r="I259">
        <v>47</v>
      </c>
      <c r="J259" s="2">
        <v>0.18819444444444444</v>
      </c>
      <c r="K259" t="s">
        <v>26</v>
      </c>
      <c r="L259" t="s">
        <v>49</v>
      </c>
      <c r="M259" t="s">
        <v>28</v>
      </c>
      <c r="N259" t="s">
        <v>71</v>
      </c>
      <c r="O259">
        <v>1470</v>
      </c>
      <c r="P259">
        <v>1607</v>
      </c>
      <c r="Q259">
        <v>1064</v>
      </c>
      <c r="R259">
        <v>2.7</v>
      </c>
      <c r="S259" t="s">
        <v>51</v>
      </c>
      <c r="T259" t="s">
        <v>45</v>
      </c>
      <c r="U259" t="s">
        <v>52</v>
      </c>
      <c r="V259" t="s">
        <v>33</v>
      </c>
      <c r="W259">
        <v>12432</v>
      </c>
      <c r="X259" s="6" t="str">
        <f t="shared" ref="X259:X321" si="45">IF(H259&gt;100000,"HIGH","LOW")</f>
        <v>LOW</v>
      </c>
      <c r="Y259" s="8" t="str">
        <f t="shared" ref="Y259:Y322" si="46">VLOOKUP(A259,A:B,2,FALSE)</f>
        <v>Movie</v>
      </c>
      <c r="Z259" s="10" t="str">
        <f t="shared" ref="Z259:Z322" si="47">INDEX(C:C,MATCH(A259,A:A,0))</f>
        <v>Thriller</v>
      </c>
      <c r="AA259" s="8" t="str">
        <f t="shared" ref="AA259:AA322" si="48">IF(AND(H259&gt;1000,V259="YES"),"YES","NO")</f>
        <v>NO</v>
      </c>
      <c r="AB259" s="6" t="str">
        <f t="shared" ref="AB259:AB322" si="49">IF(R259&gt;AVERAGE(R:R),"YES","NO")</f>
        <v>NO</v>
      </c>
    </row>
    <row r="260" spans="1:28" x14ac:dyDescent="0.3">
      <c r="A260">
        <v>260</v>
      </c>
      <c r="B260" t="s">
        <v>34</v>
      </c>
      <c r="C260" t="s">
        <v>24</v>
      </c>
      <c r="D260" s="1">
        <v>45511</v>
      </c>
      <c r="E260" s="2">
        <v>0.56458333333333333</v>
      </c>
      <c r="F260" t="s">
        <v>26</v>
      </c>
      <c r="G260">
        <v>1032</v>
      </c>
      <c r="H260">
        <v>7766</v>
      </c>
      <c r="I260">
        <v>77</v>
      </c>
      <c r="J260" s="2">
        <v>0.24652777777777779</v>
      </c>
      <c r="K260" t="s">
        <v>36</v>
      </c>
      <c r="L260" t="s">
        <v>49</v>
      </c>
      <c r="M260" t="s">
        <v>28</v>
      </c>
      <c r="N260" t="s">
        <v>71</v>
      </c>
      <c r="O260">
        <v>2490</v>
      </c>
      <c r="P260">
        <v>1692</v>
      </c>
      <c r="Q260">
        <v>1123</v>
      </c>
      <c r="R260">
        <v>3.8</v>
      </c>
      <c r="S260" t="s">
        <v>51</v>
      </c>
      <c r="T260" t="s">
        <v>31</v>
      </c>
      <c r="U260" t="s">
        <v>32</v>
      </c>
      <c r="V260" t="s">
        <v>33</v>
      </c>
      <c r="W260">
        <v>19863</v>
      </c>
      <c r="X260" s="6" t="str">
        <f t="shared" si="45"/>
        <v>LOW</v>
      </c>
      <c r="Y260" s="8" t="str">
        <f t="shared" si="46"/>
        <v>Series</v>
      </c>
      <c r="Z260" s="10" t="str">
        <f t="shared" si="47"/>
        <v>Thriller</v>
      </c>
      <c r="AA260" s="8" t="str">
        <f t="shared" si="48"/>
        <v>NO</v>
      </c>
      <c r="AB260" s="6" t="str">
        <f t="shared" si="49"/>
        <v>YES</v>
      </c>
    </row>
    <row r="261" spans="1:28" x14ac:dyDescent="0.3">
      <c r="A261">
        <v>261</v>
      </c>
      <c r="B261" t="s">
        <v>54</v>
      </c>
      <c r="C261" t="s">
        <v>55</v>
      </c>
      <c r="D261" s="1">
        <v>45478</v>
      </c>
      <c r="E261" s="2">
        <v>0.72083333333333333</v>
      </c>
      <c r="F261" t="s">
        <v>68</v>
      </c>
      <c r="G261">
        <v>124</v>
      </c>
      <c r="H261">
        <v>14585</v>
      </c>
      <c r="I261">
        <v>84</v>
      </c>
      <c r="J261" s="2">
        <v>0.47847222222222224</v>
      </c>
      <c r="K261" t="s">
        <v>36</v>
      </c>
      <c r="L261" t="s">
        <v>27</v>
      </c>
      <c r="M261" t="s">
        <v>38</v>
      </c>
      <c r="N261" t="s">
        <v>50</v>
      </c>
      <c r="O261">
        <v>2607</v>
      </c>
      <c r="P261">
        <v>1287</v>
      </c>
      <c r="Q261">
        <v>1234</v>
      </c>
      <c r="R261">
        <v>1.8</v>
      </c>
      <c r="S261" t="s">
        <v>60</v>
      </c>
      <c r="T261" t="s">
        <v>31</v>
      </c>
      <c r="U261" t="s">
        <v>32</v>
      </c>
      <c r="V261" t="s">
        <v>67</v>
      </c>
      <c r="W261">
        <v>13034</v>
      </c>
      <c r="X261" s="6" t="str">
        <f t="shared" si="45"/>
        <v>LOW</v>
      </c>
      <c r="Y261" s="8" t="str">
        <f t="shared" si="46"/>
        <v>Documentary</v>
      </c>
      <c r="Z261" s="10" t="str">
        <f t="shared" si="47"/>
        <v>Fantasy</v>
      </c>
      <c r="AA261" s="8" t="str">
        <f t="shared" si="48"/>
        <v>NO</v>
      </c>
      <c r="AB261" s="6" t="str">
        <f t="shared" si="49"/>
        <v>NO</v>
      </c>
    </row>
    <row r="262" spans="1:28" x14ac:dyDescent="0.3">
      <c r="A262">
        <v>262</v>
      </c>
      <c r="B262" t="s">
        <v>23</v>
      </c>
      <c r="C262" t="s">
        <v>75</v>
      </c>
      <c r="D262" s="1">
        <v>45528</v>
      </c>
      <c r="E262" s="2">
        <v>0.51388888888888884</v>
      </c>
      <c r="F262" t="s">
        <v>73</v>
      </c>
      <c r="G262">
        <v>130</v>
      </c>
      <c r="H262">
        <v>90655</v>
      </c>
      <c r="I262">
        <v>43</v>
      </c>
      <c r="J262" s="2">
        <v>0.8125</v>
      </c>
      <c r="K262" t="s">
        <v>44</v>
      </c>
      <c r="L262" t="s">
        <v>37</v>
      </c>
      <c r="M262" t="s">
        <v>28</v>
      </c>
      <c r="N262" t="s">
        <v>29</v>
      </c>
      <c r="O262">
        <v>489</v>
      </c>
      <c r="P262">
        <v>1830</v>
      </c>
      <c r="Q262">
        <v>15</v>
      </c>
      <c r="R262">
        <v>4.7</v>
      </c>
      <c r="S262" t="s">
        <v>60</v>
      </c>
      <c r="T262" t="s">
        <v>31</v>
      </c>
      <c r="U262" t="s">
        <v>74</v>
      </c>
      <c r="V262" t="s">
        <v>67</v>
      </c>
      <c r="W262">
        <v>16385</v>
      </c>
      <c r="X262" s="6" t="str">
        <f t="shared" ref="X262" si="50">IF(H262&gt;15000,"HIGH",IF(H262&gt;80000,"MEDIUM","LOW"))</f>
        <v>HIGH</v>
      </c>
      <c r="Y262" s="8" t="str">
        <f t="shared" si="46"/>
        <v>Movie</v>
      </c>
      <c r="Z262" s="10" t="str">
        <f t="shared" si="47"/>
        <v>Nature</v>
      </c>
      <c r="AA262" s="8" t="str">
        <f t="shared" si="48"/>
        <v>NO</v>
      </c>
      <c r="AB262" s="6" t="str">
        <f t="shared" si="49"/>
        <v>YES</v>
      </c>
    </row>
    <row r="263" spans="1:28" x14ac:dyDescent="0.3">
      <c r="A263">
        <v>263</v>
      </c>
      <c r="B263" t="s">
        <v>23</v>
      </c>
      <c r="C263" t="s">
        <v>61</v>
      </c>
      <c r="D263" s="1">
        <v>45537</v>
      </c>
      <c r="E263" s="2">
        <v>0.25624999999999998</v>
      </c>
      <c r="F263" t="s">
        <v>44</v>
      </c>
      <c r="G263">
        <v>117</v>
      </c>
      <c r="H263">
        <v>61593</v>
      </c>
      <c r="I263">
        <v>85</v>
      </c>
      <c r="J263" s="2">
        <v>0.25694444444444442</v>
      </c>
      <c r="K263" t="s">
        <v>62</v>
      </c>
      <c r="L263" t="s">
        <v>37</v>
      </c>
      <c r="M263" t="s">
        <v>28</v>
      </c>
      <c r="N263" t="s">
        <v>65</v>
      </c>
      <c r="O263">
        <v>158</v>
      </c>
      <c r="P263">
        <v>1995</v>
      </c>
      <c r="Q263">
        <v>267</v>
      </c>
      <c r="R263">
        <v>2</v>
      </c>
      <c r="S263" t="s">
        <v>60</v>
      </c>
      <c r="T263" t="s">
        <v>45</v>
      </c>
      <c r="U263" t="s">
        <v>74</v>
      </c>
      <c r="V263" t="s">
        <v>67</v>
      </c>
      <c r="W263">
        <v>17757</v>
      </c>
      <c r="X263" s="6" t="str">
        <f t="shared" si="45"/>
        <v>LOW</v>
      </c>
      <c r="Y263" s="8" t="str">
        <f t="shared" si="46"/>
        <v>Movie</v>
      </c>
      <c r="Z263" s="10" t="str">
        <f t="shared" si="47"/>
        <v>History</v>
      </c>
      <c r="AA263" s="8" t="str">
        <f t="shared" si="48"/>
        <v>NO</v>
      </c>
      <c r="AB263" s="6" t="str">
        <f t="shared" si="49"/>
        <v>NO</v>
      </c>
    </row>
    <row r="264" spans="1:28" x14ac:dyDescent="0.3">
      <c r="A264">
        <v>264</v>
      </c>
      <c r="B264" t="s">
        <v>54</v>
      </c>
      <c r="C264" t="s">
        <v>48</v>
      </c>
      <c r="D264" s="1">
        <v>45490</v>
      </c>
      <c r="E264" s="2">
        <v>0.12777777777777777</v>
      </c>
      <c r="F264" t="s">
        <v>68</v>
      </c>
      <c r="G264">
        <v>100</v>
      </c>
      <c r="H264">
        <v>47986</v>
      </c>
      <c r="I264">
        <v>44</v>
      </c>
      <c r="J264" s="2">
        <v>0.75624999999999998</v>
      </c>
      <c r="K264" t="s">
        <v>26</v>
      </c>
      <c r="L264" t="s">
        <v>56</v>
      </c>
      <c r="M264" t="s">
        <v>38</v>
      </c>
      <c r="N264" t="s">
        <v>59</v>
      </c>
      <c r="O264">
        <v>1876</v>
      </c>
      <c r="P264">
        <v>623</v>
      </c>
      <c r="Q264">
        <v>908</v>
      </c>
      <c r="R264">
        <v>1</v>
      </c>
      <c r="S264" t="s">
        <v>30</v>
      </c>
      <c r="T264" t="s">
        <v>45</v>
      </c>
      <c r="U264" t="s">
        <v>70</v>
      </c>
      <c r="V264" t="s">
        <v>42</v>
      </c>
      <c r="W264">
        <v>16888</v>
      </c>
      <c r="X264" s="6" t="str">
        <f t="shared" si="45"/>
        <v>LOW</v>
      </c>
      <c r="Y264" s="8" t="str">
        <f t="shared" si="46"/>
        <v>Documentary</v>
      </c>
      <c r="Z264" s="10" t="str">
        <f t="shared" si="47"/>
        <v>Romance</v>
      </c>
      <c r="AA264" s="8" t="str">
        <f t="shared" si="48"/>
        <v>NO</v>
      </c>
      <c r="AB264" s="6" t="str">
        <f t="shared" si="49"/>
        <v>NO</v>
      </c>
    </row>
    <row r="265" spans="1:28" x14ac:dyDescent="0.3">
      <c r="A265">
        <v>265</v>
      </c>
      <c r="B265" t="s">
        <v>34</v>
      </c>
      <c r="C265" t="s">
        <v>43</v>
      </c>
      <c r="D265" s="1">
        <v>45514</v>
      </c>
      <c r="E265" s="2">
        <v>0.56805555555555554</v>
      </c>
      <c r="F265" t="s">
        <v>44</v>
      </c>
      <c r="G265">
        <v>725</v>
      </c>
      <c r="H265">
        <v>86346</v>
      </c>
      <c r="I265">
        <v>114</v>
      </c>
      <c r="J265" s="2">
        <v>0.7104166666666667</v>
      </c>
      <c r="K265" t="s">
        <v>36</v>
      </c>
      <c r="L265" t="s">
        <v>56</v>
      </c>
      <c r="M265" t="s">
        <v>28</v>
      </c>
      <c r="N265" t="s">
        <v>59</v>
      </c>
      <c r="O265">
        <v>2079</v>
      </c>
      <c r="P265">
        <v>557</v>
      </c>
      <c r="Q265">
        <v>1064</v>
      </c>
      <c r="R265">
        <v>2.9</v>
      </c>
      <c r="S265" t="s">
        <v>60</v>
      </c>
      <c r="T265" t="s">
        <v>45</v>
      </c>
      <c r="U265" t="s">
        <v>66</v>
      </c>
      <c r="V265" t="s">
        <v>33</v>
      </c>
      <c r="W265">
        <v>10870</v>
      </c>
      <c r="X265" s="6" t="str">
        <f t="shared" si="45"/>
        <v>LOW</v>
      </c>
      <c r="Y265" s="8" t="str">
        <f t="shared" si="46"/>
        <v>Series</v>
      </c>
      <c r="Z265" s="10" t="str">
        <f t="shared" si="47"/>
        <v>Sci-Fi</v>
      </c>
      <c r="AA265" s="8" t="str">
        <f t="shared" si="48"/>
        <v>NO</v>
      </c>
      <c r="AB265" s="6" t="str">
        <f t="shared" si="49"/>
        <v>YES</v>
      </c>
    </row>
    <row r="266" spans="1:28" x14ac:dyDescent="0.3">
      <c r="A266">
        <v>266</v>
      </c>
      <c r="B266" t="s">
        <v>54</v>
      </c>
      <c r="C266" t="s">
        <v>35</v>
      </c>
      <c r="D266" s="1">
        <v>45493</v>
      </c>
      <c r="E266" s="2">
        <v>0.84097222222222223</v>
      </c>
      <c r="F266" t="s">
        <v>26</v>
      </c>
      <c r="G266">
        <v>91</v>
      </c>
      <c r="H266">
        <v>52725</v>
      </c>
      <c r="I266">
        <v>33</v>
      </c>
      <c r="J266" s="2">
        <v>0.19583333333333333</v>
      </c>
      <c r="K266" t="s">
        <v>44</v>
      </c>
      <c r="L266" t="s">
        <v>56</v>
      </c>
      <c r="M266" t="s">
        <v>38</v>
      </c>
      <c r="N266" t="s">
        <v>59</v>
      </c>
      <c r="O266">
        <v>2237</v>
      </c>
      <c r="P266">
        <v>803</v>
      </c>
      <c r="Q266">
        <v>238</v>
      </c>
      <c r="R266">
        <v>4.3</v>
      </c>
      <c r="S266" t="s">
        <v>30</v>
      </c>
      <c r="T266" t="s">
        <v>63</v>
      </c>
      <c r="U266" t="s">
        <v>52</v>
      </c>
      <c r="V266" t="s">
        <v>33</v>
      </c>
      <c r="W266">
        <v>13040</v>
      </c>
      <c r="X266" s="6" t="str">
        <f t="shared" si="45"/>
        <v>LOW</v>
      </c>
      <c r="Y266" s="8" t="str">
        <f t="shared" si="46"/>
        <v>Documentary</v>
      </c>
      <c r="Z266" s="10" t="str">
        <f t="shared" si="47"/>
        <v>Comedy</v>
      </c>
      <c r="AA266" s="8" t="str">
        <f t="shared" si="48"/>
        <v>NO</v>
      </c>
      <c r="AB266" s="6" t="str">
        <f t="shared" si="49"/>
        <v>YES</v>
      </c>
    </row>
    <row r="267" spans="1:28" x14ac:dyDescent="0.3">
      <c r="A267">
        <v>267</v>
      </c>
      <c r="B267" t="s">
        <v>23</v>
      </c>
      <c r="C267" t="s">
        <v>72</v>
      </c>
      <c r="D267" s="1">
        <v>45489</v>
      </c>
      <c r="E267" s="2">
        <v>0.99097222222222225</v>
      </c>
      <c r="F267" t="s">
        <v>68</v>
      </c>
      <c r="G267">
        <v>143</v>
      </c>
      <c r="H267">
        <v>51673</v>
      </c>
      <c r="I267">
        <v>66</v>
      </c>
      <c r="J267" s="2">
        <v>0.29375000000000001</v>
      </c>
      <c r="K267" t="s">
        <v>26</v>
      </c>
      <c r="L267" t="s">
        <v>49</v>
      </c>
      <c r="M267" t="s">
        <v>38</v>
      </c>
      <c r="N267" t="s">
        <v>69</v>
      </c>
      <c r="O267">
        <v>1020</v>
      </c>
      <c r="P267">
        <v>1801</v>
      </c>
      <c r="Q267">
        <v>724</v>
      </c>
      <c r="R267">
        <v>3.3</v>
      </c>
      <c r="S267" t="s">
        <v>51</v>
      </c>
      <c r="T267" t="s">
        <v>45</v>
      </c>
      <c r="U267" t="s">
        <v>41</v>
      </c>
      <c r="V267" t="s">
        <v>33</v>
      </c>
      <c r="W267">
        <v>15457</v>
      </c>
      <c r="X267" s="6" t="str">
        <f t="shared" si="45"/>
        <v>LOW</v>
      </c>
      <c r="Y267" s="8" t="str">
        <f t="shared" si="46"/>
        <v>Movie</v>
      </c>
      <c r="Z267" s="10" t="str">
        <f t="shared" si="47"/>
        <v>Action</v>
      </c>
      <c r="AA267" s="8" t="str">
        <f t="shared" si="48"/>
        <v>NO</v>
      </c>
      <c r="AB267" s="6" t="str">
        <f t="shared" si="49"/>
        <v>YES</v>
      </c>
    </row>
    <row r="268" spans="1:28" x14ac:dyDescent="0.3">
      <c r="A268">
        <v>268</v>
      </c>
      <c r="B268" t="s">
        <v>23</v>
      </c>
      <c r="C268" t="s">
        <v>35</v>
      </c>
      <c r="D268" s="1">
        <v>45528</v>
      </c>
      <c r="E268" s="2">
        <v>0.39583333333333331</v>
      </c>
      <c r="F268" t="s">
        <v>73</v>
      </c>
      <c r="G268">
        <v>109</v>
      </c>
      <c r="H268">
        <v>96401</v>
      </c>
      <c r="I268">
        <v>61</v>
      </c>
      <c r="J268" s="2">
        <v>0.13750000000000001</v>
      </c>
      <c r="K268" t="s">
        <v>36</v>
      </c>
      <c r="L268" t="s">
        <v>56</v>
      </c>
      <c r="M268" t="s">
        <v>38</v>
      </c>
      <c r="N268" t="s">
        <v>69</v>
      </c>
      <c r="O268">
        <v>2095</v>
      </c>
      <c r="P268">
        <v>1772</v>
      </c>
      <c r="Q268">
        <v>652</v>
      </c>
      <c r="R268">
        <v>4.9000000000000004</v>
      </c>
      <c r="S268" t="s">
        <v>40</v>
      </c>
      <c r="T268" t="s">
        <v>31</v>
      </c>
      <c r="U268" t="s">
        <v>66</v>
      </c>
      <c r="V268" t="s">
        <v>67</v>
      </c>
      <c r="W268">
        <v>18050</v>
      </c>
      <c r="X268" s="6" t="str">
        <f t="shared" si="45"/>
        <v>LOW</v>
      </c>
      <c r="Y268" s="8" t="str">
        <f t="shared" si="46"/>
        <v>Movie</v>
      </c>
      <c r="Z268" s="10" t="str">
        <f t="shared" si="47"/>
        <v>Comedy</v>
      </c>
      <c r="AA268" s="8" t="str">
        <f t="shared" si="48"/>
        <v>NO</v>
      </c>
      <c r="AB268" s="6" t="str">
        <f t="shared" si="49"/>
        <v>YES</v>
      </c>
    </row>
    <row r="269" spans="1:28" x14ac:dyDescent="0.3">
      <c r="A269">
        <v>269</v>
      </c>
      <c r="B269" t="s">
        <v>34</v>
      </c>
      <c r="C269" t="s">
        <v>64</v>
      </c>
      <c r="D269" s="1">
        <v>45549</v>
      </c>
      <c r="E269" s="2">
        <v>0.82013888888888886</v>
      </c>
      <c r="F269" t="s">
        <v>26</v>
      </c>
      <c r="G269">
        <v>165</v>
      </c>
      <c r="H269">
        <v>39601</v>
      </c>
      <c r="I269">
        <v>89</v>
      </c>
      <c r="J269" s="2">
        <v>0.15763888888888888</v>
      </c>
      <c r="K269" t="s">
        <v>44</v>
      </c>
      <c r="L269" t="s">
        <v>49</v>
      </c>
      <c r="M269" t="s">
        <v>38</v>
      </c>
      <c r="N269" t="s">
        <v>71</v>
      </c>
      <c r="O269">
        <v>1532</v>
      </c>
      <c r="P269">
        <v>234</v>
      </c>
      <c r="Q269">
        <v>1168</v>
      </c>
      <c r="R269">
        <v>2.4</v>
      </c>
      <c r="S269" t="s">
        <v>30</v>
      </c>
      <c r="T269" t="s">
        <v>63</v>
      </c>
      <c r="U269" t="s">
        <v>74</v>
      </c>
      <c r="V269" t="s">
        <v>53</v>
      </c>
      <c r="W269">
        <v>7116</v>
      </c>
      <c r="X269" s="6" t="str">
        <f t="shared" si="45"/>
        <v>LOW</v>
      </c>
      <c r="Y269" s="8" t="str">
        <f t="shared" si="46"/>
        <v>Series</v>
      </c>
      <c r="Z269" s="10" t="str">
        <f t="shared" si="47"/>
        <v>Drama</v>
      </c>
      <c r="AA269" s="8" t="str">
        <f t="shared" si="48"/>
        <v>NO</v>
      </c>
      <c r="AB269" s="6" t="str">
        <f t="shared" si="49"/>
        <v>NO</v>
      </c>
    </row>
    <row r="270" spans="1:28" x14ac:dyDescent="0.3">
      <c r="A270">
        <v>270</v>
      </c>
      <c r="B270" t="s">
        <v>54</v>
      </c>
      <c r="C270" t="s">
        <v>64</v>
      </c>
      <c r="D270" s="1">
        <v>45489</v>
      </c>
      <c r="E270" s="2">
        <v>0.76875000000000004</v>
      </c>
      <c r="F270" t="s">
        <v>26</v>
      </c>
      <c r="G270">
        <v>70</v>
      </c>
      <c r="H270">
        <v>6729</v>
      </c>
      <c r="I270">
        <v>46</v>
      </c>
      <c r="J270" s="2">
        <v>0.24305555555555555</v>
      </c>
      <c r="K270" t="s">
        <v>26</v>
      </c>
      <c r="L270" t="s">
        <v>27</v>
      </c>
      <c r="M270" t="s">
        <v>28</v>
      </c>
      <c r="N270" t="s">
        <v>50</v>
      </c>
      <c r="O270">
        <v>2203</v>
      </c>
      <c r="P270">
        <v>1425</v>
      </c>
      <c r="Q270">
        <v>886</v>
      </c>
      <c r="R270">
        <v>4.4000000000000004</v>
      </c>
      <c r="S270" t="s">
        <v>30</v>
      </c>
      <c r="T270" t="s">
        <v>63</v>
      </c>
      <c r="U270" t="s">
        <v>74</v>
      </c>
      <c r="V270" t="s">
        <v>47</v>
      </c>
      <c r="W270">
        <v>12596</v>
      </c>
      <c r="X270" s="6" t="str">
        <f t="shared" si="45"/>
        <v>LOW</v>
      </c>
      <c r="Y270" s="8" t="str">
        <f t="shared" si="46"/>
        <v>Documentary</v>
      </c>
      <c r="Z270" s="10" t="str">
        <f t="shared" si="47"/>
        <v>Drama</v>
      </c>
      <c r="AA270" s="8" t="str">
        <f t="shared" si="48"/>
        <v>NO</v>
      </c>
      <c r="AB270" s="6" t="str">
        <f t="shared" si="49"/>
        <v>YES</v>
      </c>
    </row>
    <row r="271" spans="1:28" x14ac:dyDescent="0.3">
      <c r="A271">
        <v>271</v>
      </c>
      <c r="B271" t="s">
        <v>54</v>
      </c>
      <c r="C271" t="s">
        <v>64</v>
      </c>
      <c r="D271" s="1">
        <v>45511</v>
      </c>
      <c r="E271" s="2">
        <v>0.6875</v>
      </c>
      <c r="F271" t="s">
        <v>44</v>
      </c>
      <c r="G271">
        <v>79</v>
      </c>
      <c r="H271">
        <v>37753</v>
      </c>
      <c r="I271">
        <v>55</v>
      </c>
      <c r="J271" s="2">
        <v>0.6166666666666667</v>
      </c>
      <c r="K271" t="s">
        <v>36</v>
      </c>
      <c r="L271" t="s">
        <v>37</v>
      </c>
      <c r="M271" t="s">
        <v>38</v>
      </c>
      <c r="N271" t="s">
        <v>50</v>
      </c>
      <c r="O271">
        <v>1813</v>
      </c>
      <c r="P271">
        <v>1555</v>
      </c>
      <c r="Q271">
        <v>82</v>
      </c>
      <c r="R271">
        <v>1.8</v>
      </c>
      <c r="S271" t="s">
        <v>60</v>
      </c>
      <c r="T271" t="s">
        <v>63</v>
      </c>
      <c r="U271" t="s">
        <v>32</v>
      </c>
      <c r="V271" t="s">
        <v>58</v>
      </c>
      <c r="W271">
        <v>5050</v>
      </c>
      <c r="X271" s="6" t="str">
        <f t="shared" si="45"/>
        <v>LOW</v>
      </c>
      <c r="Y271" s="8" t="str">
        <f t="shared" si="46"/>
        <v>Documentary</v>
      </c>
      <c r="Z271" s="10" t="str">
        <f t="shared" si="47"/>
        <v>Drama</v>
      </c>
      <c r="AA271" s="8" t="str">
        <f t="shared" si="48"/>
        <v>NO</v>
      </c>
      <c r="AB271" s="6" t="str">
        <f t="shared" si="49"/>
        <v>NO</v>
      </c>
    </row>
    <row r="272" spans="1:28" x14ac:dyDescent="0.3">
      <c r="A272">
        <v>272</v>
      </c>
      <c r="B272" t="s">
        <v>34</v>
      </c>
      <c r="C272" t="s">
        <v>43</v>
      </c>
      <c r="D272" s="1">
        <v>45547</v>
      </c>
      <c r="E272" s="2">
        <v>0.68472222222222223</v>
      </c>
      <c r="F272" t="s">
        <v>62</v>
      </c>
      <c r="G272">
        <v>289</v>
      </c>
      <c r="H272">
        <v>31924</v>
      </c>
      <c r="I272">
        <v>94</v>
      </c>
      <c r="J272" s="2">
        <v>0.73541666666666672</v>
      </c>
      <c r="K272" t="s">
        <v>36</v>
      </c>
      <c r="L272" t="s">
        <v>56</v>
      </c>
      <c r="M272" t="s">
        <v>28</v>
      </c>
      <c r="N272" t="s">
        <v>29</v>
      </c>
      <c r="O272">
        <v>831</v>
      </c>
      <c r="P272">
        <v>1451</v>
      </c>
      <c r="Q272">
        <v>748</v>
      </c>
      <c r="R272">
        <v>1</v>
      </c>
      <c r="S272" t="s">
        <v>40</v>
      </c>
      <c r="T272" t="s">
        <v>45</v>
      </c>
      <c r="U272" t="s">
        <v>46</v>
      </c>
      <c r="V272" t="s">
        <v>53</v>
      </c>
      <c r="W272">
        <v>16574</v>
      </c>
      <c r="X272" s="6" t="str">
        <f t="shared" ref="X272" si="51">IF(H272&gt;15000,"HIGH",IF(H272&gt;80000,"MEDIUM","LOW"))</f>
        <v>HIGH</v>
      </c>
      <c r="Y272" s="8" t="str">
        <f t="shared" si="46"/>
        <v>Series</v>
      </c>
      <c r="Z272" s="10" t="str">
        <f t="shared" si="47"/>
        <v>Sci-Fi</v>
      </c>
      <c r="AA272" s="8" t="str">
        <f t="shared" si="48"/>
        <v>NO</v>
      </c>
      <c r="AB272" s="6" t="str">
        <f t="shared" si="49"/>
        <v>NO</v>
      </c>
    </row>
    <row r="273" spans="1:28" x14ac:dyDescent="0.3">
      <c r="A273">
        <v>273</v>
      </c>
      <c r="B273" t="s">
        <v>54</v>
      </c>
      <c r="C273" t="s">
        <v>61</v>
      </c>
      <c r="D273" s="1">
        <v>45495</v>
      </c>
      <c r="E273" s="2">
        <v>4.9305555555555554E-2</v>
      </c>
      <c r="F273" t="s">
        <v>44</v>
      </c>
      <c r="G273">
        <v>96</v>
      </c>
      <c r="H273">
        <v>75945</v>
      </c>
      <c r="I273">
        <v>37</v>
      </c>
      <c r="J273" s="2">
        <v>0.47361111111111109</v>
      </c>
      <c r="K273" t="s">
        <v>44</v>
      </c>
      <c r="L273" t="s">
        <v>37</v>
      </c>
      <c r="M273" t="s">
        <v>38</v>
      </c>
      <c r="N273" t="s">
        <v>71</v>
      </c>
      <c r="O273">
        <v>72</v>
      </c>
      <c r="P273">
        <v>1948</v>
      </c>
      <c r="Q273">
        <v>808</v>
      </c>
      <c r="R273">
        <v>3.6</v>
      </c>
      <c r="S273" t="s">
        <v>60</v>
      </c>
      <c r="T273" t="s">
        <v>31</v>
      </c>
      <c r="U273" t="s">
        <v>74</v>
      </c>
      <c r="V273" t="s">
        <v>67</v>
      </c>
      <c r="W273">
        <v>2587</v>
      </c>
      <c r="X273" s="6" t="str">
        <f t="shared" si="45"/>
        <v>LOW</v>
      </c>
      <c r="Y273" s="8" t="str">
        <f t="shared" si="46"/>
        <v>Documentary</v>
      </c>
      <c r="Z273" s="10" t="str">
        <f t="shared" si="47"/>
        <v>History</v>
      </c>
      <c r="AA273" s="8" t="str">
        <f t="shared" si="48"/>
        <v>NO</v>
      </c>
      <c r="AB273" s="6" t="str">
        <f t="shared" si="49"/>
        <v>YES</v>
      </c>
    </row>
    <row r="274" spans="1:28" x14ac:dyDescent="0.3">
      <c r="A274">
        <v>274</v>
      </c>
      <c r="B274" t="s">
        <v>34</v>
      </c>
      <c r="C274" t="s">
        <v>43</v>
      </c>
      <c r="D274" s="1">
        <v>45500</v>
      </c>
      <c r="E274" s="2">
        <v>0.47847222222222224</v>
      </c>
      <c r="F274" t="s">
        <v>73</v>
      </c>
      <c r="G274">
        <v>257</v>
      </c>
      <c r="H274">
        <v>92488</v>
      </c>
      <c r="I274">
        <v>59</v>
      </c>
      <c r="J274" s="2">
        <v>0.49930555555555556</v>
      </c>
      <c r="K274" t="s">
        <v>62</v>
      </c>
      <c r="L274" t="s">
        <v>27</v>
      </c>
      <c r="M274" t="s">
        <v>28</v>
      </c>
      <c r="N274" t="s">
        <v>65</v>
      </c>
      <c r="O274">
        <v>2321</v>
      </c>
      <c r="P274">
        <v>1051</v>
      </c>
      <c r="Q274">
        <v>678</v>
      </c>
      <c r="R274">
        <v>2.6</v>
      </c>
      <c r="S274" t="s">
        <v>40</v>
      </c>
      <c r="T274" t="s">
        <v>45</v>
      </c>
      <c r="U274" t="s">
        <v>66</v>
      </c>
      <c r="V274" t="s">
        <v>67</v>
      </c>
      <c r="W274">
        <v>4803</v>
      </c>
      <c r="X274" s="6" t="str">
        <f t="shared" si="45"/>
        <v>LOW</v>
      </c>
      <c r="Y274" s="8" t="str">
        <f t="shared" si="46"/>
        <v>Series</v>
      </c>
      <c r="Z274" s="10" t="str">
        <f t="shared" si="47"/>
        <v>Sci-Fi</v>
      </c>
      <c r="AA274" s="8" t="str">
        <f t="shared" si="48"/>
        <v>NO</v>
      </c>
      <c r="AB274" s="6" t="str">
        <f t="shared" si="49"/>
        <v>NO</v>
      </c>
    </row>
    <row r="275" spans="1:28" x14ac:dyDescent="0.3">
      <c r="A275">
        <v>275</v>
      </c>
      <c r="B275" t="s">
        <v>34</v>
      </c>
      <c r="C275" t="s">
        <v>48</v>
      </c>
      <c r="D275" s="1">
        <v>45516</v>
      </c>
      <c r="E275" s="2">
        <v>7.9166666666666663E-2</v>
      </c>
      <c r="F275" t="s">
        <v>44</v>
      </c>
      <c r="G275">
        <v>813</v>
      </c>
      <c r="H275">
        <v>91742</v>
      </c>
      <c r="I275">
        <v>114</v>
      </c>
      <c r="J275" s="2">
        <v>5.347222222222222E-2</v>
      </c>
      <c r="K275" t="s">
        <v>26</v>
      </c>
      <c r="L275" t="s">
        <v>37</v>
      </c>
      <c r="M275" t="s">
        <v>28</v>
      </c>
      <c r="N275" t="s">
        <v>76</v>
      </c>
      <c r="O275">
        <v>783</v>
      </c>
      <c r="P275">
        <v>717</v>
      </c>
      <c r="Q275">
        <v>315</v>
      </c>
      <c r="R275">
        <v>2.4</v>
      </c>
      <c r="S275" t="s">
        <v>30</v>
      </c>
      <c r="T275" t="s">
        <v>63</v>
      </c>
      <c r="U275" t="s">
        <v>32</v>
      </c>
      <c r="V275" t="s">
        <v>67</v>
      </c>
      <c r="W275">
        <v>16117</v>
      </c>
      <c r="X275" s="6" t="str">
        <f t="shared" si="45"/>
        <v>LOW</v>
      </c>
      <c r="Y275" s="8" t="str">
        <f t="shared" si="46"/>
        <v>Series</v>
      </c>
      <c r="Z275" s="10" t="str">
        <f t="shared" si="47"/>
        <v>Romance</v>
      </c>
      <c r="AA275" s="8" t="str">
        <f t="shared" si="48"/>
        <v>NO</v>
      </c>
      <c r="AB275" s="6" t="str">
        <f t="shared" si="49"/>
        <v>NO</v>
      </c>
    </row>
    <row r="276" spans="1:28" x14ac:dyDescent="0.3">
      <c r="A276">
        <v>276</v>
      </c>
      <c r="B276" t="s">
        <v>54</v>
      </c>
      <c r="C276" t="s">
        <v>43</v>
      </c>
      <c r="D276" s="1">
        <v>45504</v>
      </c>
      <c r="E276" s="2">
        <v>0.43263888888888891</v>
      </c>
      <c r="F276" t="s">
        <v>68</v>
      </c>
      <c r="G276">
        <v>97</v>
      </c>
      <c r="H276">
        <v>20164</v>
      </c>
      <c r="I276">
        <v>54</v>
      </c>
      <c r="J276" s="2">
        <v>0.83194444444444449</v>
      </c>
      <c r="K276" t="s">
        <v>36</v>
      </c>
      <c r="L276" t="s">
        <v>49</v>
      </c>
      <c r="M276" t="s">
        <v>38</v>
      </c>
      <c r="N276" t="s">
        <v>39</v>
      </c>
      <c r="O276">
        <v>636</v>
      </c>
      <c r="P276">
        <v>151</v>
      </c>
      <c r="Q276">
        <v>1084</v>
      </c>
      <c r="R276">
        <v>3</v>
      </c>
      <c r="S276" t="s">
        <v>60</v>
      </c>
      <c r="T276" t="s">
        <v>45</v>
      </c>
      <c r="U276" t="s">
        <v>74</v>
      </c>
      <c r="V276" t="s">
        <v>58</v>
      </c>
      <c r="W276">
        <v>3861</v>
      </c>
      <c r="X276" s="6" t="str">
        <f t="shared" si="45"/>
        <v>LOW</v>
      </c>
      <c r="Y276" s="8" t="str">
        <f t="shared" si="46"/>
        <v>Documentary</v>
      </c>
      <c r="Z276" s="10" t="str">
        <f t="shared" si="47"/>
        <v>Sci-Fi</v>
      </c>
      <c r="AA276" s="8" t="str">
        <f t="shared" si="48"/>
        <v>NO</v>
      </c>
      <c r="AB276" s="6" t="str">
        <f t="shared" si="49"/>
        <v>YES</v>
      </c>
    </row>
    <row r="277" spans="1:28" x14ac:dyDescent="0.3">
      <c r="A277">
        <v>277</v>
      </c>
      <c r="B277" t="s">
        <v>23</v>
      </c>
      <c r="C277" t="s">
        <v>43</v>
      </c>
      <c r="D277" s="1">
        <v>45519</v>
      </c>
      <c r="E277" s="2">
        <v>0.30416666666666664</v>
      </c>
      <c r="F277" t="s">
        <v>44</v>
      </c>
      <c r="G277">
        <v>182</v>
      </c>
      <c r="H277">
        <v>25046</v>
      </c>
      <c r="I277">
        <v>42</v>
      </c>
      <c r="J277" s="2">
        <v>0.21597222222222223</v>
      </c>
      <c r="K277" t="s">
        <v>44</v>
      </c>
      <c r="L277" t="s">
        <v>37</v>
      </c>
      <c r="M277" t="s">
        <v>38</v>
      </c>
      <c r="N277" t="s">
        <v>59</v>
      </c>
      <c r="O277">
        <v>2246</v>
      </c>
      <c r="P277">
        <v>623</v>
      </c>
      <c r="Q277">
        <v>1043</v>
      </c>
      <c r="R277">
        <v>3.2</v>
      </c>
      <c r="S277" t="s">
        <v>40</v>
      </c>
      <c r="T277" t="s">
        <v>31</v>
      </c>
      <c r="U277" t="s">
        <v>52</v>
      </c>
      <c r="V277" t="s">
        <v>47</v>
      </c>
      <c r="W277">
        <v>19582</v>
      </c>
      <c r="X277" s="6" t="str">
        <f t="shared" si="45"/>
        <v>LOW</v>
      </c>
      <c r="Y277" s="8" t="str">
        <f t="shared" si="46"/>
        <v>Movie</v>
      </c>
      <c r="Z277" s="10" t="str">
        <f t="shared" si="47"/>
        <v>Sci-Fi</v>
      </c>
      <c r="AA277" s="8" t="str">
        <f t="shared" si="48"/>
        <v>NO</v>
      </c>
      <c r="AB277" s="6" t="str">
        <f t="shared" si="49"/>
        <v>YES</v>
      </c>
    </row>
    <row r="278" spans="1:28" x14ac:dyDescent="0.3">
      <c r="A278">
        <v>278</v>
      </c>
      <c r="B278" t="s">
        <v>54</v>
      </c>
      <c r="C278" t="s">
        <v>48</v>
      </c>
      <c r="D278" s="1">
        <v>45517</v>
      </c>
      <c r="E278" s="2">
        <v>0.27569444444444446</v>
      </c>
      <c r="F278" t="s">
        <v>25</v>
      </c>
      <c r="G278">
        <v>71</v>
      </c>
      <c r="H278">
        <v>7077</v>
      </c>
      <c r="I278">
        <v>41</v>
      </c>
      <c r="J278" s="2">
        <v>6.5277777777777782E-2</v>
      </c>
      <c r="K278" t="s">
        <v>26</v>
      </c>
      <c r="L278" t="s">
        <v>49</v>
      </c>
      <c r="M278" t="s">
        <v>28</v>
      </c>
      <c r="N278" t="s">
        <v>71</v>
      </c>
      <c r="O278">
        <v>617</v>
      </c>
      <c r="P278">
        <v>93</v>
      </c>
      <c r="Q278">
        <v>793</v>
      </c>
      <c r="R278">
        <v>3.4</v>
      </c>
      <c r="S278" t="s">
        <v>40</v>
      </c>
      <c r="T278" t="s">
        <v>63</v>
      </c>
      <c r="U278" t="s">
        <v>46</v>
      </c>
      <c r="V278" t="s">
        <v>67</v>
      </c>
      <c r="W278">
        <v>446</v>
      </c>
      <c r="X278" s="6" t="str">
        <f t="shared" si="45"/>
        <v>LOW</v>
      </c>
      <c r="Y278" s="8" t="str">
        <f t="shared" si="46"/>
        <v>Documentary</v>
      </c>
      <c r="Z278" s="10" t="str">
        <f t="shared" si="47"/>
        <v>Romance</v>
      </c>
      <c r="AA278" s="8" t="str">
        <f t="shared" si="48"/>
        <v>NO</v>
      </c>
      <c r="AB278" s="6" t="str">
        <f t="shared" si="49"/>
        <v>YES</v>
      </c>
    </row>
    <row r="279" spans="1:28" x14ac:dyDescent="0.3">
      <c r="A279">
        <v>279</v>
      </c>
      <c r="B279" t="s">
        <v>23</v>
      </c>
      <c r="C279" t="s">
        <v>48</v>
      </c>
      <c r="D279" s="1">
        <v>45527</v>
      </c>
      <c r="E279" s="2">
        <v>0.92083333333333328</v>
      </c>
      <c r="F279" t="s">
        <v>25</v>
      </c>
      <c r="G279">
        <v>160</v>
      </c>
      <c r="H279">
        <v>52522</v>
      </c>
      <c r="I279">
        <v>103</v>
      </c>
      <c r="J279" s="2">
        <v>0.31666666666666665</v>
      </c>
      <c r="K279" t="s">
        <v>36</v>
      </c>
      <c r="L279" t="s">
        <v>27</v>
      </c>
      <c r="M279" t="s">
        <v>38</v>
      </c>
      <c r="N279" t="s">
        <v>65</v>
      </c>
      <c r="O279">
        <v>2264</v>
      </c>
      <c r="P279">
        <v>1710</v>
      </c>
      <c r="Q279">
        <v>968</v>
      </c>
      <c r="R279">
        <v>4.9000000000000004</v>
      </c>
      <c r="S279" t="s">
        <v>40</v>
      </c>
      <c r="T279" t="s">
        <v>45</v>
      </c>
      <c r="U279" t="s">
        <v>52</v>
      </c>
      <c r="V279" t="s">
        <v>42</v>
      </c>
      <c r="W279">
        <v>4067</v>
      </c>
      <c r="X279" s="6" t="str">
        <f t="shared" si="45"/>
        <v>LOW</v>
      </c>
      <c r="Y279" s="8" t="str">
        <f t="shared" si="46"/>
        <v>Movie</v>
      </c>
      <c r="Z279" s="10" t="str">
        <f t="shared" si="47"/>
        <v>Romance</v>
      </c>
      <c r="AA279" s="8" t="str">
        <f t="shared" si="48"/>
        <v>NO</v>
      </c>
      <c r="AB279" s="6" t="str">
        <f t="shared" si="49"/>
        <v>YES</v>
      </c>
    </row>
    <row r="280" spans="1:28" x14ac:dyDescent="0.3">
      <c r="A280">
        <v>280</v>
      </c>
      <c r="B280" t="s">
        <v>54</v>
      </c>
      <c r="C280" t="s">
        <v>24</v>
      </c>
      <c r="D280" s="1">
        <v>45534</v>
      </c>
      <c r="E280" s="2">
        <v>0.69305555555555554</v>
      </c>
      <c r="F280" t="s">
        <v>68</v>
      </c>
      <c r="G280">
        <v>103</v>
      </c>
      <c r="H280">
        <v>99483</v>
      </c>
      <c r="I280">
        <v>38</v>
      </c>
      <c r="J280" s="2">
        <v>0.65208333333333335</v>
      </c>
      <c r="K280" t="s">
        <v>36</v>
      </c>
      <c r="L280" t="s">
        <v>27</v>
      </c>
      <c r="M280" t="s">
        <v>38</v>
      </c>
      <c r="N280" t="s">
        <v>69</v>
      </c>
      <c r="O280">
        <v>2218</v>
      </c>
      <c r="P280">
        <v>1128</v>
      </c>
      <c r="Q280">
        <v>1462</v>
      </c>
      <c r="R280">
        <v>1.4</v>
      </c>
      <c r="S280" t="s">
        <v>30</v>
      </c>
      <c r="T280" t="s">
        <v>63</v>
      </c>
      <c r="U280" t="s">
        <v>32</v>
      </c>
      <c r="V280" t="s">
        <v>33</v>
      </c>
      <c r="W280">
        <v>15925</v>
      </c>
      <c r="X280" s="6" t="str">
        <f t="shared" si="45"/>
        <v>LOW</v>
      </c>
      <c r="Y280" s="8" t="str">
        <f t="shared" si="46"/>
        <v>Documentary</v>
      </c>
      <c r="Z280" s="10" t="str">
        <f t="shared" si="47"/>
        <v>Thriller</v>
      </c>
      <c r="AA280" s="8" t="str">
        <f t="shared" si="48"/>
        <v>NO</v>
      </c>
      <c r="AB280" s="6" t="str">
        <f t="shared" si="49"/>
        <v>NO</v>
      </c>
    </row>
    <row r="281" spans="1:28" x14ac:dyDescent="0.3">
      <c r="A281">
        <v>281</v>
      </c>
      <c r="B281" t="s">
        <v>34</v>
      </c>
      <c r="C281" t="s">
        <v>72</v>
      </c>
      <c r="D281" s="1">
        <v>45517</v>
      </c>
      <c r="E281" s="2">
        <v>0.5756944444444444</v>
      </c>
      <c r="F281" t="s">
        <v>36</v>
      </c>
      <c r="G281">
        <v>986</v>
      </c>
      <c r="H281">
        <v>39800</v>
      </c>
      <c r="I281">
        <v>46</v>
      </c>
      <c r="J281" s="2">
        <v>0.8881944444444444</v>
      </c>
      <c r="K281" t="s">
        <v>44</v>
      </c>
      <c r="L281" t="s">
        <v>49</v>
      </c>
      <c r="M281" t="s">
        <v>38</v>
      </c>
      <c r="N281" t="s">
        <v>76</v>
      </c>
      <c r="O281">
        <v>2993</v>
      </c>
      <c r="P281">
        <v>1343</v>
      </c>
      <c r="Q281">
        <v>1223</v>
      </c>
      <c r="R281">
        <v>1.8</v>
      </c>
      <c r="S281" t="s">
        <v>60</v>
      </c>
      <c r="T281" t="s">
        <v>45</v>
      </c>
      <c r="U281" t="s">
        <v>41</v>
      </c>
      <c r="V281" t="s">
        <v>67</v>
      </c>
      <c r="W281">
        <v>17539</v>
      </c>
      <c r="X281" s="6" t="str">
        <f t="shared" si="45"/>
        <v>LOW</v>
      </c>
      <c r="Y281" s="8" t="str">
        <f t="shared" si="46"/>
        <v>Series</v>
      </c>
      <c r="Z281" s="10" t="str">
        <f t="shared" si="47"/>
        <v>Action</v>
      </c>
      <c r="AA281" s="8" t="str">
        <f t="shared" si="48"/>
        <v>NO</v>
      </c>
      <c r="AB281" s="6" t="str">
        <f t="shared" si="49"/>
        <v>NO</v>
      </c>
    </row>
    <row r="282" spans="1:28" x14ac:dyDescent="0.3">
      <c r="A282">
        <v>282</v>
      </c>
      <c r="B282" t="s">
        <v>23</v>
      </c>
      <c r="C282" t="s">
        <v>48</v>
      </c>
      <c r="D282" s="1">
        <v>45484</v>
      </c>
      <c r="E282" s="2">
        <v>0.11597222222222223</v>
      </c>
      <c r="F282" t="s">
        <v>26</v>
      </c>
      <c r="G282">
        <v>167</v>
      </c>
      <c r="H282">
        <v>80562</v>
      </c>
      <c r="I282">
        <v>68</v>
      </c>
      <c r="J282" s="2">
        <v>0.43611111111111112</v>
      </c>
      <c r="K282" t="s">
        <v>62</v>
      </c>
      <c r="L282" t="s">
        <v>49</v>
      </c>
      <c r="M282" t="s">
        <v>28</v>
      </c>
      <c r="N282" t="s">
        <v>59</v>
      </c>
      <c r="O282">
        <v>1174</v>
      </c>
      <c r="P282">
        <v>1082</v>
      </c>
      <c r="Q282">
        <v>970</v>
      </c>
      <c r="R282">
        <v>3.6</v>
      </c>
      <c r="S282" t="s">
        <v>40</v>
      </c>
      <c r="T282" t="s">
        <v>63</v>
      </c>
      <c r="U282" t="s">
        <v>52</v>
      </c>
      <c r="V282" t="s">
        <v>42</v>
      </c>
      <c r="W282">
        <v>12302</v>
      </c>
      <c r="X282" s="6" t="str">
        <f t="shared" ref="X282" si="52">IF(H282&gt;15000,"HIGH",IF(H282&gt;80000,"MEDIUM","LOW"))</f>
        <v>HIGH</v>
      </c>
      <c r="Y282" s="8" t="str">
        <f t="shared" si="46"/>
        <v>Movie</v>
      </c>
      <c r="Z282" s="10" t="str">
        <f t="shared" si="47"/>
        <v>Romance</v>
      </c>
      <c r="AA282" s="8" t="str">
        <f t="shared" si="48"/>
        <v>NO</v>
      </c>
      <c r="AB282" s="6" t="str">
        <f t="shared" si="49"/>
        <v>YES</v>
      </c>
    </row>
    <row r="283" spans="1:28" x14ac:dyDescent="0.3">
      <c r="A283">
        <v>283</v>
      </c>
      <c r="B283" t="s">
        <v>54</v>
      </c>
      <c r="C283" t="s">
        <v>35</v>
      </c>
      <c r="D283" s="1">
        <v>45483</v>
      </c>
      <c r="E283" s="2">
        <v>0.27569444444444446</v>
      </c>
      <c r="F283" t="s">
        <v>25</v>
      </c>
      <c r="G283">
        <v>95</v>
      </c>
      <c r="H283">
        <v>86310</v>
      </c>
      <c r="I283">
        <v>51</v>
      </c>
      <c r="J283" s="2">
        <v>0.59930555555555554</v>
      </c>
      <c r="K283" t="s">
        <v>26</v>
      </c>
      <c r="L283" t="s">
        <v>49</v>
      </c>
      <c r="M283" t="s">
        <v>28</v>
      </c>
      <c r="N283" t="s">
        <v>76</v>
      </c>
      <c r="O283">
        <v>2971</v>
      </c>
      <c r="P283">
        <v>923</v>
      </c>
      <c r="Q283">
        <v>1013</v>
      </c>
      <c r="R283">
        <v>3.6</v>
      </c>
      <c r="S283" t="s">
        <v>51</v>
      </c>
      <c r="T283" t="s">
        <v>63</v>
      </c>
      <c r="U283" t="s">
        <v>41</v>
      </c>
      <c r="V283" t="s">
        <v>53</v>
      </c>
      <c r="W283">
        <v>14938</v>
      </c>
      <c r="X283" s="6" t="str">
        <f t="shared" si="45"/>
        <v>LOW</v>
      </c>
      <c r="Y283" s="8" t="str">
        <f t="shared" si="46"/>
        <v>Documentary</v>
      </c>
      <c r="Z283" s="10" t="str">
        <f t="shared" si="47"/>
        <v>Comedy</v>
      </c>
      <c r="AA283" s="8" t="str">
        <f t="shared" si="48"/>
        <v>NO</v>
      </c>
      <c r="AB283" s="6" t="str">
        <f t="shared" si="49"/>
        <v>YES</v>
      </c>
    </row>
    <row r="284" spans="1:28" x14ac:dyDescent="0.3">
      <c r="A284">
        <v>284</v>
      </c>
      <c r="B284" t="s">
        <v>54</v>
      </c>
      <c r="C284" t="s">
        <v>43</v>
      </c>
      <c r="D284" s="1">
        <v>45516</v>
      </c>
      <c r="E284" s="2">
        <v>0.10902777777777778</v>
      </c>
      <c r="F284" t="s">
        <v>62</v>
      </c>
      <c r="G284">
        <v>67</v>
      </c>
      <c r="H284">
        <v>36599</v>
      </c>
      <c r="I284">
        <v>53</v>
      </c>
      <c r="J284" s="2">
        <v>0.78055555555555556</v>
      </c>
      <c r="K284" t="s">
        <v>36</v>
      </c>
      <c r="L284" t="s">
        <v>37</v>
      </c>
      <c r="M284" t="s">
        <v>38</v>
      </c>
      <c r="N284" t="s">
        <v>50</v>
      </c>
      <c r="O284">
        <v>826</v>
      </c>
      <c r="P284">
        <v>166</v>
      </c>
      <c r="Q284">
        <v>332</v>
      </c>
      <c r="R284">
        <v>1.7</v>
      </c>
      <c r="S284" t="s">
        <v>51</v>
      </c>
      <c r="T284" t="s">
        <v>45</v>
      </c>
      <c r="U284" t="s">
        <v>52</v>
      </c>
      <c r="V284" t="s">
        <v>67</v>
      </c>
      <c r="W284">
        <v>14119</v>
      </c>
      <c r="X284" s="6" t="str">
        <f t="shared" si="45"/>
        <v>LOW</v>
      </c>
      <c r="Y284" s="8" t="str">
        <f t="shared" si="46"/>
        <v>Documentary</v>
      </c>
      <c r="Z284" s="10" t="str">
        <f t="shared" si="47"/>
        <v>Sci-Fi</v>
      </c>
      <c r="AA284" s="8" t="str">
        <f t="shared" si="48"/>
        <v>NO</v>
      </c>
      <c r="AB284" s="6" t="str">
        <f t="shared" si="49"/>
        <v>NO</v>
      </c>
    </row>
    <row r="285" spans="1:28" x14ac:dyDescent="0.3">
      <c r="A285">
        <v>285</v>
      </c>
      <c r="B285" t="s">
        <v>34</v>
      </c>
      <c r="C285" t="s">
        <v>43</v>
      </c>
      <c r="D285" s="1">
        <v>45474</v>
      </c>
      <c r="E285" s="2">
        <v>0.72430555555555554</v>
      </c>
      <c r="F285" t="s">
        <v>73</v>
      </c>
      <c r="G285">
        <v>565</v>
      </c>
      <c r="H285">
        <v>67489</v>
      </c>
      <c r="I285">
        <v>133</v>
      </c>
      <c r="J285" s="2">
        <v>0.12430555555555556</v>
      </c>
      <c r="K285" t="s">
        <v>44</v>
      </c>
      <c r="L285" t="s">
        <v>27</v>
      </c>
      <c r="M285" t="s">
        <v>38</v>
      </c>
      <c r="N285" t="s">
        <v>76</v>
      </c>
      <c r="O285">
        <v>999</v>
      </c>
      <c r="P285">
        <v>179</v>
      </c>
      <c r="Q285">
        <v>1209</v>
      </c>
      <c r="R285">
        <v>1.5</v>
      </c>
      <c r="S285" t="s">
        <v>40</v>
      </c>
      <c r="T285" t="s">
        <v>45</v>
      </c>
      <c r="U285" t="s">
        <v>66</v>
      </c>
      <c r="V285" t="s">
        <v>47</v>
      </c>
      <c r="W285">
        <v>12177</v>
      </c>
      <c r="X285" s="6" t="str">
        <f t="shared" si="45"/>
        <v>LOW</v>
      </c>
      <c r="Y285" s="8" t="str">
        <f t="shared" si="46"/>
        <v>Series</v>
      </c>
      <c r="Z285" s="10" t="str">
        <f t="shared" si="47"/>
        <v>Sci-Fi</v>
      </c>
      <c r="AA285" s="8" t="str">
        <f t="shared" si="48"/>
        <v>NO</v>
      </c>
      <c r="AB285" s="6" t="str">
        <f t="shared" si="49"/>
        <v>NO</v>
      </c>
    </row>
    <row r="286" spans="1:28" x14ac:dyDescent="0.3">
      <c r="A286">
        <v>286</v>
      </c>
      <c r="B286" t="s">
        <v>23</v>
      </c>
      <c r="C286" t="s">
        <v>55</v>
      </c>
      <c r="D286" s="1">
        <v>45518</v>
      </c>
      <c r="E286" s="2">
        <v>0.14930555555555555</v>
      </c>
      <c r="F286" t="s">
        <v>26</v>
      </c>
      <c r="G286">
        <v>105</v>
      </c>
      <c r="H286">
        <v>81862</v>
      </c>
      <c r="I286">
        <v>31</v>
      </c>
      <c r="J286" s="2">
        <v>0.94027777777777777</v>
      </c>
      <c r="K286" t="s">
        <v>26</v>
      </c>
      <c r="L286" t="s">
        <v>49</v>
      </c>
      <c r="M286" t="s">
        <v>28</v>
      </c>
      <c r="N286" t="s">
        <v>76</v>
      </c>
      <c r="O286">
        <v>2694</v>
      </c>
      <c r="P286">
        <v>194</v>
      </c>
      <c r="Q286">
        <v>677</v>
      </c>
      <c r="R286">
        <v>4.0999999999999996</v>
      </c>
      <c r="S286" t="s">
        <v>60</v>
      </c>
      <c r="T286" t="s">
        <v>63</v>
      </c>
      <c r="U286" t="s">
        <v>57</v>
      </c>
      <c r="V286" t="s">
        <v>58</v>
      </c>
      <c r="W286">
        <v>13649</v>
      </c>
      <c r="X286" s="6" t="str">
        <f t="shared" si="45"/>
        <v>LOW</v>
      </c>
      <c r="Y286" s="8" t="str">
        <f t="shared" si="46"/>
        <v>Movie</v>
      </c>
      <c r="Z286" s="10" t="str">
        <f t="shared" si="47"/>
        <v>Fantasy</v>
      </c>
      <c r="AA286" s="8" t="str">
        <f t="shared" si="48"/>
        <v>NO</v>
      </c>
      <c r="AB286" s="6" t="str">
        <f t="shared" si="49"/>
        <v>YES</v>
      </c>
    </row>
    <row r="287" spans="1:28" x14ac:dyDescent="0.3">
      <c r="A287">
        <v>287</v>
      </c>
      <c r="B287" t="s">
        <v>54</v>
      </c>
      <c r="C287" t="s">
        <v>35</v>
      </c>
      <c r="D287" s="1">
        <v>45529</v>
      </c>
      <c r="E287" s="2">
        <v>0.89027777777777772</v>
      </c>
      <c r="F287" t="s">
        <v>68</v>
      </c>
      <c r="G287">
        <v>78</v>
      </c>
      <c r="H287">
        <v>56914</v>
      </c>
      <c r="I287">
        <v>43</v>
      </c>
      <c r="J287" s="2">
        <v>0.18958333333333333</v>
      </c>
      <c r="K287" t="s">
        <v>36</v>
      </c>
      <c r="L287" t="s">
        <v>56</v>
      </c>
      <c r="M287" t="s">
        <v>38</v>
      </c>
      <c r="N287" t="s">
        <v>71</v>
      </c>
      <c r="O287">
        <v>1152</v>
      </c>
      <c r="P287">
        <v>1083</v>
      </c>
      <c r="Q287">
        <v>362</v>
      </c>
      <c r="R287">
        <v>3.6</v>
      </c>
      <c r="S287" t="s">
        <v>51</v>
      </c>
      <c r="T287" t="s">
        <v>63</v>
      </c>
      <c r="U287" t="s">
        <v>41</v>
      </c>
      <c r="V287" t="s">
        <v>53</v>
      </c>
      <c r="W287">
        <v>17780</v>
      </c>
      <c r="X287" s="6" t="str">
        <f t="shared" si="45"/>
        <v>LOW</v>
      </c>
      <c r="Y287" s="8" t="str">
        <f t="shared" si="46"/>
        <v>Documentary</v>
      </c>
      <c r="Z287" s="10" t="str">
        <f t="shared" si="47"/>
        <v>Comedy</v>
      </c>
      <c r="AA287" s="8" t="str">
        <f t="shared" si="48"/>
        <v>NO</v>
      </c>
      <c r="AB287" s="6" t="str">
        <f t="shared" si="49"/>
        <v>YES</v>
      </c>
    </row>
    <row r="288" spans="1:28" x14ac:dyDescent="0.3">
      <c r="A288">
        <v>288</v>
      </c>
      <c r="B288" t="s">
        <v>23</v>
      </c>
      <c r="C288" t="s">
        <v>35</v>
      </c>
      <c r="D288" s="1">
        <v>45499</v>
      </c>
      <c r="E288" s="2">
        <v>0.2951388888888889</v>
      </c>
      <c r="F288" t="s">
        <v>25</v>
      </c>
      <c r="G288">
        <v>112</v>
      </c>
      <c r="H288">
        <v>98485</v>
      </c>
      <c r="I288">
        <v>51</v>
      </c>
      <c r="J288" s="2">
        <v>0.55347222222222225</v>
      </c>
      <c r="K288" t="s">
        <v>44</v>
      </c>
      <c r="L288" t="s">
        <v>27</v>
      </c>
      <c r="M288" t="s">
        <v>28</v>
      </c>
      <c r="N288" t="s">
        <v>29</v>
      </c>
      <c r="O288">
        <v>2087</v>
      </c>
      <c r="P288">
        <v>1853</v>
      </c>
      <c r="Q288">
        <v>438</v>
      </c>
      <c r="R288">
        <v>2.2999999999999998</v>
      </c>
      <c r="S288" t="s">
        <v>60</v>
      </c>
      <c r="T288" t="s">
        <v>45</v>
      </c>
      <c r="U288" t="s">
        <v>46</v>
      </c>
      <c r="V288" t="s">
        <v>58</v>
      </c>
      <c r="W288">
        <v>11052</v>
      </c>
      <c r="X288" s="6" t="str">
        <f t="shared" si="45"/>
        <v>LOW</v>
      </c>
      <c r="Y288" s="8" t="str">
        <f t="shared" si="46"/>
        <v>Movie</v>
      </c>
      <c r="Z288" s="10" t="str">
        <f t="shared" si="47"/>
        <v>Comedy</v>
      </c>
      <c r="AA288" s="8" t="str">
        <f t="shared" si="48"/>
        <v>NO</v>
      </c>
      <c r="AB288" s="6" t="str">
        <f t="shared" si="49"/>
        <v>NO</v>
      </c>
    </row>
    <row r="289" spans="1:28" x14ac:dyDescent="0.3">
      <c r="A289">
        <v>289</v>
      </c>
      <c r="B289" t="s">
        <v>34</v>
      </c>
      <c r="C289" t="s">
        <v>43</v>
      </c>
      <c r="D289" s="1">
        <v>45538</v>
      </c>
      <c r="E289" s="2">
        <v>0.45763888888888887</v>
      </c>
      <c r="F289" t="s">
        <v>44</v>
      </c>
      <c r="G289">
        <v>1040</v>
      </c>
      <c r="H289">
        <v>47607</v>
      </c>
      <c r="I289">
        <v>56</v>
      </c>
      <c r="J289" s="2">
        <v>0.13402777777777777</v>
      </c>
      <c r="K289" t="s">
        <v>26</v>
      </c>
      <c r="L289" t="s">
        <v>27</v>
      </c>
      <c r="M289" t="s">
        <v>38</v>
      </c>
      <c r="N289" t="s">
        <v>69</v>
      </c>
      <c r="O289">
        <v>1630</v>
      </c>
      <c r="P289">
        <v>449</v>
      </c>
      <c r="Q289">
        <v>504</v>
      </c>
      <c r="R289">
        <v>1</v>
      </c>
      <c r="S289" t="s">
        <v>60</v>
      </c>
      <c r="T289" t="s">
        <v>63</v>
      </c>
      <c r="U289" t="s">
        <v>74</v>
      </c>
      <c r="V289" t="s">
        <v>42</v>
      </c>
      <c r="W289">
        <v>14114</v>
      </c>
      <c r="X289" s="6" t="str">
        <f t="shared" si="45"/>
        <v>LOW</v>
      </c>
      <c r="Y289" s="8" t="str">
        <f t="shared" si="46"/>
        <v>Series</v>
      </c>
      <c r="Z289" s="10" t="str">
        <f t="shared" si="47"/>
        <v>Sci-Fi</v>
      </c>
      <c r="AA289" s="8" t="str">
        <f t="shared" si="48"/>
        <v>NO</v>
      </c>
      <c r="AB289" s="6" t="str">
        <f t="shared" si="49"/>
        <v>NO</v>
      </c>
    </row>
    <row r="290" spans="1:28" x14ac:dyDescent="0.3">
      <c r="A290">
        <v>290</v>
      </c>
      <c r="B290" t="s">
        <v>34</v>
      </c>
      <c r="C290" t="s">
        <v>55</v>
      </c>
      <c r="D290" s="1">
        <v>45526</v>
      </c>
      <c r="E290" s="2">
        <v>0.35972222222222222</v>
      </c>
      <c r="F290" t="s">
        <v>25</v>
      </c>
      <c r="G290">
        <v>756</v>
      </c>
      <c r="H290">
        <v>87496</v>
      </c>
      <c r="I290">
        <v>80</v>
      </c>
      <c r="J290" s="2">
        <v>0.11944444444444445</v>
      </c>
      <c r="K290" t="s">
        <v>36</v>
      </c>
      <c r="L290" t="s">
        <v>27</v>
      </c>
      <c r="M290" t="s">
        <v>38</v>
      </c>
      <c r="N290" t="s">
        <v>69</v>
      </c>
      <c r="O290">
        <v>2027</v>
      </c>
      <c r="P290">
        <v>1983</v>
      </c>
      <c r="Q290">
        <v>804</v>
      </c>
      <c r="R290">
        <v>1.3</v>
      </c>
      <c r="S290" t="s">
        <v>40</v>
      </c>
      <c r="T290" t="s">
        <v>45</v>
      </c>
      <c r="U290" t="s">
        <v>41</v>
      </c>
      <c r="V290" t="s">
        <v>33</v>
      </c>
      <c r="W290">
        <v>17651</v>
      </c>
      <c r="X290" s="6" t="str">
        <f t="shared" si="45"/>
        <v>LOW</v>
      </c>
      <c r="Y290" s="8" t="str">
        <f t="shared" si="46"/>
        <v>Series</v>
      </c>
      <c r="Z290" s="10" t="str">
        <f t="shared" si="47"/>
        <v>Fantasy</v>
      </c>
      <c r="AA290" s="8" t="str">
        <f t="shared" si="48"/>
        <v>NO</v>
      </c>
      <c r="AB290" s="6" t="str">
        <f t="shared" si="49"/>
        <v>NO</v>
      </c>
    </row>
    <row r="291" spans="1:28" x14ac:dyDescent="0.3">
      <c r="A291">
        <v>291</v>
      </c>
      <c r="B291" t="s">
        <v>34</v>
      </c>
      <c r="C291" t="s">
        <v>48</v>
      </c>
      <c r="D291" s="1">
        <v>45525</v>
      </c>
      <c r="E291" s="2">
        <v>0.1736111111111111</v>
      </c>
      <c r="F291" t="s">
        <v>36</v>
      </c>
      <c r="G291">
        <v>1183</v>
      </c>
      <c r="H291">
        <v>18401</v>
      </c>
      <c r="I291">
        <v>51</v>
      </c>
      <c r="J291" s="2">
        <v>0.48472222222222222</v>
      </c>
      <c r="K291" t="s">
        <v>36</v>
      </c>
      <c r="L291" t="s">
        <v>49</v>
      </c>
      <c r="M291" t="s">
        <v>28</v>
      </c>
      <c r="N291" t="s">
        <v>29</v>
      </c>
      <c r="O291">
        <v>930</v>
      </c>
      <c r="P291">
        <v>1075</v>
      </c>
      <c r="Q291">
        <v>1395</v>
      </c>
      <c r="R291">
        <v>2.7</v>
      </c>
      <c r="S291" t="s">
        <v>40</v>
      </c>
      <c r="T291" t="s">
        <v>31</v>
      </c>
      <c r="U291" t="s">
        <v>46</v>
      </c>
      <c r="V291" t="s">
        <v>33</v>
      </c>
      <c r="W291">
        <v>19350</v>
      </c>
      <c r="X291" s="6" t="str">
        <f t="shared" si="45"/>
        <v>LOW</v>
      </c>
      <c r="Y291" s="8" t="str">
        <f t="shared" si="46"/>
        <v>Series</v>
      </c>
      <c r="Z291" s="10" t="str">
        <f t="shared" si="47"/>
        <v>Romance</v>
      </c>
      <c r="AA291" s="8" t="str">
        <f t="shared" si="48"/>
        <v>NO</v>
      </c>
      <c r="AB291" s="6" t="str">
        <f t="shared" si="49"/>
        <v>NO</v>
      </c>
    </row>
    <row r="292" spans="1:28" x14ac:dyDescent="0.3">
      <c r="A292">
        <v>292</v>
      </c>
      <c r="B292" t="s">
        <v>54</v>
      </c>
      <c r="C292" t="s">
        <v>35</v>
      </c>
      <c r="D292" s="1">
        <v>45532</v>
      </c>
      <c r="E292" s="2">
        <v>0.6479166666666667</v>
      </c>
      <c r="F292" t="s">
        <v>44</v>
      </c>
      <c r="G292">
        <v>97</v>
      </c>
      <c r="H292">
        <v>55635</v>
      </c>
      <c r="I292">
        <v>49</v>
      </c>
      <c r="J292" s="2">
        <v>0.80486111111111114</v>
      </c>
      <c r="K292" t="s">
        <v>44</v>
      </c>
      <c r="L292" t="s">
        <v>56</v>
      </c>
      <c r="M292" t="s">
        <v>38</v>
      </c>
      <c r="N292" t="s">
        <v>69</v>
      </c>
      <c r="O292">
        <v>96</v>
      </c>
      <c r="P292">
        <v>1602</v>
      </c>
      <c r="Q292">
        <v>845</v>
      </c>
      <c r="R292">
        <v>1.4</v>
      </c>
      <c r="S292" t="s">
        <v>30</v>
      </c>
      <c r="T292" t="s">
        <v>63</v>
      </c>
      <c r="U292" t="s">
        <v>41</v>
      </c>
      <c r="V292" t="s">
        <v>67</v>
      </c>
      <c r="W292">
        <v>892</v>
      </c>
      <c r="X292" s="6" t="str">
        <f t="shared" ref="X292" si="53">IF(H292&gt;15000,"HIGH",IF(H292&gt;80000,"MEDIUM","LOW"))</f>
        <v>HIGH</v>
      </c>
      <c r="Y292" s="8" t="str">
        <f t="shared" si="46"/>
        <v>Documentary</v>
      </c>
      <c r="Z292" s="10" t="str">
        <f t="shared" si="47"/>
        <v>Comedy</v>
      </c>
      <c r="AA292" s="8" t="str">
        <f t="shared" si="48"/>
        <v>NO</v>
      </c>
      <c r="AB292" s="6" t="str">
        <f t="shared" si="49"/>
        <v>NO</v>
      </c>
    </row>
    <row r="293" spans="1:28" x14ac:dyDescent="0.3">
      <c r="A293">
        <v>293</v>
      </c>
      <c r="B293" t="s">
        <v>34</v>
      </c>
      <c r="C293" t="s">
        <v>24</v>
      </c>
      <c r="D293" s="1">
        <v>45534</v>
      </c>
      <c r="E293" s="2">
        <v>0.48958333333333331</v>
      </c>
      <c r="F293" t="s">
        <v>44</v>
      </c>
      <c r="G293">
        <v>266</v>
      </c>
      <c r="H293">
        <v>75641</v>
      </c>
      <c r="I293">
        <v>38</v>
      </c>
      <c r="J293" s="2">
        <v>0.13402777777777777</v>
      </c>
      <c r="K293" t="s">
        <v>62</v>
      </c>
      <c r="L293" t="s">
        <v>27</v>
      </c>
      <c r="M293" t="s">
        <v>38</v>
      </c>
      <c r="N293" t="s">
        <v>50</v>
      </c>
      <c r="O293">
        <v>2192</v>
      </c>
      <c r="P293">
        <v>1678</v>
      </c>
      <c r="Q293">
        <v>739</v>
      </c>
      <c r="R293">
        <v>3.4</v>
      </c>
      <c r="S293" t="s">
        <v>60</v>
      </c>
      <c r="T293" t="s">
        <v>31</v>
      </c>
      <c r="U293" t="s">
        <v>70</v>
      </c>
      <c r="V293" t="s">
        <v>53</v>
      </c>
      <c r="W293">
        <v>9629</v>
      </c>
      <c r="X293" s="6" t="str">
        <f t="shared" si="45"/>
        <v>LOW</v>
      </c>
      <c r="Y293" s="8" t="str">
        <f t="shared" si="46"/>
        <v>Series</v>
      </c>
      <c r="Z293" s="10" t="str">
        <f t="shared" si="47"/>
        <v>Thriller</v>
      </c>
      <c r="AA293" s="8" t="str">
        <f t="shared" si="48"/>
        <v>NO</v>
      </c>
      <c r="AB293" s="6" t="str">
        <f t="shared" si="49"/>
        <v>YES</v>
      </c>
    </row>
    <row r="294" spans="1:28" x14ac:dyDescent="0.3">
      <c r="A294">
        <v>294</v>
      </c>
      <c r="B294" t="s">
        <v>54</v>
      </c>
      <c r="C294" t="s">
        <v>24</v>
      </c>
      <c r="D294" s="1">
        <v>45513</v>
      </c>
      <c r="E294" s="2">
        <v>0.47013888888888888</v>
      </c>
      <c r="F294" t="s">
        <v>36</v>
      </c>
      <c r="G294">
        <v>110</v>
      </c>
      <c r="H294">
        <v>26733</v>
      </c>
      <c r="I294">
        <v>74</v>
      </c>
      <c r="J294" s="2">
        <v>0.27708333333333335</v>
      </c>
      <c r="K294" t="s">
        <v>26</v>
      </c>
      <c r="L294" t="s">
        <v>37</v>
      </c>
      <c r="M294" t="s">
        <v>28</v>
      </c>
      <c r="N294" t="s">
        <v>76</v>
      </c>
      <c r="O294">
        <v>1480</v>
      </c>
      <c r="P294">
        <v>789</v>
      </c>
      <c r="Q294">
        <v>36</v>
      </c>
      <c r="R294">
        <v>4.8</v>
      </c>
      <c r="S294" t="s">
        <v>51</v>
      </c>
      <c r="T294" t="s">
        <v>45</v>
      </c>
      <c r="U294" t="s">
        <v>46</v>
      </c>
      <c r="V294" t="s">
        <v>33</v>
      </c>
      <c r="W294">
        <v>8659</v>
      </c>
      <c r="X294" s="6" t="str">
        <f t="shared" si="45"/>
        <v>LOW</v>
      </c>
      <c r="Y294" s="8" t="str">
        <f t="shared" si="46"/>
        <v>Documentary</v>
      </c>
      <c r="Z294" s="10" t="str">
        <f t="shared" si="47"/>
        <v>Thriller</v>
      </c>
      <c r="AA294" s="8" t="str">
        <f t="shared" si="48"/>
        <v>NO</v>
      </c>
      <c r="AB294" s="6" t="str">
        <f t="shared" si="49"/>
        <v>YES</v>
      </c>
    </row>
    <row r="295" spans="1:28" x14ac:dyDescent="0.3">
      <c r="A295">
        <v>295</v>
      </c>
      <c r="B295" t="s">
        <v>34</v>
      </c>
      <c r="C295" t="s">
        <v>24</v>
      </c>
      <c r="D295" s="1">
        <v>45514</v>
      </c>
      <c r="E295" s="2">
        <v>0.91874999999999996</v>
      </c>
      <c r="F295" t="s">
        <v>44</v>
      </c>
      <c r="G295">
        <v>970</v>
      </c>
      <c r="H295">
        <v>89601</v>
      </c>
      <c r="I295">
        <v>94</v>
      </c>
      <c r="J295" s="2">
        <v>0.68958333333333333</v>
      </c>
      <c r="K295" t="s">
        <v>36</v>
      </c>
      <c r="L295" t="s">
        <v>56</v>
      </c>
      <c r="M295" t="s">
        <v>28</v>
      </c>
      <c r="N295" t="s">
        <v>39</v>
      </c>
      <c r="O295">
        <v>2790</v>
      </c>
      <c r="P295">
        <v>4</v>
      </c>
      <c r="Q295">
        <v>523</v>
      </c>
      <c r="R295">
        <v>1</v>
      </c>
      <c r="S295" t="s">
        <v>60</v>
      </c>
      <c r="T295" t="s">
        <v>63</v>
      </c>
      <c r="U295" t="s">
        <v>46</v>
      </c>
      <c r="V295" t="s">
        <v>33</v>
      </c>
      <c r="W295">
        <v>15058</v>
      </c>
      <c r="X295" s="6" t="str">
        <f t="shared" si="45"/>
        <v>LOW</v>
      </c>
      <c r="Y295" s="8" t="str">
        <f t="shared" si="46"/>
        <v>Series</v>
      </c>
      <c r="Z295" s="10" t="str">
        <f t="shared" si="47"/>
        <v>Thriller</v>
      </c>
      <c r="AA295" s="8" t="str">
        <f t="shared" si="48"/>
        <v>NO</v>
      </c>
      <c r="AB295" s="6" t="str">
        <f t="shared" si="49"/>
        <v>NO</v>
      </c>
    </row>
    <row r="296" spans="1:28" x14ac:dyDescent="0.3">
      <c r="A296">
        <v>296</v>
      </c>
      <c r="B296" t="s">
        <v>23</v>
      </c>
      <c r="C296" t="s">
        <v>72</v>
      </c>
      <c r="D296" s="1">
        <v>45534</v>
      </c>
      <c r="E296" s="2">
        <v>0.56458333333333333</v>
      </c>
      <c r="F296" t="s">
        <v>26</v>
      </c>
      <c r="G296">
        <v>119</v>
      </c>
      <c r="H296">
        <v>38373</v>
      </c>
      <c r="I296">
        <v>25</v>
      </c>
      <c r="J296" s="2">
        <v>0.91249999999999998</v>
      </c>
      <c r="K296" t="s">
        <v>44</v>
      </c>
      <c r="L296" t="s">
        <v>49</v>
      </c>
      <c r="M296" t="s">
        <v>28</v>
      </c>
      <c r="N296" t="s">
        <v>71</v>
      </c>
      <c r="O296">
        <v>2356</v>
      </c>
      <c r="P296">
        <v>175</v>
      </c>
      <c r="Q296">
        <v>968</v>
      </c>
      <c r="R296">
        <v>1.5</v>
      </c>
      <c r="S296" t="s">
        <v>40</v>
      </c>
      <c r="T296" t="s">
        <v>31</v>
      </c>
      <c r="U296" t="s">
        <v>52</v>
      </c>
      <c r="V296" t="s">
        <v>53</v>
      </c>
      <c r="W296">
        <v>3478</v>
      </c>
      <c r="X296" s="6" t="str">
        <f t="shared" si="45"/>
        <v>LOW</v>
      </c>
      <c r="Y296" s="8" t="str">
        <f t="shared" si="46"/>
        <v>Movie</v>
      </c>
      <c r="Z296" s="10" t="str">
        <f t="shared" si="47"/>
        <v>Action</v>
      </c>
      <c r="AA296" s="8" t="str">
        <f t="shared" si="48"/>
        <v>NO</v>
      </c>
      <c r="AB296" s="6" t="str">
        <f t="shared" si="49"/>
        <v>NO</v>
      </c>
    </row>
    <row r="297" spans="1:28" x14ac:dyDescent="0.3">
      <c r="A297">
        <v>297</v>
      </c>
      <c r="B297" t="s">
        <v>54</v>
      </c>
      <c r="C297" t="s">
        <v>48</v>
      </c>
      <c r="D297" s="1">
        <v>45517</v>
      </c>
      <c r="E297" s="2">
        <v>0.33055555555555555</v>
      </c>
      <c r="F297" t="s">
        <v>68</v>
      </c>
      <c r="G297">
        <v>112</v>
      </c>
      <c r="H297">
        <v>81206</v>
      </c>
      <c r="I297">
        <v>82</v>
      </c>
      <c r="J297" s="2">
        <v>0.76944444444444449</v>
      </c>
      <c r="K297" t="s">
        <v>26</v>
      </c>
      <c r="L297" t="s">
        <v>37</v>
      </c>
      <c r="M297" t="s">
        <v>38</v>
      </c>
      <c r="N297" t="s">
        <v>65</v>
      </c>
      <c r="O297">
        <v>1435</v>
      </c>
      <c r="P297">
        <v>22</v>
      </c>
      <c r="Q297">
        <v>426</v>
      </c>
      <c r="R297">
        <v>3.4</v>
      </c>
      <c r="S297" t="s">
        <v>51</v>
      </c>
      <c r="T297" t="s">
        <v>45</v>
      </c>
      <c r="U297" t="s">
        <v>74</v>
      </c>
      <c r="V297" t="s">
        <v>53</v>
      </c>
      <c r="W297">
        <v>16131</v>
      </c>
      <c r="X297" s="6" t="str">
        <f t="shared" si="45"/>
        <v>LOW</v>
      </c>
      <c r="Y297" s="8" t="str">
        <f t="shared" si="46"/>
        <v>Documentary</v>
      </c>
      <c r="Z297" s="10" t="str">
        <f t="shared" si="47"/>
        <v>Romance</v>
      </c>
      <c r="AA297" s="8" t="str">
        <f t="shared" si="48"/>
        <v>NO</v>
      </c>
      <c r="AB297" s="6" t="str">
        <f t="shared" si="49"/>
        <v>YES</v>
      </c>
    </row>
    <row r="298" spans="1:28" x14ac:dyDescent="0.3">
      <c r="A298">
        <v>298</v>
      </c>
      <c r="B298" t="s">
        <v>54</v>
      </c>
      <c r="C298" t="s">
        <v>24</v>
      </c>
      <c r="D298" s="1">
        <v>45546</v>
      </c>
      <c r="E298" s="2">
        <v>0.54861111111111116</v>
      </c>
      <c r="F298" t="s">
        <v>44</v>
      </c>
      <c r="G298">
        <v>123</v>
      </c>
      <c r="H298">
        <v>8508</v>
      </c>
      <c r="I298">
        <v>66</v>
      </c>
      <c r="J298" s="2">
        <v>0.10833333333333334</v>
      </c>
      <c r="K298" t="s">
        <v>36</v>
      </c>
      <c r="L298" t="s">
        <v>37</v>
      </c>
      <c r="M298" t="s">
        <v>38</v>
      </c>
      <c r="N298" t="s">
        <v>69</v>
      </c>
      <c r="O298">
        <v>1504</v>
      </c>
      <c r="P298">
        <v>978</v>
      </c>
      <c r="Q298">
        <v>618</v>
      </c>
      <c r="R298">
        <v>1.8</v>
      </c>
      <c r="S298" t="s">
        <v>60</v>
      </c>
      <c r="T298" t="s">
        <v>45</v>
      </c>
      <c r="U298" t="s">
        <v>74</v>
      </c>
      <c r="V298" t="s">
        <v>53</v>
      </c>
      <c r="W298">
        <v>1925</v>
      </c>
      <c r="X298" s="6" t="str">
        <f t="shared" si="45"/>
        <v>LOW</v>
      </c>
      <c r="Y298" s="8" t="str">
        <f t="shared" si="46"/>
        <v>Documentary</v>
      </c>
      <c r="Z298" s="10" t="str">
        <f t="shared" si="47"/>
        <v>Thriller</v>
      </c>
      <c r="AA298" s="8" t="str">
        <f t="shared" si="48"/>
        <v>NO</v>
      </c>
      <c r="AB298" s="6" t="str">
        <f t="shared" si="49"/>
        <v>NO</v>
      </c>
    </row>
    <row r="299" spans="1:28" x14ac:dyDescent="0.3">
      <c r="A299">
        <v>299</v>
      </c>
      <c r="B299" t="s">
        <v>34</v>
      </c>
      <c r="C299" t="s">
        <v>75</v>
      </c>
      <c r="D299" s="1">
        <v>45537</v>
      </c>
      <c r="E299" s="2">
        <v>0.14722222222222223</v>
      </c>
      <c r="F299" t="s">
        <v>68</v>
      </c>
      <c r="G299">
        <v>203</v>
      </c>
      <c r="H299">
        <v>7930</v>
      </c>
      <c r="I299">
        <v>66</v>
      </c>
      <c r="J299" s="2">
        <v>0.97291666666666665</v>
      </c>
      <c r="K299" t="s">
        <v>36</v>
      </c>
      <c r="L299" t="s">
        <v>37</v>
      </c>
      <c r="M299" t="s">
        <v>28</v>
      </c>
      <c r="N299" t="s">
        <v>59</v>
      </c>
      <c r="O299">
        <v>663</v>
      </c>
      <c r="P299">
        <v>1817</v>
      </c>
      <c r="Q299">
        <v>1045</v>
      </c>
      <c r="R299">
        <v>2.8</v>
      </c>
      <c r="S299" t="s">
        <v>30</v>
      </c>
      <c r="T299" t="s">
        <v>31</v>
      </c>
      <c r="U299" t="s">
        <v>57</v>
      </c>
      <c r="V299" t="s">
        <v>47</v>
      </c>
      <c r="W299">
        <v>15383</v>
      </c>
      <c r="X299" s="6" t="str">
        <f t="shared" si="45"/>
        <v>LOW</v>
      </c>
      <c r="Y299" s="8" t="str">
        <f t="shared" si="46"/>
        <v>Series</v>
      </c>
      <c r="Z299" s="10" t="str">
        <f t="shared" si="47"/>
        <v>Nature</v>
      </c>
      <c r="AA299" s="8" t="str">
        <f t="shared" si="48"/>
        <v>NO</v>
      </c>
      <c r="AB299" s="6" t="str">
        <f t="shared" si="49"/>
        <v>YES</v>
      </c>
    </row>
    <row r="300" spans="1:28" x14ac:dyDescent="0.3">
      <c r="A300">
        <v>300</v>
      </c>
      <c r="B300" t="s">
        <v>23</v>
      </c>
      <c r="C300" t="s">
        <v>64</v>
      </c>
      <c r="D300" s="1">
        <v>45542</v>
      </c>
      <c r="E300" s="2">
        <v>0.54652777777777772</v>
      </c>
      <c r="F300" t="s">
        <v>68</v>
      </c>
      <c r="G300">
        <v>161</v>
      </c>
      <c r="H300">
        <v>5886</v>
      </c>
      <c r="I300">
        <v>87</v>
      </c>
      <c r="J300" s="2">
        <v>0.99722222222222223</v>
      </c>
      <c r="K300" t="s">
        <v>44</v>
      </c>
      <c r="L300" t="s">
        <v>27</v>
      </c>
      <c r="M300" t="s">
        <v>38</v>
      </c>
      <c r="N300" t="s">
        <v>76</v>
      </c>
      <c r="O300">
        <v>77</v>
      </c>
      <c r="P300">
        <v>784</v>
      </c>
      <c r="Q300">
        <v>310</v>
      </c>
      <c r="R300">
        <v>5</v>
      </c>
      <c r="S300" t="s">
        <v>60</v>
      </c>
      <c r="T300" t="s">
        <v>63</v>
      </c>
      <c r="U300" t="s">
        <v>66</v>
      </c>
      <c r="V300" t="s">
        <v>42</v>
      </c>
      <c r="W300">
        <v>19151</v>
      </c>
      <c r="X300" s="6" t="str">
        <f t="shared" si="45"/>
        <v>LOW</v>
      </c>
      <c r="Y300" s="8" t="str">
        <f t="shared" si="46"/>
        <v>Movie</v>
      </c>
      <c r="Z300" s="10" t="str">
        <f t="shared" si="47"/>
        <v>Drama</v>
      </c>
      <c r="AA300" s="8" t="str">
        <f t="shared" si="48"/>
        <v>NO</v>
      </c>
      <c r="AB300" s="6" t="str">
        <f t="shared" si="49"/>
        <v>YES</v>
      </c>
    </row>
    <row r="301" spans="1:28" x14ac:dyDescent="0.3">
      <c r="A301">
        <v>301</v>
      </c>
      <c r="B301" t="s">
        <v>23</v>
      </c>
      <c r="C301" t="s">
        <v>72</v>
      </c>
      <c r="D301" s="1">
        <v>45484</v>
      </c>
      <c r="E301" s="2">
        <v>0.31527777777777777</v>
      </c>
      <c r="F301" t="s">
        <v>62</v>
      </c>
      <c r="G301">
        <v>107</v>
      </c>
      <c r="H301">
        <v>13766</v>
      </c>
      <c r="I301">
        <v>70</v>
      </c>
      <c r="J301" s="2">
        <v>0.30208333333333331</v>
      </c>
      <c r="K301" t="s">
        <v>62</v>
      </c>
      <c r="L301" t="s">
        <v>37</v>
      </c>
      <c r="M301" t="s">
        <v>38</v>
      </c>
      <c r="N301" t="s">
        <v>71</v>
      </c>
      <c r="O301">
        <v>2953</v>
      </c>
      <c r="P301">
        <v>1710</v>
      </c>
      <c r="Q301">
        <v>55</v>
      </c>
      <c r="R301">
        <v>4.7</v>
      </c>
      <c r="S301" t="s">
        <v>30</v>
      </c>
      <c r="T301" t="s">
        <v>63</v>
      </c>
      <c r="U301" t="s">
        <v>70</v>
      </c>
      <c r="V301" t="s">
        <v>47</v>
      </c>
      <c r="W301">
        <v>17776</v>
      </c>
      <c r="X301" s="6" t="str">
        <f t="shared" si="45"/>
        <v>LOW</v>
      </c>
      <c r="Y301" s="8" t="str">
        <f t="shared" si="46"/>
        <v>Movie</v>
      </c>
      <c r="Z301" s="10" t="str">
        <f t="shared" si="47"/>
        <v>Action</v>
      </c>
      <c r="AA301" s="8" t="str">
        <f t="shared" si="48"/>
        <v>NO</v>
      </c>
      <c r="AB301" s="6" t="str">
        <f t="shared" si="49"/>
        <v>YES</v>
      </c>
    </row>
    <row r="302" spans="1:28" x14ac:dyDescent="0.3">
      <c r="A302">
        <v>302</v>
      </c>
      <c r="B302" t="s">
        <v>54</v>
      </c>
      <c r="C302" t="s">
        <v>72</v>
      </c>
      <c r="D302" s="1">
        <v>45539</v>
      </c>
      <c r="E302" s="2">
        <v>0.43958333333333333</v>
      </c>
      <c r="F302" t="s">
        <v>25</v>
      </c>
      <c r="G302">
        <v>63</v>
      </c>
      <c r="H302">
        <v>60672</v>
      </c>
      <c r="I302">
        <v>52</v>
      </c>
      <c r="J302" s="2">
        <v>0.78263888888888888</v>
      </c>
      <c r="K302" t="s">
        <v>26</v>
      </c>
      <c r="L302" t="s">
        <v>37</v>
      </c>
      <c r="M302" t="s">
        <v>28</v>
      </c>
      <c r="N302" t="s">
        <v>39</v>
      </c>
      <c r="O302">
        <v>2198</v>
      </c>
      <c r="P302">
        <v>1244</v>
      </c>
      <c r="Q302">
        <v>788</v>
      </c>
      <c r="R302">
        <v>1.3</v>
      </c>
      <c r="S302" t="s">
        <v>51</v>
      </c>
      <c r="T302" t="s">
        <v>31</v>
      </c>
      <c r="U302" t="s">
        <v>57</v>
      </c>
      <c r="V302" t="s">
        <v>42</v>
      </c>
      <c r="W302">
        <v>2993</v>
      </c>
      <c r="X302" s="6" t="str">
        <f t="shared" ref="X302" si="54">IF(H302&gt;15000,"HIGH",IF(H302&gt;80000,"MEDIUM","LOW"))</f>
        <v>HIGH</v>
      </c>
      <c r="Y302" s="8" t="str">
        <f t="shared" si="46"/>
        <v>Documentary</v>
      </c>
      <c r="Z302" s="10" t="str">
        <f t="shared" si="47"/>
        <v>Action</v>
      </c>
      <c r="AA302" s="8" t="str">
        <f t="shared" si="48"/>
        <v>NO</v>
      </c>
      <c r="AB302" s="6" t="str">
        <f t="shared" si="49"/>
        <v>NO</v>
      </c>
    </row>
    <row r="303" spans="1:28" x14ac:dyDescent="0.3">
      <c r="A303">
        <v>303</v>
      </c>
      <c r="B303" t="s">
        <v>54</v>
      </c>
      <c r="C303" t="s">
        <v>24</v>
      </c>
      <c r="D303" s="1">
        <v>45510</v>
      </c>
      <c r="E303" s="2">
        <v>0.26597222222222222</v>
      </c>
      <c r="F303" t="s">
        <v>68</v>
      </c>
      <c r="G303">
        <v>69</v>
      </c>
      <c r="H303">
        <v>24736</v>
      </c>
      <c r="I303">
        <v>42</v>
      </c>
      <c r="J303" s="2">
        <v>0.14583333333333334</v>
      </c>
      <c r="K303" t="s">
        <v>36</v>
      </c>
      <c r="L303" t="s">
        <v>37</v>
      </c>
      <c r="M303" t="s">
        <v>28</v>
      </c>
      <c r="N303" t="s">
        <v>59</v>
      </c>
      <c r="O303">
        <v>1579</v>
      </c>
      <c r="P303">
        <v>49</v>
      </c>
      <c r="Q303">
        <v>942</v>
      </c>
      <c r="R303">
        <v>3.7</v>
      </c>
      <c r="S303" t="s">
        <v>40</v>
      </c>
      <c r="T303" t="s">
        <v>31</v>
      </c>
      <c r="U303" t="s">
        <v>57</v>
      </c>
      <c r="V303" t="s">
        <v>33</v>
      </c>
      <c r="W303">
        <v>12267</v>
      </c>
      <c r="X303" s="6" t="str">
        <f t="shared" si="45"/>
        <v>LOW</v>
      </c>
      <c r="Y303" s="8" t="str">
        <f t="shared" si="46"/>
        <v>Documentary</v>
      </c>
      <c r="Z303" s="10" t="str">
        <f t="shared" si="47"/>
        <v>Thriller</v>
      </c>
      <c r="AA303" s="8" t="str">
        <f t="shared" si="48"/>
        <v>NO</v>
      </c>
      <c r="AB303" s="6" t="str">
        <f t="shared" si="49"/>
        <v>YES</v>
      </c>
    </row>
    <row r="304" spans="1:28" x14ac:dyDescent="0.3">
      <c r="A304">
        <v>304</v>
      </c>
      <c r="B304" t="s">
        <v>23</v>
      </c>
      <c r="C304" t="s">
        <v>35</v>
      </c>
      <c r="D304" s="1">
        <v>45518</v>
      </c>
      <c r="E304" s="2">
        <v>2.013888888888889E-2</v>
      </c>
      <c r="F304" t="s">
        <v>44</v>
      </c>
      <c r="G304">
        <v>116</v>
      </c>
      <c r="H304">
        <v>37091</v>
      </c>
      <c r="I304">
        <v>44</v>
      </c>
      <c r="J304" s="2">
        <v>0.66666666666666663</v>
      </c>
      <c r="K304" t="s">
        <v>44</v>
      </c>
      <c r="L304" t="s">
        <v>27</v>
      </c>
      <c r="M304" t="s">
        <v>38</v>
      </c>
      <c r="N304" t="s">
        <v>65</v>
      </c>
      <c r="O304">
        <v>258</v>
      </c>
      <c r="P304">
        <v>166</v>
      </c>
      <c r="Q304">
        <v>520</v>
      </c>
      <c r="R304">
        <v>1.8</v>
      </c>
      <c r="S304" t="s">
        <v>30</v>
      </c>
      <c r="T304" t="s">
        <v>45</v>
      </c>
      <c r="U304" t="s">
        <v>70</v>
      </c>
      <c r="V304" t="s">
        <v>58</v>
      </c>
      <c r="W304">
        <v>16</v>
      </c>
      <c r="X304" s="6" t="str">
        <f t="shared" si="45"/>
        <v>LOW</v>
      </c>
      <c r="Y304" s="8" t="str">
        <f t="shared" si="46"/>
        <v>Movie</v>
      </c>
      <c r="Z304" s="10" t="str">
        <f t="shared" si="47"/>
        <v>Comedy</v>
      </c>
      <c r="AA304" s="8" t="str">
        <f t="shared" si="48"/>
        <v>NO</v>
      </c>
      <c r="AB304" s="6" t="str">
        <f t="shared" si="49"/>
        <v>NO</v>
      </c>
    </row>
    <row r="305" spans="1:28" x14ac:dyDescent="0.3">
      <c r="A305">
        <v>305</v>
      </c>
      <c r="B305" t="s">
        <v>54</v>
      </c>
      <c r="C305" t="s">
        <v>75</v>
      </c>
      <c r="D305" s="1">
        <v>45485</v>
      </c>
      <c r="E305" s="2">
        <v>0.25833333333333336</v>
      </c>
      <c r="F305" t="s">
        <v>26</v>
      </c>
      <c r="G305">
        <v>82</v>
      </c>
      <c r="H305">
        <v>691</v>
      </c>
      <c r="I305">
        <v>32</v>
      </c>
      <c r="J305" s="2">
        <v>0.7368055555555556</v>
      </c>
      <c r="K305" t="s">
        <v>26</v>
      </c>
      <c r="L305" t="s">
        <v>56</v>
      </c>
      <c r="M305" t="s">
        <v>38</v>
      </c>
      <c r="N305" t="s">
        <v>65</v>
      </c>
      <c r="O305">
        <v>1465</v>
      </c>
      <c r="P305">
        <v>1723</v>
      </c>
      <c r="Q305">
        <v>41</v>
      </c>
      <c r="R305">
        <v>4</v>
      </c>
      <c r="S305" t="s">
        <v>40</v>
      </c>
      <c r="T305" t="s">
        <v>31</v>
      </c>
      <c r="U305" t="s">
        <v>52</v>
      </c>
      <c r="V305" t="s">
        <v>42</v>
      </c>
      <c r="W305">
        <v>6805</v>
      </c>
      <c r="X305" s="6" t="str">
        <f t="shared" si="45"/>
        <v>LOW</v>
      </c>
      <c r="Y305" s="8" t="str">
        <f t="shared" si="46"/>
        <v>Documentary</v>
      </c>
      <c r="Z305" s="10" t="str">
        <f t="shared" si="47"/>
        <v>Nature</v>
      </c>
      <c r="AA305" s="8" t="str">
        <f t="shared" si="48"/>
        <v>NO</v>
      </c>
      <c r="AB305" s="6" t="str">
        <f t="shared" si="49"/>
        <v>YES</v>
      </c>
    </row>
    <row r="306" spans="1:28" x14ac:dyDescent="0.3">
      <c r="A306">
        <v>306</v>
      </c>
      <c r="B306" t="s">
        <v>54</v>
      </c>
      <c r="C306" t="s">
        <v>72</v>
      </c>
      <c r="D306" s="1">
        <v>45495</v>
      </c>
      <c r="E306" s="2">
        <v>0.35625000000000001</v>
      </c>
      <c r="F306" t="s">
        <v>25</v>
      </c>
      <c r="G306">
        <v>50</v>
      </c>
      <c r="H306">
        <v>40151</v>
      </c>
      <c r="I306">
        <v>55</v>
      </c>
      <c r="J306" s="2">
        <v>0.79861111111111116</v>
      </c>
      <c r="K306" t="s">
        <v>36</v>
      </c>
      <c r="L306" t="s">
        <v>37</v>
      </c>
      <c r="M306" t="s">
        <v>38</v>
      </c>
      <c r="N306" t="s">
        <v>71</v>
      </c>
      <c r="O306">
        <v>2252</v>
      </c>
      <c r="P306">
        <v>238</v>
      </c>
      <c r="Q306">
        <v>284</v>
      </c>
      <c r="R306">
        <v>2</v>
      </c>
      <c r="S306" t="s">
        <v>51</v>
      </c>
      <c r="T306" t="s">
        <v>31</v>
      </c>
      <c r="U306" t="s">
        <v>74</v>
      </c>
      <c r="V306" t="s">
        <v>33</v>
      </c>
      <c r="W306">
        <v>3468</v>
      </c>
      <c r="X306" s="6" t="str">
        <f t="shared" si="45"/>
        <v>LOW</v>
      </c>
      <c r="Y306" s="8" t="str">
        <f t="shared" si="46"/>
        <v>Documentary</v>
      </c>
      <c r="Z306" s="10" t="str">
        <f t="shared" si="47"/>
        <v>Action</v>
      </c>
      <c r="AA306" s="8" t="str">
        <f t="shared" si="48"/>
        <v>NO</v>
      </c>
      <c r="AB306" s="6" t="str">
        <f t="shared" si="49"/>
        <v>NO</v>
      </c>
    </row>
    <row r="307" spans="1:28" x14ac:dyDescent="0.3">
      <c r="A307">
        <v>307</v>
      </c>
      <c r="B307" t="s">
        <v>54</v>
      </c>
      <c r="C307" t="s">
        <v>72</v>
      </c>
      <c r="D307" s="1">
        <v>45501</v>
      </c>
      <c r="E307" s="2">
        <v>0.69513888888888886</v>
      </c>
      <c r="F307" t="s">
        <v>62</v>
      </c>
      <c r="G307">
        <v>73</v>
      </c>
      <c r="H307">
        <v>15323</v>
      </c>
      <c r="I307">
        <v>53</v>
      </c>
      <c r="J307" s="2">
        <v>0.57777777777777772</v>
      </c>
      <c r="K307" t="s">
        <v>44</v>
      </c>
      <c r="L307" t="s">
        <v>56</v>
      </c>
      <c r="M307" t="s">
        <v>28</v>
      </c>
      <c r="N307" t="s">
        <v>71</v>
      </c>
      <c r="O307">
        <v>1288</v>
      </c>
      <c r="P307">
        <v>1026</v>
      </c>
      <c r="Q307">
        <v>1333</v>
      </c>
      <c r="R307">
        <v>1.1000000000000001</v>
      </c>
      <c r="S307" t="s">
        <v>60</v>
      </c>
      <c r="T307" t="s">
        <v>63</v>
      </c>
      <c r="U307" t="s">
        <v>46</v>
      </c>
      <c r="V307" t="s">
        <v>53</v>
      </c>
      <c r="W307">
        <v>11860</v>
      </c>
      <c r="X307" s="6" t="str">
        <f t="shared" si="45"/>
        <v>LOW</v>
      </c>
      <c r="Y307" s="8" t="str">
        <f t="shared" si="46"/>
        <v>Documentary</v>
      </c>
      <c r="Z307" s="10" t="str">
        <f t="shared" si="47"/>
        <v>Action</v>
      </c>
      <c r="AA307" s="8" t="str">
        <f t="shared" si="48"/>
        <v>NO</v>
      </c>
      <c r="AB307" s="6" t="str">
        <f t="shared" si="49"/>
        <v>NO</v>
      </c>
    </row>
    <row r="308" spans="1:28" x14ac:dyDescent="0.3">
      <c r="A308">
        <v>308</v>
      </c>
      <c r="B308" t="s">
        <v>34</v>
      </c>
      <c r="C308" t="s">
        <v>61</v>
      </c>
      <c r="D308" s="1">
        <v>45544</v>
      </c>
      <c r="E308" s="2">
        <v>0.30277777777777776</v>
      </c>
      <c r="F308" t="s">
        <v>25</v>
      </c>
      <c r="G308">
        <v>211</v>
      </c>
      <c r="H308">
        <v>25837</v>
      </c>
      <c r="I308">
        <v>91</v>
      </c>
      <c r="J308" s="2">
        <v>5.9027777777777776E-2</v>
      </c>
      <c r="K308" t="s">
        <v>26</v>
      </c>
      <c r="L308" t="s">
        <v>37</v>
      </c>
      <c r="M308" t="s">
        <v>28</v>
      </c>
      <c r="N308" t="s">
        <v>29</v>
      </c>
      <c r="O308">
        <v>255</v>
      </c>
      <c r="P308">
        <v>1618</v>
      </c>
      <c r="Q308">
        <v>1491</v>
      </c>
      <c r="R308">
        <v>2</v>
      </c>
      <c r="S308" t="s">
        <v>60</v>
      </c>
      <c r="T308" t="s">
        <v>63</v>
      </c>
      <c r="U308" t="s">
        <v>41</v>
      </c>
      <c r="V308" t="s">
        <v>67</v>
      </c>
      <c r="W308">
        <v>1489</v>
      </c>
      <c r="X308" s="6" t="str">
        <f t="shared" si="45"/>
        <v>LOW</v>
      </c>
      <c r="Y308" s="8" t="str">
        <f t="shared" si="46"/>
        <v>Series</v>
      </c>
      <c r="Z308" s="10" t="str">
        <f t="shared" si="47"/>
        <v>History</v>
      </c>
      <c r="AA308" s="8" t="str">
        <f t="shared" si="48"/>
        <v>NO</v>
      </c>
      <c r="AB308" s="6" t="str">
        <f t="shared" si="49"/>
        <v>NO</v>
      </c>
    </row>
    <row r="309" spans="1:28" x14ac:dyDescent="0.3">
      <c r="A309">
        <v>309</v>
      </c>
      <c r="B309" t="s">
        <v>23</v>
      </c>
      <c r="C309" t="s">
        <v>24</v>
      </c>
      <c r="D309" s="1">
        <v>45525</v>
      </c>
      <c r="E309" s="2">
        <v>0.51111111111111107</v>
      </c>
      <c r="F309" t="s">
        <v>68</v>
      </c>
      <c r="G309">
        <v>133</v>
      </c>
      <c r="H309">
        <v>14591</v>
      </c>
      <c r="I309">
        <v>34</v>
      </c>
      <c r="J309" s="2">
        <v>0.53888888888888886</v>
      </c>
      <c r="K309" t="s">
        <v>36</v>
      </c>
      <c r="L309" t="s">
        <v>37</v>
      </c>
      <c r="M309" t="s">
        <v>28</v>
      </c>
      <c r="N309" t="s">
        <v>65</v>
      </c>
      <c r="O309">
        <v>803</v>
      </c>
      <c r="P309">
        <v>383</v>
      </c>
      <c r="Q309">
        <v>168</v>
      </c>
      <c r="R309">
        <v>1.9</v>
      </c>
      <c r="S309" t="s">
        <v>30</v>
      </c>
      <c r="T309" t="s">
        <v>63</v>
      </c>
      <c r="U309" t="s">
        <v>70</v>
      </c>
      <c r="V309" t="s">
        <v>47</v>
      </c>
      <c r="W309">
        <v>14523</v>
      </c>
      <c r="X309" s="6" t="str">
        <f t="shared" si="45"/>
        <v>LOW</v>
      </c>
      <c r="Y309" s="8" t="str">
        <f t="shared" si="46"/>
        <v>Movie</v>
      </c>
      <c r="Z309" s="10" t="str">
        <f t="shared" si="47"/>
        <v>Thriller</v>
      </c>
      <c r="AA309" s="8" t="str">
        <f t="shared" si="48"/>
        <v>NO</v>
      </c>
      <c r="AB309" s="6" t="str">
        <f t="shared" si="49"/>
        <v>NO</v>
      </c>
    </row>
    <row r="310" spans="1:28" x14ac:dyDescent="0.3">
      <c r="A310">
        <v>310</v>
      </c>
      <c r="B310" t="s">
        <v>23</v>
      </c>
      <c r="C310" t="s">
        <v>61</v>
      </c>
      <c r="D310" s="1">
        <v>45543</v>
      </c>
      <c r="E310" s="2">
        <v>0.37083333333333335</v>
      </c>
      <c r="F310" t="s">
        <v>36</v>
      </c>
      <c r="G310">
        <v>115</v>
      </c>
      <c r="H310">
        <v>92607</v>
      </c>
      <c r="I310">
        <v>73</v>
      </c>
      <c r="J310" s="2">
        <v>0.28958333333333336</v>
      </c>
      <c r="K310" t="s">
        <v>36</v>
      </c>
      <c r="L310" t="s">
        <v>37</v>
      </c>
      <c r="M310" t="s">
        <v>38</v>
      </c>
      <c r="N310" t="s">
        <v>29</v>
      </c>
      <c r="O310">
        <v>1853</v>
      </c>
      <c r="P310">
        <v>198</v>
      </c>
      <c r="Q310">
        <v>13</v>
      </c>
      <c r="R310">
        <v>3.4</v>
      </c>
      <c r="S310" t="s">
        <v>40</v>
      </c>
      <c r="T310" t="s">
        <v>31</v>
      </c>
      <c r="U310" t="s">
        <v>57</v>
      </c>
      <c r="V310" t="s">
        <v>47</v>
      </c>
      <c r="W310">
        <v>809</v>
      </c>
      <c r="X310" s="6" t="str">
        <f t="shared" si="45"/>
        <v>LOW</v>
      </c>
      <c r="Y310" s="8" t="str">
        <f t="shared" si="46"/>
        <v>Movie</v>
      </c>
      <c r="Z310" s="10" t="str">
        <f t="shared" si="47"/>
        <v>History</v>
      </c>
      <c r="AA310" s="8" t="str">
        <f t="shared" si="48"/>
        <v>NO</v>
      </c>
      <c r="AB310" s="6" t="str">
        <f t="shared" si="49"/>
        <v>YES</v>
      </c>
    </row>
    <row r="311" spans="1:28" x14ac:dyDescent="0.3">
      <c r="A311">
        <v>311</v>
      </c>
      <c r="B311" t="s">
        <v>34</v>
      </c>
      <c r="C311" t="s">
        <v>61</v>
      </c>
      <c r="D311" s="1">
        <v>45479</v>
      </c>
      <c r="E311" s="2">
        <v>0.52361111111111114</v>
      </c>
      <c r="F311" t="s">
        <v>26</v>
      </c>
      <c r="G311">
        <v>716</v>
      </c>
      <c r="H311">
        <v>76403</v>
      </c>
      <c r="I311">
        <v>99</v>
      </c>
      <c r="J311" s="2">
        <v>0.16597222222222222</v>
      </c>
      <c r="K311" t="s">
        <v>44</v>
      </c>
      <c r="L311" t="s">
        <v>37</v>
      </c>
      <c r="M311" t="s">
        <v>28</v>
      </c>
      <c r="N311" t="s">
        <v>71</v>
      </c>
      <c r="O311">
        <v>1695</v>
      </c>
      <c r="P311">
        <v>71</v>
      </c>
      <c r="Q311">
        <v>81</v>
      </c>
      <c r="R311">
        <v>1</v>
      </c>
      <c r="S311" t="s">
        <v>60</v>
      </c>
      <c r="T311" t="s">
        <v>31</v>
      </c>
      <c r="U311" t="s">
        <v>41</v>
      </c>
      <c r="V311" t="s">
        <v>58</v>
      </c>
      <c r="W311">
        <v>18860</v>
      </c>
      <c r="X311" s="6" t="str">
        <f t="shared" si="45"/>
        <v>LOW</v>
      </c>
      <c r="Y311" s="8" t="str">
        <f t="shared" si="46"/>
        <v>Series</v>
      </c>
      <c r="Z311" s="10" t="str">
        <f t="shared" si="47"/>
        <v>History</v>
      </c>
      <c r="AA311" s="8" t="str">
        <f t="shared" si="48"/>
        <v>NO</v>
      </c>
      <c r="AB311" s="6" t="str">
        <f t="shared" si="49"/>
        <v>NO</v>
      </c>
    </row>
    <row r="312" spans="1:28" x14ac:dyDescent="0.3">
      <c r="A312">
        <v>312</v>
      </c>
      <c r="B312" t="s">
        <v>23</v>
      </c>
      <c r="C312" t="s">
        <v>48</v>
      </c>
      <c r="D312" s="1">
        <v>45535</v>
      </c>
      <c r="E312" s="2">
        <v>0.61527777777777781</v>
      </c>
      <c r="F312" t="s">
        <v>68</v>
      </c>
      <c r="G312">
        <v>191</v>
      </c>
      <c r="H312">
        <v>7430</v>
      </c>
      <c r="I312">
        <v>86</v>
      </c>
      <c r="J312" s="2">
        <v>0.21111111111111111</v>
      </c>
      <c r="K312" t="s">
        <v>62</v>
      </c>
      <c r="L312" t="s">
        <v>27</v>
      </c>
      <c r="M312" t="s">
        <v>28</v>
      </c>
      <c r="N312" t="s">
        <v>69</v>
      </c>
      <c r="O312">
        <v>2559</v>
      </c>
      <c r="P312">
        <v>1603</v>
      </c>
      <c r="Q312">
        <v>864</v>
      </c>
      <c r="R312">
        <v>3.8</v>
      </c>
      <c r="S312" t="s">
        <v>60</v>
      </c>
      <c r="T312" t="s">
        <v>63</v>
      </c>
      <c r="U312" t="s">
        <v>66</v>
      </c>
      <c r="V312" t="s">
        <v>58</v>
      </c>
      <c r="W312">
        <v>9132</v>
      </c>
      <c r="X312" s="6" t="str">
        <f t="shared" ref="X312" si="55">IF(H312&gt;15000,"HIGH",IF(H312&gt;80000,"MEDIUM","LOW"))</f>
        <v>LOW</v>
      </c>
      <c r="Y312" s="8" t="str">
        <f t="shared" si="46"/>
        <v>Movie</v>
      </c>
      <c r="Z312" s="10" t="str">
        <f t="shared" si="47"/>
        <v>Romance</v>
      </c>
      <c r="AA312" s="8" t="str">
        <f t="shared" si="48"/>
        <v>NO</v>
      </c>
      <c r="AB312" s="6" t="str">
        <f t="shared" si="49"/>
        <v>YES</v>
      </c>
    </row>
    <row r="313" spans="1:28" x14ac:dyDescent="0.3">
      <c r="A313">
        <v>313</v>
      </c>
      <c r="B313" t="s">
        <v>34</v>
      </c>
      <c r="C313" t="s">
        <v>43</v>
      </c>
      <c r="D313" s="1">
        <v>45510</v>
      </c>
      <c r="E313" s="2">
        <v>0.2361111111111111</v>
      </c>
      <c r="F313" t="s">
        <v>62</v>
      </c>
      <c r="G313">
        <v>1181</v>
      </c>
      <c r="H313">
        <v>55225</v>
      </c>
      <c r="I313">
        <v>97</v>
      </c>
      <c r="J313" s="2">
        <v>0.62152777777777779</v>
      </c>
      <c r="K313" t="s">
        <v>26</v>
      </c>
      <c r="L313" t="s">
        <v>49</v>
      </c>
      <c r="M313" t="s">
        <v>28</v>
      </c>
      <c r="N313" t="s">
        <v>76</v>
      </c>
      <c r="O313">
        <v>1028</v>
      </c>
      <c r="P313">
        <v>772</v>
      </c>
      <c r="Q313">
        <v>838</v>
      </c>
      <c r="R313">
        <v>2</v>
      </c>
      <c r="S313" t="s">
        <v>60</v>
      </c>
      <c r="T313" t="s">
        <v>63</v>
      </c>
      <c r="U313" t="s">
        <v>41</v>
      </c>
      <c r="V313" t="s">
        <v>33</v>
      </c>
      <c r="W313">
        <v>6998</v>
      </c>
      <c r="X313" s="6" t="str">
        <f t="shared" si="45"/>
        <v>LOW</v>
      </c>
      <c r="Y313" s="8" t="str">
        <f t="shared" si="46"/>
        <v>Series</v>
      </c>
      <c r="Z313" s="10" t="str">
        <f t="shared" si="47"/>
        <v>Sci-Fi</v>
      </c>
      <c r="AA313" s="8" t="str">
        <f t="shared" si="48"/>
        <v>NO</v>
      </c>
      <c r="AB313" s="6" t="str">
        <f t="shared" si="49"/>
        <v>NO</v>
      </c>
    </row>
    <row r="314" spans="1:28" x14ac:dyDescent="0.3">
      <c r="A314">
        <v>314</v>
      </c>
      <c r="B314" t="s">
        <v>23</v>
      </c>
      <c r="C314" t="s">
        <v>48</v>
      </c>
      <c r="D314" s="1">
        <v>45488</v>
      </c>
      <c r="E314" s="2">
        <v>9.166666666666666E-2</v>
      </c>
      <c r="F314" t="s">
        <v>62</v>
      </c>
      <c r="G314">
        <v>93</v>
      </c>
      <c r="H314">
        <v>37546</v>
      </c>
      <c r="I314">
        <v>49</v>
      </c>
      <c r="J314" s="2">
        <v>0.75902777777777775</v>
      </c>
      <c r="K314" t="s">
        <v>36</v>
      </c>
      <c r="L314" t="s">
        <v>56</v>
      </c>
      <c r="M314" t="s">
        <v>28</v>
      </c>
      <c r="N314" t="s">
        <v>39</v>
      </c>
      <c r="O314">
        <v>1112</v>
      </c>
      <c r="P314">
        <v>1738</v>
      </c>
      <c r="Q314">
        <v>402</v>
      </c>
      <c r="R314">
        <v>2</v>
      </c>
      <c r="S314" t="s">
        <v>30</v>
      </c>
      <c r="T314" t="s">
        <v>45</v>
      </c>
      <c r="U314" t="s">
        <v>41</v>
      </c>
      <c r="V314" t="s">
        <v>58</v>
      </c>
      <c r="W314">
        <v>4233</v>
      </c>
      <c r="X314" s="6" t="str">
        <f t="shared" si="45"/>
        <v>LOW</v>
      </c>
      <c r="Y314" s="8" t="str">
        <f t="shared" si="46"/>
        <v>Movie</v>
      </c>
      <c r="Z314" s="10" t="str">
        <f t="shared" si="47"/>
        <v>Romance</v>
      </c>
      <c r="AA314" s="8" t="str">
        <f t="shared" si="48"/>
        <v>NO</v>
      </c>
      <c r="AB314" s="6" t="str">
        <f t="shared" si="49"/>
        <v>NO</v>
      </c>
    </row>
    <row r="315" spans="1:28" x14ac:dyDescent="0.3">
      <c r="A315">
        <v>315</v>
      </c>
      <c r="B315" t="s">
        <v>34</v>
      </c>
      <c r="C315" t="s">
        <v>43</v>
      </c>
      <c r="D315" s="1">
        <v>45505</v>
      </c>
      <c r="E315" s="2">
        <v>0.39791666666666664</v>
      </c>
      <c r="F315" t="s">
        <v>25</v>
      </c>
      <c r="G315">
        <v>567</v>
      </c>
      <c r="H315">
        <v>54517</v>
      </c>
      <c r="I315">
        <v>45</v>
      </c>
      <c r="J315" s="2">
        <v>0.87986111111111109</v>
      </c>
      <c r="K315" t="s">
        <v>44</v>
      </c>
      <c r="L315" t="s">
        <v>37</v>
      </c>
      <c r="M315" t="s">
        <v>38</v>
      </c>
      <c r="N315" t="s">
        <v>39</v>
      </c>
      <c r="O315">
        <v>1646</v>
      </c>
      <c r="P315">
        <v>662</v>
      </c>
      <c r="Q315">
        <v>726</v>
      </c>
      <c r="R315">
        <v>1.2</v>
      </c>
      <c r="S315" t="s">
        <v>30</v>
      </c>
      <c r="T315" t="s">
        <v>45</v>
      </c>
      <c r="U315" t="s">
        <v>57</v>
      </c>
      <c r="V315" t="s">
        <v>47</v>
      </c>
      <c r="W315">
        <v>19880</v>
      </c>
      <c r="X315" s="6" t="str">
        <f t="shared" si="45"/>
        <v>LOW</v>
      </c>
      <c r="Y315" s="8" t="str">
        <f t="shared" si="46"/>
        <v>Series</v>
      </c>
      <c r="Z315" s="10" t="str">
        <f t="shared" si="47"/>
        <v>Sci-Fi</v>
      </c>
      <c r="AA315" s="8" t="str">
        <f t="shared" si="48"/>
        <v>NO</v>
      </c>
      <c r="AB315" s="6" t="str">
        <f t="shared" si="49"/>
        <v>NO</v>
      </c>
    </row>
    <row r="316" spans="1:28" x14ac:dyDescent="0.3">
      <c r="A316">
        <v>316</v>
      </c>
      <c r="B316" t="s">
        <v>34</v>
      </c>
      <c r="C316" t="s">
        <v>35</v>
      </c>
      <c r="D316" s="1">
        <v>45549</v>
      </c>
      <c r="E316" s="2">
        <v>0.73888888888888893</v>
      </c>
      <c r="F316" t="s">
        <v>44</v>
      </c>
      <c r="G316">
        <v>516</v>
      </c>
      <c r="H316">
        <v>12024</v>
      </c>
      <c r="I316">
        <v>73</v>
      </c>
      <c r="J316" s="2">
        <v>6.2500000000000003E-3</v>
      </c>
      <c r="K316" t="s">
        <v>26</v>
      </c>
      <c r="L316" t="s">
        <v>49</v>
      </c>
      <c r="M316" t="s">
        <v>28</v>
      </c>
      <c r="N316" t="s">
        <v>71</v>
      </c>
      <c r="O316">
        <v>2366</v>
      </c>
      <c r="P316">
        <v>1822</v>
      </c>
      <c r="Q316">
        <v>166</v>
      </c>
      <c r="R316">
        <v>4.3</v>
      </c>
      <c r="S316" t="s">
        <v>30</v>
      </c>
      <c r="T316" t="s">
        <v>31</v>
      </c>
      <c r="U316" t="s">
        <v>52</v>
      </c>
      <c r="V316" t="s">
        <v>33</v>
      </c>
      <c r="W316">
        <v>19322</v>
      </c>
      <c r="X316" s="6" t="str">
        <f t="shared" si="45"/>
        <v>LOW</v>
      </c>
      <c r="Y316" s="8" t="str">
        <f t="shared" si="46"/>
        <v>Series</v>
      </c>
      <c r="Z316" s="10" t="str">
        <f t="shared" si="47"/>
        <v>Comedy</v>
      </c>
      <c r="AA316" s="8" t="str">
        <f t="shared" si="48"/>
        <v>NO</v>
      </c>
      <c r="AB316" s="6" t="str">
        <f t="shared" si="49"/>
        <v>YES</v>
      </c>
    </row>
    <row r="317" spans="1:28" x14ac:dyDescent="0.3">
      <c r="A317">
        <v>317</v>
      </c>
      <c r="B317" t="s">
        <v>54</v>
      </c>
      <c r="C317" t="s">
        <v>61</v>
      </c>
      <c r="D317" s="1">
        <v>45516</v>
      </c>
      <c r="E317" s="2">
        <v>0.30555555555555558</v>
      </c>
      <c r="F317" t="s">
        <v>73</v>
      </c>
      <c r="G317">
        <v>68</v>
      </c>
      <c r="H317">
        <v>27853</v>
      </c>
      <c r="I317">
        <v>43</v>
      </c>
      <c r="J317" s="2">
        <v>0.19305555555555556</v>
      </c>
      <c r="K317" t="s">
        <v>36</v>
      </c>
      <c r="L317" t="s">
        <v>49</v>
      </c>
      <c r="M317" t="s">
        <v>38</v>
      </c>
      <c r="N317" t="s">
        <v>50</v>
      </c>
      <c r="O317">
        <v>1169</v>
      </c>
      <c r="P317">
        <v>1815</v>
      </c>
      <c r="Q317">
        <v>1044</v>
      </c>
      <c r="R317">
        <v>1</v>
      </c>
      <c r="S317" t="s">
        <v>40</v>
      </c>
      <c r="T317" t="s">
        <v>45</v>
      </c>
      <c r="U317" t="s">
        <v>66</v>
      </c>
      <c r="V317" t="s">
        <v>42</v>
      </c>
      <c r="W317">
        <v>17368</v>
      </c>
      <c r="X317" s="6" t="str">
        <f t="shared" si="45"/>
        <v>LOW</v>
      </c>
      <c r="Y317" s="8" t="str">
        <f t="shared" si="46"/>
        <v>Documentary</v>
      </c>
      <c r="Z317" s="10" t="str">
        <f t="shared" si="47"/>
        <v>History</v>
      </c>
      <c r="AA317" s="8" t="str">
        <f t="shared" si="48"/>
        <v>NO</v>
      </c>
      <c r="AB317" s="6" t="str">
        <f t="shared" si="49"/>
        <v>NO</v>
      </c>
    </row>
    <row r="318" spans="1:28" x14ac:dyDescent="0.3">
      <c r="A318">
        <v>318</v>
      </c>
      <c r="B318" t="s">
        <v>34</v>
      </c>
      <c r="C318" t="s">
        <v>72</v>
      </c>
      <c r="D318" s="1">
        <v>45495</v>
      </c>
      <c r="E318" s="2">
        <v>0.45416666666666666</v>
      </c>
      <c r="F318" t="s">
        <v>26</v>
      </c>
      <c r="G318">
        <v>1007</v>
      </c>
      <c r="H318">
        <v>84802</v>
      </c>
      <c r="I318">
        <v>124</v>
      </c>
      <c r="J318" s="2">
        <v>0.77708333333333335</v>
      </c>
      <c r="K318" t="s">
        <v>36</v>
      </c>
      <c r="L318" t="s">
        <v>49</v>
      </c>
      <c r="M318" t="s">
        <v>28</v>
      </c>
      <c r="N318" t="s">
        <v>76</v>
      </c>
      <c r="O318">
        <v>1211</v>
      </c>
      <c r="P318">
        <v>119</v>
      </c>
      <c r="Q318">
        <v>114</v>
      </c>
      <c r="R318">
        <v>4.5</v>
      </c>
      <c r="S318" t="s">
        <v>40</v>
      </c>
      <c r="T318" t="s">
        <v>45</v>
      </c>
      <c r="U318" t="s">
        <v>66</v>
      </c>
      <c r="V318" t="s">
        <v>33</v>
      </c>
      <c r="W318">
        <v>7092</v>
      </c>
      <c r="X318" s="6" t="str">
        <f t="shared" si="45"/>
        <v>LOW</v>
      </c>
      <c r="Y318" s="8" t="str">
        <f t="shared" si="46"/>
        <v>Series</v>
      </c>
      <c r="Z318" s="10" t="str">
        <f t="shared" si="47"/>
        <v>Action</v>
      </c>
      <c r="AA318" s="8" t="str">
        <f t="shared" si="48"/>
        <v>NO</v>
      </c>
      <c r="AB318" s="6" t="str">
        <f t="shared" si="49"/>
        <v>YES</v>
      </c>
    </row>
    <row r="319" spans="1:28" x14ac:dyDescent="0.3">
      <c r="A319">
        <v>319</v>
      </c>
      <c r="B319" t="s">
        <v>34</v>
      </c>
      <c r="C319" t="s">
        <v>61</v>
      </c>
      <c r="D319" s="1">
        <v>45542</v>
      </c>
      <c r="E319" s="2">
        <v>0.62569444444444444</v>
      </c>
      <c r="F319" t="s">
        <v>26</v>
      </c>
      <c r="G319">
        <v>629</v>
      </c>
      <c r="H319">
        <v>96910</v>
      </c>
      <c r="I319">
        <v>44</v>
      </c>
      <c r="J319" s="2">
        <v>0.74027777777777781</v>
      </c>
      <c r="K319" t="s">
        <v>44</v>
      </c>
      <c r="L319" t="s">
        <v>56</v>
      </c>
      <c r="M319" t="s">
        <v>28</v>
      </c>
      <c r="N319" t="s">
        <v>76</v>
      </c>
      <c r="O319">
        <v>1150</v>
      </c>
      <c r="P319">
        <v>728</v>
      </c>
      <c r="Q319">
        <v>27</v>
      </c>
      <c r="R319">
        <v>3.7</v>
      </c>
      <c r="S319" t="s">
        <v>51</v>
      </c>
      <c r="T319" t="s">
        <v>45</v>
      </c>
      <c r="U319" t="s">
        <v>57</v>
      </c>
      <c r="V319" t="s">
        <v>53</v>
      </c>
      <c r="W319">
        <v>13034</v>
      </c>
      <c r="X319" s="6" t="str">
        <f t="shared" si="45"/>
        <v>LOW</v>
      </c>
      <c r="Y319" s="8" t="str">
        <f t="shared" si="46"/>
        <v>Series</v>
      </c>
      <c r="Z319" s="10" t="str">
        <f t="shared" si="47"/>
        <v>History</v>
      </c>
      <c r="AA319" s="8" t="str">
        <f t="shared" si="48"/>
        <v>NO</v>
      </c>
      <c r="AB319" s="6" t="str">
        <f t="shared" si="49"/>
        <v>YES</v>
      </c>
    </row>
    <row r="320" spans="1:28" x14ac:dyDescent="0.3">
      <c r="A320">
        <v>320</v>
      </c>
      <c r="B320" t="s">
        <v>23</v>
      </c>
      <c r="C320" t="s">
        <v>75</v>
      </c>
      <c r="D320" s="1">
        <v>45549</v>
      </c>
      <c r="E320" s="2">
        <v>0.11944444444444445</v>
      </c>
      <c r="F320" t="s">
        <v>25</v>
      </c>
      <c r="G320">
        <v>154</v>
      </c>
      <c r="H320">
        <v>74725</v>
      </c>
      <c r="I320">
        <v>133</v>
      </c>
      <c r="J320" s="2">
        <v>0.57430555555555551</v>
      </c>
      <c r="K320" t="s">
        <v>62</v>
      </c>
      <c r="L320" t="s">
        <v>27</v>
      </c>
      <c r="M320" t="s">
        <v>38</v>
      </c>
      <c r="N320" t="s">
        <v>71</v>
      </c>
      <c r="O320">
        <v>2424</v>
      </c>
      <c r="P320">
        <v>1030</v>
      </c>
      <c r="Q320">
        <v>497</v>
      </c>
      <c r="R320">
        <v>2.9</v>
      </c>
      <c r="S320" t="s">
        <v>51</v>
      </c>
      <c r="T320" t="s">
        <v>45</v>
      </c>
      <c r="U320" t="s">
        <v>70</v>
      </c>
      <c r="V320" t="s">
        <v>47</v>
      </c>
      <c r="W320">
        <v>7889</v>
      </c>
      <c r="X320" s="6" t="str">
        <f t="shared" si="45"/>
        <v>LOW</v>
      </c>
      <c r="Y320" s="8" t="str">
        <f t="shared" si="46"/>
        <v>Movie</v>
      </c>
      <c r="Z320" s="10" t="str">
        <f t="shared" si="47"/>
        <v>Nature</v>
      </c>
      <c r="AA320" s="8" t="str">
        <f t="shared" si="48"/>
        <v>NO</v>
      </c>
      <c r="AB320" s="6" t="str">
        <f t="shared" si="49"/>
        <v>YES</v>
      </c>
    </row>
    <row r="321" spans="1:28" x14ac:dyDescent="0.3">
      <c r="A321">
        <v>321</v>
      </c>
      <c r="B321" t="s">
        <v>34</v>
      </c>
      <c r="C321" t="s">
        <v>55</v>
      </c>
      <c r="D321" s="1">
        <v>45522</v>
      </c>
      <c r="E321" s="2">
        <v>0.77152777777777781</v>
      </c>
      <c r="F321" t="s">
        <v>36</v>
      </c>
      <c r="G321">
        <v>868</v>
      </c>
      <c r="H321">
        <v>38723</v>
      </c>
      <c r="I321">
        <v>64</v>
      </c>
      <c r="J321" s="2">
        <v>0.85416666666666663</v>
      </c>
      <c r="K321" t="s">
        <v>26</v>
      </c>
      <c r="L321" t="s">
        <v>37</v>
      </c>
      <c r="M321" t="s">
        <v>38</v>
      </c>
      <c r="N321" t="s">
        <v>71</v>
      </c>
      <c r="O321">
        <v>2138</v>
      </c>
      <c r="P321">
        <v>790</v>
      </c>
      <c r="Q321">
        <v>1211</v>
      </c>
      <c r="R321">
        <v>1</v>
      </c>
      <c r="S321" t="s">
        <v>40</v>
      </c>
      <c r="T321" t="s">
        <v>63</v>
      </c>
      <c r="U321" t="s">
        <v>70</v>
      </c>
      <c r="V321" t="s">
        <v>67</v>
      </c>
      <c r="W321">
        <v>4918</v>
      </c>
      <c r="X321" s="6" t="str">
        <f t="shared" si="45"/>
        <v>LOW</v>
      </c>
      <c r="Y321" s="8" t="str">
        <f t="shared" si="46"/>
        <v>Series</v>
      </c>
      <c r="Z321" s="10" t="str">
        <f t="shared" si="47"/>
        <v>Fantasy</v>
      </c>
      <c r="AA321" s="8" t="str">
        <f t="shared" si="48"/>
        <v>NO</v>
      </c>
      <c r="AB321" s="6" t="str">
        <f t="shared" si="49"/>
        <v>NO</v>
      </c>
    </row>
    <row r="322" spans="1:28" x14ac:dyDescent="0.3">
      <c r="A322">
        <v>322</v>
      </c>
      <c r="B322" t="s">
        <v>23</v>
      </c>
      <c r="C322" t="s">
        <v>55</v>
      </c>
      <c r="D322" s="1">
        <v>45516</v>
      </c>
      <c r="E322" s="2">
        <v>0.3888888888888889</v>
      </c>
      <c r="F322" t="s">
        <v>73</v>
      </c>
      <c r="G322">
        <v>115</v>
      </c>
      <c r="H322">
        <v>4536</v>
      </c>
      <c r="I322">
        <v>70</v>
      </c>
      <c r="J322" s="2">
        <v>9.4444444444444442E-2</v>
      </c>
      <c r="K322" t="s">
        <v>36</v>
      </c>
      <c r="L322" t="s">
        <v>27</v>
      </c>
      <c r="M322" t="s">
        <v>28</v>
      </c>
      <c r="N322" t="s">
        <v>69</v>
      </c>
      <c r="O322">
        <v>760</v>
      </c>
      <c r="P322">
        <v>1316</v>
      </c>
      <c r="Q322">
        <v>729</v>
      </c>
      <c r="R322">
        <v>4.7</v>
      </c>
      <c r="S322" t="s">
        <v>51</v>
      </c>
      <c r="T322" t="s">
        <v>31</v>
      </c>
      <c r="U322" t="s">
        <v>41</v>
      </c>
      <c r="V322" t="s">
        <v>33</v>
      </c>
      <c r="W322">
        <v>4256</v>
      </c>
      <c r="X322" s="6" t="str">
        <f t="shared" ref="X322" si="56">IF(H322&gt;15000,"HIGH",IF(H322&gt;80000,"MEDIUM","LOW"))</f>
        <v>LOW</v>
      </c>
      <c r="Y322" s="8" t="str">
        <f t="shared" si="46"/>
        <v>Movie</v>
      </c>
      <c r="Z322" s="10" t="str">
        <f t="shared" si="47"/>
        <v>Fantasy</v>
      </c>
      <c r="AA322" s="8" t="str">
        <f t="shared" si="48"/>
        <v>NO</v>
      </c>
      <c r="AB322" s="6" t="str">
        <f t="shared" si="49"/>
        <v>YES</v>
      </c>
    </row>
    <row r="323" spans="1:28" x14ac:dyDescent="0.3">
      <c r="A323">
        <v>323</v>
      </c>
      <c r="B323" t="s">
        <v>34</v>
      </c>
      <c r="C323" t="s">
        <v>55</v>
      </c>
      <c r="D323" s="1">
        <v>45520</v>
      </c>
      <c r="E323" s="2">
        <v>0.94930555555555551</v>
      </c>
      <c r="F323" t="s">
        <v>62</v>
      </c>
      <c r="G323">
        <v>753</v>
      </c>
      <c r="H323">
        <v>8035</v>
      </c>
      <c r="I323">
        <v>89</v>
      </c>
      <c r="J323" s="2">
        <v>0.26666666666666666</v>
      </c>
      <c r="K323" t="s">
        <v>44</v>
      </c>
      <c r="L323" t="s">
        <v>27</v>
      </c>
      <c r="M323" t="s">
        <v>38</v>
      </c>
      <c r="N323" t="s">
        <v>29</v>
      </c>
      <c r="O323">
        <v>785</v>
      </c>
      <c r="P323">
        <v>119</v>
      </c>
      <c r="Q323">
        <v>375</v>
      </c>
      <c r="R323">
        <v>2</v>
      </c>
      <c r="S323" t="s">
        <v>30</v>
      </c>
      <c r="T323" t="s">
        <v>45</v>
      </c>
      <c r="U323" t="s">
        <v>46</v>
      </c>
      <c r="V323" t="s">
        <v>33</v>
      </c>
      <c r="W323">
        <v>6255</v>
      </c>
      <c r="X323" s="6" t="str">
        <f t="shared" ref="X323:X386" si="57">IF(H323&gt;100000,"HIGH","LOW")</f>
        <v>LOW</v>
      </c>
      <c r="Y323" s="8" t="str">
        <f t="shared" ref="Y323:Y386" si="58">VLOOKUP(A323,A:B,2,FALSE)</f>
        <v>Series</v>
      </c>
      <c r="Z323" s="10" t="str">
        <f t="shared" ref="Z323:Z386" si="59">INDEX(C:C,MATCH(A323,A:A,0))</f>
        <v>Fantasy</v>
      </c>
      <c r="AA323" s="8" t="str">
        <f t="shared" ref="AA323:AA386" si="60">IF(AND(H323&gt;1000,V323="YES"),"YES","NO")</f>
        <v>NO</v>
      </c>
      <c r="AB323" s="6" t="str">
        <f t="shared" ref="AB323:AB386" si="61">IF(R323&gt;AVERAGE(R:R),"YES","NO")</f>
        <v>NO</v>
      </c>
    </row>
    <row r="324" spans="1:28" x14ac:dyDescent="0.3">
      <c r="A324">
        <v>324</v>
      </c>
      <c r="B324" t="s">
        <v>23</v>
      </c>
      <c r="C324" t="s">
        <v>64</v>
      </c>
      <c r="D324" s="1">
        <v>45511</v>
      </c>
      <c r="E324" s="2">
        <v>0.28541666666666665</v>
      </c>
      <c r="F324" t="s">
        <v>44</v>
      </c>
      <c r="G324">
        <v>96</v>
      </c>
      <c r="H324">
        <v>61417</v>
      </c>
      <c r="I324">
        <v>26</v>
      </c>
      <c r="J324" s="2">
        <v>0.31597222222222221</v>
      </c>
      <c r="K324" t="s">
        <v>26</v>
      </c>
      <c r="L324" t="s">
        <v>37</v>
      </c>
      <c r="M324" t="s">
        <v>28</v>
      </c>
      <c r="N324" t="s">
        <v>39</v>
      </c>
      <c r="O324">
        <v>2088</v>
      </c>
      <c r="P324">
        <v>1778</v>
      </c>
      <c r="Q324">
        <v>529</v>
      </c>
      <c r="R324">
        <v>5</v>
      </c>
      <c r="S324" t="s">
        <v>51</v>
      </c>
      <c r="T324" t="s">
        <v>31</v>
      </c>
      <c r="U324" t="s">
        <v>41</v>
      </c>
      <c r="V324" t="s">
        <v>33</v>
      </c>
      <c r="W324">
        <v>12562</v>
      </c>
      <c r="X324" s="6" t="str">
        <f t="shared" si="57"/>
        <v>LOW</v>
      </c>
      <c r="Y324" s="8" t="str">
        <f t="shared" si="58"/>
        <v>Movie</v>
      </c>
      <c r="Z324" s="10" t="str">
        <f t="shared" si="59"/>
        <v>Drama</v>
      </c>
      <c r="AA324" s="8" t="str">
        <f t="shared" si="60"/>
        <v>NO</v>
      </c>
      <c r="AB324" s="6" t="str">
        <f t="shared" si="61"/>
        <v>YES</v>
      </c>
    </row>
    <row r="325" spans="1:28" x14ac:dyDescent="0.3">
      <c r="A325">
        <v>325</v>
      </c>
      <c r="B325" t="s">
        <v>23</v>
      </c>
      <c r="C325" t="s">
        <v>64</v>
      </c>
      <c r="D325" s="1">
        <v>45536</v>
      </c>
      <c r="E325" s="2">
        <v>0.13194444444444445</v>
      </c>
      <c r="F325" t="s">
        <v>62</v>
      </c>
      <c r="G325">
        <v>165</v>
      </c>
      <c r="H325">
        <v>44243</v>
      </c>
      <c r="I325">
        <v>116</v>
      </c>
      <c r="J325" s="2">
        <v>0.46736111111111112</v>
      </c>
      <c r="K325" t="s">
        <v>36</v>
      </c>
      <c r="L325" t="s">
        <v>49</v>
      </c>
      <c r="M325" t="s">
        <v>38</v>
      </c>
      <c r="N325" t="s">
        <v>29</v>
      </c>
      <c r="O325">
        <v>1594</v>
      </c>
      <c r="P325">
        <v>987</v>
      </c>
      <c r="Q325">
        <v>1306</v>
      </c>
      <c r="R325">
        <v>1.1000000000000001</v>
      </c>
      <c r="S325" t="s">
        <v>30</v>
      </c>
      <c r="T325" t="s">
        <v>31</v>
      </c>
      <c r="U325" t="s">
        <v>57</v>
      </c>
      <c r="V325" t="s">
        <v>58</v>
      </c>
      <c r="W325">
        <v>6599</v>
      </c>
      <c r="X325" s="6" t="str">
        <f t="shared" si="57"/>
        <v>LOW</v>
      </c>
      <c r="Y325" s="8" t="str">
        <f t="shared" si="58"/>
        <v>Movie</v>
      </c>
      <c r="Z325" s="10" t="str">
        <f t="shared" si="59"/>
        <v>Drama</v>
      </c>
      <c r="AA325" s="8" t="str">
        <f t="shared" si="60"/>
        <v>NO</v>
      </c>
      <c r="AB325" s="6" t="str">
        <f t="shared" si="61"/>
        <v>NO</v>
      </c>
    </row>
    <row r="326" spans="1:28" x14ac:dyDescent="0.3">
      <c r="A326">
        <v>326</v>
      </c>
      <c r="B326" t="s">
        <v>54</v>
      </c>
      <c r="C326" t="s">
        <v>35</v>
      </c>
      <c r="D326" s="1">
        <v>45519</v>
      </c>
      <c r="E326" s="2">
        <v>0.61041666666666672</v>
      </c>
      <c r="F326" t="s">
        <v>73</v>
      </c>
      <c r="G326">
        <v>80</v>
      </c>
      <c r="H326">
        <v>86984</v>
      </c>
      <c r="I326">
        <v>33</v>
      </c>
      <c r="J326" s="2">
        <v>0.16527777777777777</v>
      </c>
      <c r="K326" t="s">
        <v>44</v>
      </c>
      <c r="L326" t="s">
        <v>37</v>
      </c>
      <c r="M326" t="s">
        <v>38</v>
      </c>
      <c r="N326" t="s">
        <v>69</v>
      </c>
      <c r="O326">
        <v>2669</v>
      </c>
      <c r="P326">
        <v>1520</v>
      </c>
      <c r="Q326">
        <v>1337</v>
      </c>
      <c r="R326">
        <v>3.4</v>
      </c>
      <c r="S326" t="s">
        <v>30</v>
      </c>
      <c r="T326" t="s">
        <v>31</v>
      </c>
      <c r="U326" t="s">
        <v>52</v>
      </c>
      <c r="V326" t="s">
        <v>33</v>
      </c>
      <c r="W326">
        <v>557</v>
      </c>
      <c r="X326" s="6" t="str">
        <f t="shared" si="57"/>
        <v>LOW</v>
      </c>
      <c r="Y326" s="8" t="str">
        <f t="shared" si="58"/>
        <v>Documentary</v>
      </c>
      <c r="Z326" s="10" t="str">
        <f t="shared" si="59"/>
        <v>Comedy</v>
      </c>
      <c r="AA326" s="8" t="str">
        <f t="shared" si="60"/>
        <v>NO</v>
      </c>
      <c r="AB326" s="6" t="str">
        <f t="shared" si="61"/>
        <v>YES</v>
      </c>
    </row>
    <row r="327" spans="1:28" x14ac:dyDescent="0.3">
      <c r="A327">
        <v>327</v>
      </c>
      <c r="B327" t="s">
        <v>34</v>
      </c>
      <c r="C327" t="s">
        <v>61</v>
      </c>
      <c r="D327" s="1">
        <v>45517</v>
      </c>
      <c r="E327" s="2">
        <v>0.52986111111111112</v>
      </c>
      <c r="F327" t="s">
        <v>68</v>
      </c>
      <c r="G327">
        <v>244</v>
      </c>
      <c r="H327">
        <v>26610</v>
      </c>
      <c r="I327">
        <v>75</v>
      </c>
      <c r="J327" s="2">
        <v>0.62569444444444444</v>
      </c>
      <c r="K327" t="s">
        <v>26</v>
      </c>
      <c r="L327" t="s">
        <v>49</v>
      </c>
      <c r="M327" t="s">
        <v>28</v>
      </c>
      <c r="N327" t="s">
        <v>29</v>
      </c>
      <c r="O327">
        <v>1073</v>
      </c>
      <c r="P327">
        <v>1758</v>
      </c>
      <c r="Q327">
        <v>1198</v>
      </c>
      <c r="R327">
        <v>2</v>
      </c>
      <c r="S327" t="s">
        <v>30</v>
      </c>
      <c r="T327" t="s">
        <v>31</v>
      </c>
      <c r="U327" t="s">
        <v>52</v>
      </c>
      <c r="V327" t="s">
        <v>47</v>
      </c>
      <c r="W327">
        <v>11392</v>
      </c>
      <c r="X327" s="6" t="str">
        <f t="shared" si="57"/>
        <v>LOW</v>
      </c>
      <c r="Y327" s="8" t="str">
        <f t="shared" si="58"/>
        <v>Series</v>
      </c>
      <c r="Z327" s="10" t="str">
        <f t="shared" si="59"/>
        <v>History</v>
      </c>
      <c r="AA327" s="8" t="str">
        <f t="shared" si="60"/>
        <v>NO</v>
      </c>
      <c r="AB327" s="6" t="str">
        <f t="shared" si="61"/>
        <v>NO</v>
      </c>
    </row>
    <row r="328" spans="1:28" x14ac:dyDescent="0.3">
      <c r="A328">
        <v>328</v>
      </c>
      <c r="B328" t="s">
        <v>34</v>
      </c>
      <c r="C328" t="s">
        <v>61</v>
      </c>
      <c r="D328" s="1">
        <v>45479</v>
      </c>
      <c r="E328" s="2">
        <v>0.59375</v>
      </c>
      <c r="F328" t="s">
        <v>36</v>
      </c>
      <c r="G328">
        <v>943</v>
      </c>
      <c r="H328">
        <v>62236</v>
      </c>
      <c r="I328">
        <v>85</v>
      </c>
      <c r="J328" s="2">
        <v>8.5416666666666669E-2</v>
      </c>
      <c r="K328" t="s">
        <v>36</v>
      </c>
      <c r="L328" t="s">
        <v>27</v>
      </c>
      <c r="M328" t="s">
        <v>38</v>
      </c>
      <c r="N328" t="s">
        <v>65</v>
      </c>
      <c r="O328">
        <v>1946</v>
      </c>
      <c r="P328">
        <v>1764</v>
      </c>
      <c r="Q328">
        <v>198</v>
      </c>
      <c r="R328">
        <v>3.9</v>
      </c>
      <c r="S328" t="s">
        <v>30</v>
      </c>
      <c r="T328" t="s">
        <v>31</v>
      </c>
      <c r="U328" t="s">
        <v>46</v>
      </c>
      <c r="V328" t="s">
        <v>67</v>
      </c>
      <c r="W328">
        <v>11539</v>
      </c>
      <c r="X328" s="6" t="str">
        <f t="shared" si="57"/>
        <v>LOW</v>
      </c>
      <c r="Y328" s="8" t="str">
        <f t="shared" si="58"/>
        <v>Series</v>
      </c>
      <c r="Z328" s="10" t="str">
        <f t="shared" si="59"/>
        <v>History</v>
      </c>
      <c r="AA328" s="8" t="str">
        <f t="shared" si="60"/>
        <v>NO</v>
      </c>
      <c r="AB328" s="6" t="str">
        <f t="shared" si="61"/>
        <v>YES</v>
      </c>
    </row>
    <row r="329" spans="1:28" x14ac:dyDescent="0.3">
      <c r="A329">
        <v>329</v>
      </c>
      <c r="B329" t="s">
        <v>34</v>
      </c>
      <c r="C329" t="s">
        <v>61</v>
      </c>
      <c r="D329" s="1">
        <v>45532</v>
      </c>
      <c r="E329" s="2">
        <v>0.59305555555555556</v>
      </c>
      <c r="F329" t="s">
        <v>26</v>
      </c>
      <c r="G329">
        <v>472</v>
      </c>
      <c r="H329">
        <v>12145</v>
      </c>
      <c r="I329">
        <v>57</v>
      </c>
      <c r="J329" s="2">
        <v>0.52222222222222225</v>
      </c>
      <c r="K329" t="s">
        <v>36</v>
      </c>
      <c r="L329" t="s">
        <v>56</v>
      </c>
      <c r="M329" t="s">
        <v>38</v>
      </c>
      <c r="N329" t="s">
        <v>50</v>
      </c>
      <c r="O329">
        <v>830</v>
      </c>
      <c r="P329">
        <v>182</v>
      </c>
      <c r="Q329">
        <v>1245</v>
      </c>
      <c r="R329">
        <v>1</v>
      </c>
      <c r="S329" t="s">
        <v>30</v>
      </c>
      <c r="T329" t="s">
        <v>31</v>
      </c>
      <c r="U329" t="s">
        <v>46</v>
      </c>
      <c r="V329" t="s">
        <v>67</v>
      </c>
      <c r="W329">
        <v>10363</v>
      </c>
      <c r="X329" s="6" t="str">
        <f t="shared" si="57"/>
        <v>LOW</v>
      </c>
      <c r="Y329" s="8" t="str">
        <f t="shared" si="58"/>
        <v>Series</v>
      </c>
      <c r="Z329" s="10" t="str">
        <f t="shared" si="59"/>
        <v>History</v>
      </c>
      <c r="AA329" s="8" t="str">
        <f t="shared" si="60"/>
        <v>NO</v>
      </c>
      <c r="AB329" s="6" t="str">
        <f t="shared" si="61"/>
        <v>NO</v>
      </c>
    </row>
    <row r="330" spans="1:28" x14ac:dyDescent="0.3">
      <c r="A330">
        <v>330</v>
      </c>
      <c r="B330" t="s">
        <v>23</v>
      </c>
      <c r="C330" t="s">
        <v>75</v>
      </c>
      <c r="D330" s="1">
        <v>45516</v>
      </c>
      <c r="E330" s="2">
        <v>0.51458333333333328</v>
      </c>
      <c r="F330" t="s">
        <v>26</v>
      </c>
      <c r="G330">
        <v>198</v>
      </c>
      <c r="H330">
        <v>23813</v>
      </c>
      <c r="I330">
        <v>53</v>
      </c>
      <c r="J330" s="2">
        <v>0.69652777777777775</v>
      </c>
      <c r="K330" t="s">
        <v>44</v>
      </c>
      <c r="L330" t="s">
        <v>37</v>
      </c>
      <c r="M330" t="s">
        <v>38</v>
      </c>
      <c r="N330" t="s">
        <v>39</v>
      </c>
      <c r="O330">
        <v>1390</v>
      </c>
      <c r="P330">
        <v>1363</v>
      </c>
      <c r="Q330">
        <v>948</v>
      </c>
      <c r="R330">
        <v>3.8</v>
      </c>
      <c r="S330" t="s">
        <v>40</v>
      </c>
      <c r="T330" t="s">
        <v>63</v>
      </c>
      <c r="U330" t="s">
        <v>46</v>
      </c>
      <c r="V330" t="s">
        <v>42</v>
      </c>
      <c r="W330">
        <v>7087</v>
      </c>
      <c r="X330" s="6" t="str">
        <f t="shared" si="57"/>
        <v>LOW</v>
      </c>
      <c r="Y330" s="8" t="str">
        <f t="shared" si="58"/>
        <v>Movie</v>
      </c>
      <c r="Z330" s="10" t="str">
        <f t="shared" si="59"/>
        <v>Nature</v>
      </c>
      <c r="AA330" s="8" t="str">
        <f t="shared" si="60"/>
        <v>NO</v>
      </c>
      <c r="AB330" s="6" t="str">
        <f t="shared" si="61"/>
        <v>YES</v>
      </c>
    </row>
    <row r="331" spans="1:28" x14ac:dyDescent="0.3">
      <c r="A331">
        <v>331</v>
      </c>
      <c r="B331" t="s">
        <v>23</v>
      </c>
      <c r="C331" t="s">
        <v>35</v>
      </c>
      <c r="D331" s="1">
        <v>45536</v>
      </c>
      <c r="E331" s="2">
        <v>0.18958333333333333</v>
      </c>
      <c r="F331" t="s">
        <v>36</v>
      </c>
      <c r="G331">
        <v>135</v>
      </c>
      <c r="H331">
        <v>76716</v>
      </c>
      <c r="I331">
        <v>49</v>
      </c>
      <c r="J331" s="2">
        <v>0.80763888888888891</v>
      </c>
      <c r="K331" t="s">
        <v>62</v>
      </c>
      <c r="L331" t="s">
        <v>27</v>
      </c>
      <c r="M331" t="s">
        <v>38</v>
      </c>
      <c r="N331" t="s">
        <v>39</v>
      </c>
      <c r="O331">
        <v>2636</v>
      </c>
      <c r="P331">
        <v>1744</v>
      </c>
      <c r="Q331">
        <v>954</v>
      </c>
      <c r="R331">
        <v>1</v>
      </c>
      <c r="S331" t="s">
        <v>40</v>
      </c>
      <c r="T331" t="s">
        <v>31</v>
      </c>
      <c r="U331" t="s">
        <v>46</v>
      </c>
      <c r="V331" t="s">
        <v>42</v>
      </c>
      <c r="W331">
        <v>15741</v>
      </c>
      <c r="X331" s="6" t="str">
        <f t="shared" si="57"/>
        <v>LOW</v>
      </c>
      <c r="Y331" s="8" t="str">
        <f t="shared" si="58"/>
        <v>Movie</v>
      </c>
      <c r="Z331" s="10" t="str">
        <f t="shared" si="59"/>
        <v>Comedy</v>
      </c>
      <c r="AA331" s="8" t="str">
        <f t="shared" si="60"/>
        <v>NO</v>
      </c>
      <c r="AB331" s="6" t="str">
        <f t="shared" si="61"/>
        <v>NO</v>
      </c>
    </row>
    <row r="332" spans="1:28" x14ac:dyDescent="0.3">
      <c r="A332">
        <v>332</v>
      </c>
      <c r="B332" t="s">
        <v>54</v>
      </c>
      <c r="C332" t="s">
        <v>64</v>
      </c>
      <c r="D332" s="1">
        <v>45536</v>
      </c>
      <c r="E332" s="2">
        <v>0.25624999999999998</v>
      </c>
      <c r="F332" t="s">
        <v>44</v>
      </c>
      <c r="G332">
        <v>121</v>
      </c>
      <c r="H332">
        <v>37343</v>
      </c>
      <c r="I332">
        <v>31</v>
      </c>
      <c r="J332" s="2">
        <v>0.46458333333333335</v>
      </c>
      <c r="K332" t="s">
        <v>26</v>
      </c>
      <c r="L332" t="s">
        <v>27</v>
      </c>
      <c r="M332" t="s">
        <v>38</v>
      </c>
      <c r="N332" t="s">
        <v>50</v>
      </c>
      <c r="O332">
        <v>553</v>
      </c>
      <c r="P332">
        <v>839</v>
      </c>
      <c r="Q332">
        <v>909</v>
      </c>
      <c r="R332">
        <v>3.8</v>
      </c>
      <c r="S332" t="s">
        <v>51</v>
      </c>
      <c r="T332" t="s">
        <v>31</v>
      </c>
      <c r="U332" t="s">
        <v>32</v>
      </c>
      <c r="V332" t="s">
        <v>53</v>
      </c>
      <c r="W332">
        <v>6221</v>
      </c>
      <c r="X332" s="6" t="str">
        <f t="shared" ref="X332" si="62">IF(H332&gt;15000,"HIGH",IF(H332&gt;80000,"MEDIUM","LOW"))</f>
        <v>HIGH</v>
      </c>
      <c r="Y332" s="8" t="str">
        <f t="shared" si="58"/>
        <v>Documentary</v>
      </c>
      <c r="Z332" s="10" t="str">
        <f t="shared" si="59"/>
        <v>Drama</v>
      </c>
      <c r="AA332" s="8" t="str">
        <f t="shared" si="60"/>
        <v>NO</v>
      </c>
      <c r="AB332" s="6" t="str">
        <f t="shared" si="61"/>
        <v>YES</v>
      </c>
    </row>
    <row r="333" spans="1:28" x14ac:dyDescent="0.3">
      <c r="A333">
        <v>333</v>
      </c>
      <c r="B333" t="s">
        <v>23</v>
      </c>
      <c r="C333" t="s">
        <v>75</v>
      </c>
      <c r="D333" s="1">
        <v>45483</v>
      </c>
      <c r="E333" s="2">
        <v>0.49444444444444446</v>
      </c>
      <c r="F333" t="s">
        <v>73</v>
      </c>
      <c r="G333">
        <v>91</v>
      </c>
      <c r="H333">
        <v>68655</v>
      </c>
      <c r="I333">
        <v>52</v>
      </c>
      <c r="J333" s="2">
        <v>0.17083333333333334</v>
      </c>
      <c r="K333" t="s">
        <v>36</v>
      </c>
      <c r="L333" t="s">
        <v>56</v>
      </c>
      <c r="M333" t="s">
        <v>28</v>
      </c>
      <c r="N333" t="s">
        <v>69</v>
      </c>
      <c r="O333">
        <v>1953</v>
      </c>
      <c r="P333">
        <v>615</v>
      </c>
      <c r="Q333">
        <v>844</v>
      </c>
      <c r="R333">
        <v>4.7</v>
      </c>
      <c r="S333" t="s">
        <v>51</v>
      </c>
      <c r="T333" t="s">
        <v>63</v>
      </c>
      <c r="U333" t="s">
        <v>66</v>
      </c>
      <c r="V333" t="s">
        <v>47</v>
      </c>
      <c r="W333">
        <v>13975</v>
      </c>
      <c r="X333" s="6" t="str">
        <f t="shared" si="57"/>
        <v>LOW</v>
      </c>
      <c r="Y333" s="8" t="str">
        <f t="shared" si="58"/>
        <v>Movie</v>
      </c>
      <c r="Z333" s="10" t="str">
        <f t="shared" si="59"/>
        <v>Nature</v>
      </c>
      <c r="AA333" s="8" t="str">
        <f t="shared" si="60"/>
        <v>NO</v>
      </c>
      <c r="AB333" s="6" t="str">
        <f t="shared" si="61"/>
        <v>YES</v>
      </c>
    </row>
    <row r="334" spans="1:28" x14ac:dyDescent="0.3">
      <c r="A334">
        <v>334</v>
      </c>
      <c r="B334" t="s">
        <v>54</v>
      </c>
      <c r="C334" t="s">
        <v>75</v>
      </c>
      <c r="D334" s="1">
        <v>45502</v>
      </c>
      <c r="E334" s="2">
        <v>0.53402777777777777</v>
      </c>
      <c r="F334" t="s">
        <v>68</v>
      </c>
      <c r="G334">
        <v>54</v>
      </c>
      <c r="H334">
        <v>56606</v>
      </c>
      <c r="I334">
        <v>35</v>
      </c>
      <c r="J334" s="2">
        <v>0.35972222222222222</v>
      </c>
      <c r="K334" t="s">
        <v>44</v>
      </c>
      <c r="L334" t="s">
        <v>37</v>
      </c>
      <c r="M334" t="s">
        <v>28</v>
      </c>
      <c r="N334" t="s">
        <v>39</v>
      </c>
      <c r="O334">
        <v>2972</v>
      </c>
      <c r="P334">
        <v>550</v>
      </c>
      <c r="Q334">
        <v>526</v>
      </c>
      <c r="R334">
        <v>2</v>
      </c>
      <c r="S334" t="s">
        <v>51</v>
      </c>
      <c r="T334" t="s">
        <v>45</v>
      </c>
      <c r="U334" t="s">
        <v>70</v>
      </c>
      <c r="V334" t="s">
        <v>67</v>
      </c>
      <c r="W334">
        <v>10807</v>
      </c>
      <c r="X334" s="6" t="str">
        <f t="shared" si="57"/>
        <v>LOW</v>
      </c>
      <c r="Y334" s="8" t="str">
        <f t="shared" si="58"/>
        <v>Documentary</v>
      </c>
      <c r="Z334" s="10" t="str">
        <f t="shared" si="59"/>
        <v>Nature</v>
      </c>
      <c r="AA334" s="8" t="str">
        <f t="shared" si="60"/>
        <v>NO</v>
      </c>
      <c r="AB334" s="6" t="str">
        <f t="shared" si="61"/>
        <v>NO</v>
      </c>
    </row>
    <row r="335" spans="1:28" x14ac:dyDescent="0.3">
      <c r="A335">
        <v>335</v>
      </c>
      <c r="B335" t="s">
        <v>54</v>
      </c>
      <c r="C335" t="s">
        <v>24</v>
      </c>
      <c r="D335" s="1">
        <v>45500</v>
      </c>
      <c r="E335" s="2">
        <v>0.19444444444444445</v>
      </c>
      <c r="F335" t="s">
        <v>62</v>
      </c>
      <c r="G335">
        <v>114</v>
      </c>
      <c r="H335">
        <v>44446</v>
      </c>
      <c r="I335">
        <v>50</v>
      </c>
      <c r="J335" s="2">
        <v>0.875</v>
      </c>
      <c r="K335" t="s">
        <v>26</v>
      </c>
      <c r="L335" t="s">
        <v>49</v>
      </c>
      <c r="M335" t="s">
        <v>28</v>
      </c>
      <c r="N335" t="s">
        <v>76</v>
      </c>
      <c r="O335">
        <v>1830</v>
      </c>
      <c r="P335">
        <v>1086</v>
      </c>
      <c r="Q335">
        <v>522</v>
      </c>
      <c r="R335">
        <v>3</v>
      </c>
      <c r="S335" t="s">
        <v>60</v>
      </c>
      <c r="T335" t="s">
        <v>63</v>
      </c>
      <c r="U335" t="s">
        <v>57</v>
      </c>
      <c r="V335" t="s">
        <v>42</v>
      </c>
      <c r="W335">
        <v>7942</v>
      </c>
      <c r="X335" s="6" t="str">
        <f t="shared" si="57"/>
        <v>LOW</v>
      </c>
      <c r="Y335" s="8" t="str">
        <f t="shared" si="58"/>
        <v>Documentary</v>
      </c>
      <c r="Z335" s="10" t="str">
        <f t="shared" si="59"/>
        <v>Thriller</v>
      </c>
      <c r="AA335" s="8" t="str">
        <f t="shared" si="60"/>
        <v>NO</v>
      </c>
      <c r="AB335" s="6" t="str">
        <f t="shared" si="61"/>
        <v>YES</v>
      </c>
    </row>
    <row r="336" spans="1:28" x14ac:dyDescent="0.3">
      <c r="A336">
        <v>336</v>
      </c>
      <c r="B336" t="s">
        <v>54</v>
      </c>
      <c r="C336" t="s">
        <v>75</v>
      </c>
      <c r="D336" s="1">
        <v>45533</v>
      </c>
      <c r="E336" s="2">
        <v>0.56041666666666667</v>
      </c>
      <c r="F336" t="s">
        <v>25</v>
      </c>
      <c r="G336">
        <v>72</v>
      </c>
      <c r="H336">
        <v>72326</v>
      </c>
      <c r="I336">
        <v>24</v>
      </c>
      <c r="J336" s="2">
        <v>0.45694444444444443</v>
      </c>
      <c r="K336" t="s">
        <v>36</v>
      </c>
      <c r="L336" t="s">
        <v>56</v>
      </c>
      <c r="M336" t="s">
        <v>38</v>
      </c>
      <c r="N336" t="s">
        <v>76</v>
      </c>
      <c r="O336">
        <v>612</v>
      </c>
      <c r="P336">
        <v>1612</v>
      </c>
      <c r="Q336">
        <v>156</v>
      </c>
      <c r="R336">
        <v>2.6</v>
      </c>
      <c r="S336" t="s">
        <v>30</v>
      </c>
      <c r="T336" t="s">
        <v>31</v>
      </c>
      <c r="U336" t="s">
        <v>41</v>
      </c>
      <c r="V336" t="s">
        <v>67</v>
      </c>
      <c r="W336">
        <v>8323</v>
      </c>
      <c r="X336" s="6" t="str">
        <f t="shared" si="57"/>
        <v>LOW</v>
      </c>
      <c r="Y336" s="8" t="str">
        <f t="shared" si="58"/>
        <v>Documentary</v>
      </c>
      <c r="Z336" s="10" t="str">
        <f t="shared" si="59"/>
        <v>Nature</v>
      </c>
      <c r="AA336" s="8" t="str">
        <f t="shared" si="60"/>
        <v>NO</v>
      </c>
      <c r="AB336" s="6" t="str">
        <f t="shared" si="61"/>
        <v>NO</v>
      </c>
    </row>
    <row r="337" spans="1:28" x14ac:dyDescent="0.3">
      <c r="A337">
        <v>337</v>
      </c>
      <c r="B337" t="s">
        <v>34</v>
      </c>
      <c r="C337" t="s">
        <v>43</v>
      </c>
      <c r="D337" s="1">
        <v>45515</v>
      </c>
      <c r="E337" s="2">
        <v>0.46736111111111112</v>
      </c>
      <c r="F337" t="s">
        <v>44</v>
      </c>
      <c r="G337">
        <v>1082</v>
      </c>
      <c r="H337">
        <v>65636</v>
      </c>
      <c r="I337">
        <v>64</v>
      </c>
      <c r="J337" s="2">
        <v>0.55069444444444449</v>
      </c>
      <c r="K337" t="s">
        <v>36</v>
      </c>
      <c r="L337" t="s">
        <v>37</v>
      </c>
      <c r="M337" t="s">
        <v>28</v>
      </c>
      <c r="N337" t="s">
        <v>50</v>
      </c>
      <c r="O337">
        <v>1318</v>
      </c>
      <c r="P337">
        <v>325</v>
      </c>
      <c r="Q337">
        <v>583</v>
      </c>
      <c r="R337">
        <v>1</v>
      </c>
      <c r="S337" t="s">
        <v>30</v>
      </c>
      <c r="T337" t="s">
        <v>63</v>
      </c>
      <c r="U337" t="s">
        <v>66</v>
      </c>
      <c r="V337" t="s">
        <v>58</v>
      </c>
      <c r="W337">
        <v>1576</v>
      </c>
      <c r="X337" s="6" t="str">
        <f t="shared" si="57"/>
        <v>LOW</v>
      </c>
      <c r="Y337" s="8" t="str">
        <f t="shared" si="58"/>
        <v>Series</v>
      </c>
      <c r="Z337" s="10" t="str">
        <f t="shared" si="59"/>
        <v>Sci-Fi</v>
      </c>
      <c r="AA337" s="8" t="str">
        <f t="shared" si="60"/>
        <v>NO</v>
      </c>
      <c r="AB337" s="6" t="str">
        <f t="shared" si="61"/>
        <v>NO</v>
      </c>
    </row>
    <row r="338" spans="1:28" x14ac:dyDescent="0.3">
      <c r="A338">
        <v>338</v>
      </c>
      <c r="B338" t="s">
        <v>23</v>
      </c>
      <c r="C338" t="s">
        <v>24</v>
      </c>
      <c r="D338" s="1">
        <v>45549</v>
      </c>
      <c r="E338" s="2">
        <v>0.55625000000000002</v>
      </c>
      <c r="F338" t="s">
        <v>44</v>
      </c>
      <c r="G338">
        <v>106</v>
      </c>
      <c r="H338">
        <v>42210</v>
      </c>
      <c r="I338">
        <v>55</v>
      </c>
      <c r="J338" s="2">
        <v>0.2298611111111111</v>
      </c>
      <c r="K338" t="s">
        <v>44</v>
      </c>
      <c r="L338" t="s">
        <v>49</v>
      </c>
      <c r="M338" t="s">
        <v>38</v>
      </c>
      <c r="N338" t="s">
        <v>76</v>
      </c>
      <c r="O338">
        <v>170</v>
      </c>
      <c r="P338">
        <v>1483</v>
      </c>
      <c r="Q338">
        <v>156</v>
      </c>
      <c r="R338">
        <v>3</v>
      </c>
      <c r="S338" t="s">
        <v>60</v>
      </c>
      <c r="T338" t="s">
        <v>63</v>
      </c>
      <c r="U338" t="s">
        <v>32</v>
      </c>
      <c r="V338" t="s">
        <v>58</v>
      </c>
      <c r="W338">
        <v>1639</v>
      </c>
      <c r="X338" s="6" t="str">
        <f t="shared" si="57"/>
        <v>LOW</v>
      </c>
      <c r="Y338" s="8" t="str">
        <f t="shared" si="58"/>
        <v>Movie</v>
      </c>
      <c r="Z338" s="10" t="str">
        <f t="shared" si="59"/>
        <v>Thriller</v>
      </c>
      <c r="AA338" s="8" t="str">
        <f t="shared" si="60"/>
        <v>NO</v>
      </c>
      <c r="AB338" s="6" t="str">
        <f t="shared" si="61"/>
        <v>YES</v>
      </c>
    </row>
    <row r="339" spans="1:28" x14ac:dyDescent="0.3">
      <c r="A339">
        <v>339</v>
      </c>
      <c r="B339" t="s">
        <v>54</v>
      </c>
      <c r="C339" t="s">
        <v>35</v>
      </c>
      <c r="D339" s="1">
        <v>45534</v>
      </c>
      <c r="E339" s="2">
        <v>0.62847222222222221</v>
      </c>
      <c r="F339" t="s">
        <v>73</v>
      </c>
      <c r="G339">
        <v>85</v>
      </c>
      <c r="H339">
        <v>17504</v>
      </c>
      <c r="I339">
        <v>49</v>
      </c>
      <c r="J339" s="2">
        <v>0.73472222222222228</v>
      </c>
      <c r="K339" t="s">
        <v>62</v>
      </c>
      <c r="L339" t="s">
        <v>27</v>
      </c>
      <c r="M339" t="s">
        <v>28</v>
      </c>
      <c r="N339" t="s">
        <v>59</v>
      </c>
      <c r="O339">
        <v>748</v>
      </c>
      <c r="P339">
        <v>1775</v>
      </c>
      <c r="Q339">
        <v>822</v>
      </c>
      <c r="R339">
        <v>1.5</v>
      </c>
      <c r="S339" t="s">
        <v>60</v>
      </c>
      <c r="T339" t="s">
        <v>63</v>
      </c>
      <c r="U339" t="s">
        <v>70</v>
      </c>
      <c r="V339" t="s">
        <v>67</v>
      </c>
      <c r="W339">
        <v>19816</v>
      </c>
      <c r="X339" s="6" t="str">
        <f t="shared" si="57"/>
        <v>LOW</v>
      </c>
      <c r="Y339" s="8" t="str">
        <f t="shared" si="58"/>
        <v>Documentary</v>
      </c>
      <c r="Z339" s="10" t="str">
        <f t="shared" si="59"/>
        <v>Comedy</v>
      </c>
      <c r="AA339" s="8" t="str">
        <f t="shared" si="60"/>
        <v>NO</v>
      </c>
      <c r="AB339" s="6" t="str">
        <f t="shared" si="61"/>
        <v>NO</v>
      </c>
    </row>
    <row r="340" spans="1:28" x14ac:dyDescent="0.3">
      <c r="A340">
        <v>340</v>
      </c>
      <c r="B340" t="s">
        <v>23</v>
      </c>
      <c r="C340" t="s">
        <v>24</v>
      </c>
      <c r="D340" s="1">
        <v>45529</v>
      </c>
      <c r="E340" s="2">
        <v>0.63124999999999998</v>
      </c>
      <c r="F340" t="s">
        <v>73</v>
      </c>
      <c r="G340">
        <v>162</v>
      </c>
      <c r="H340">
        <v>86748</v>
      </c>
      <c r="I340">
        <v>73</v>
      </c>
      <c r="J340" s="2">
        <v>0.62222222222222223</v>
      </c>
      <c r="K340" t="s">
        <v>26</v>
      </c>
      <c r="L340" t="s">
        <v>56</v>
      </c>
      <c r="M340" t="s">
        <v>38</v>
      </c>
      <c r="N340" t="s">
        <v>76</v>
      </c>
      <c r="O340">
        <v>447</v>
      </c>
      <c r="P340">
        <v>694</v>
      </c>
      <c r="Q340">
        <v>954</v>
      </c>
      <c r="R340">
        <v>1.9</v>
      </c>
      <c r="S340" t="s">
        <v>30</v>
      </c>
      <c r="T340" t="s">
        <v>45</v>
      </c>
      <c r="U340" t="s">
        <v>70</v>
      </c>
      <c r="V340" t="s">
        <v>47</v>
      </c>
      <c r="W340">
        <v>1557</v>
      </c>
      <c r="X340" s="6" t="str">
        <f t="shared" si="57"/>
        <v>LOW</v>
      </c>
      <c r="Y340" s="8" t="str">
        <f t="shared" si="58"/>
        <v>Movie</v>
      </c>
      <c r="Z340" s="10" t="str">
        <f t="shared" si="59"/>
        <v>Thriller</v>
      </c>
      <c r="AA340" s="8" t="str">
        <f t="shared" si="60"/>
        <v>NO</v>
      </c>
      <c r="AB340" s="6" t="str">
        <f t="shared" si="61"/>
        <v>NO</v>
      </c>
    </row>
    <row r="341" spans="1:28" x14ac:dyDescent="0.3">
      <c r="A341">
        <v>341</v>
      </c>
      <c r="B341" t="s">
        <v>54</v>
      </c>
      <c r="C341" t="s">
        <v>75</v>
      </c>
      <c r="D341" s="1">
        <v>45516</v>
      </c>
      <c r="E341" s="2">
        <v>0.49722222222222223</v>
      </c>
      <c r="F341" t="s">
        <v>73</v>
      </c>
      <c r="G341">
        <v>81</v>
      </c>
      <c r="H341">
        <v>65115</v>
      </c>
      <c r="I341">
        <v>44</v>
      </c>
      <c r="J341" s="2">
        <v>0.18055555555555555</v>
      </c>
      <c r="K341" t="s">
        <v>36</v>
      </c>
      <c r="L341" t="s">
        <v>37</v>
      </c>
      <c r="M341" t="s">
        <v>38</v>
      </c>
      <c r="N341" t="s">
        <v>71</v>
      </c>
      <c r="O341">
        <v>1653</v>
      </c>
      <c r="P341">
        <v>1039</v>
      </c>
      <c r="Q341">
        <v>320</v>
      </c>
      <c r="R341">
        <v>4</v>
      </c>
      <c r="S341" t="s">
        <v>51</v>
      </c>
      <c r="T341" t="s">
        <v>45</v>
      </c>
      <c r="U341" t="s">
        <v>52</v>
      </c>
      <c r="V341" t="s">
        <v>53</v>
      </c>
      <c r="W341">
        <v>11264</v>
      </c>
      <c r="X341" s="6" t="str">
        <f t="shared" si="57"/>
        <v>LOW</v>
      </c>
      <c r="Y341" s="8" t="str">
        <f t="shared" si="58"/>
        <v>Documentary</v>
      </c>
      <c r="Z341" s="10" t="str">
        <f t="shared" si="59"/>
        <v>Nature</v>
      </c>
      <c r="AA341" s="8" t="str">
        <f t="shared" si="60"/>
        <v>NO</v>
      </c>
      <c r="AB341" s="6" t="str">
        <f t="shared" si="61"/>
        <v>YES</v>
      </c>
    </row>
    <row r="342" spans="1:28" x14ac:dyDescent="0.3">
      <c r="A342">
        <v>342</v>
      </c>
      <c r="B342" t="s">
        <v>54</v>
      </c>
      <c r="C342" t="s">
        <v>72</v>
      </c>
      <c r="D342" s="1">
        <v>45480</v>
      </c>
      <c r="E342" s="2">
        <v>0.90555555555555556</v>
      </c>
      <c r="F342" t="s">
        <v>62</v>
      </c>
      <c r="G342">
        <v>94</v>
      </c>
      <c r="H342">
        <v>56432</v>
      </c>
      <c r="I342">
        <v>36</v>
      </c>
      <c r="J342" s="2">
        <v>0.6791666666666667</v>
      </c>
      <c r="K342" t="s">
        <v>44</v>
      </c>
      <c r="L342" t="s">
        <v>37</v>
      </c>
      <c r="M342" t="s">
        <v>28</v>
      </c>
      <c r="N342" t="s">
        <v>69</v>
      </c>
      <c r="O342">
        <v>1904</v>
      </c>
      <c r="P342">
        <v>947</v>
      </c>
      <c r="Q342">
        <v>193</v>
      </c>
      <c r="R342">
        <v>2.4</v>
      </c>
      <c r="S342" t="s">
        <v>40</v>
      </c>
      <c r="T342" t="s">
        <v>63</v>
      </c>
      <c r="U342" t="s">
        <v>32</v>
      </c>
      <c r="V342" t="s">
        <v>67</v>
      </c>
      <c r="W342">
        <v>7829</v>
      </c>
      <c r="X342" s="6" t="str">
        <f t="shared" ref="X342" si="63">IF(H342&gt;15000,"HIGH",IF(H342&gt;80000,"MEDIUM","LOW"))</f>
        <v>HIGH</v>
      </c>
      <c r="Y342" s="8" t="str">
        <f t="shared" si="58"/>
        <v>Documentary</v>
      </c>
      <c r="Z342" s="10" t="str">
        <f t="shared" si="59"/>
        <v>Action</v>
      </c>
      <c r="AA342" s="8" t="str">
        <f t="shared" si="60"/>
        <v>NO</v>
      </c>
      <c r="AB342" s="6" t="str">
        <f t="shared" si="61"/>
        <v>NO</v>
      </c>
    </row>
    <row r="343" spans="1:28" x14ac:dyDescent="0.3">
      <c r="A343">
        <v>343</v>
      </c>
      <c r="B343" t="s">
        <v>23</v>
      </c>
      <c r="C343" t="s">
        <v>61</v>
      </c>
      <c r="D343" s="1">
        <v>45489</v>
      </c>
      <c r="E343" s="2">
        <v>0.43472222222222223</v>
      </c>
      <c r="F343" t="s">
        <v>36</v>
      </c>
      <c r="G343">
        <v>160</v>
      </c>
      <c r="H343">
        <v>95281</v>
      </c>
      <c r="I343">
        <v>125</v>
      </c>
      <c r="J343" s="2">
        <v>8.1944444444444445E-2</v>
      </c>
      <c r="K343" t="s">
        <v>26</v>
      </c>
      <c r="L343" t="s">
        <v>56</v>
      </c>
      <c r="M343" t="s">
        <v>38</v>
      </c>
      <c r="N343" t="s">
        <v>39</v>
      </c>
      <c r="O343">
        <v>725</v>
      </c>
      <c r="P343">
        <v>1273</v>
      </c>
      <c r="Q343">
        <v>1115</v>
      </c>
      <c r="R343">
        <v>3.1</v>
      </c>
      <c r="S343" t="s">
        <v>60</v>
      </c>
      <c r="T343" t="s">
        <v>45</v>
      </c>
      <c r="U343" t="s">
        <v>32</v>
      </c>
      <c r="V343" t="s">
        <v>42</v>
      </c>
      <c r="W343">
        <v>11935</v>
      </c>
      <c r="X343" s="6" t="str">
        <f t="shared" si="57"/>
        <v>LOW</v>
      </c>
      <c r="Y343" s="8" t="str">
        <f t="shared" si="58"/>
        <v>Movie</v>
      </c>
      <c r="Z343" s="10" t="str">
        <f t="shared" si="59"/>
        <v>History</v>
      </c>
      <c r="AA343" s="8" t="str">
        <f t="shared" si="60"/>
        <v>NO</v>
      </c>
      <c r="AB343" s="6" t="str">
        <f t="shared" si="61"/>
        <v>YES</v>
      </c>
    </row>
    <row r="344" spans="1:28" x14ac:dyDescent="0.3">
      <c r="A344">
        <v>344</v>
      </c>
      <c r="B344" t="s">
        <v>54</v>
      </c>
      <c r="C344" t="s">
        <v>75</v>
      </c>
      <c r="D344" s="1">
        <v>45538</v>
      </c>
      <c r="E344" s="2">
        <v>0.25069444444444444</v>
      </c>
      <c r="F344" t="s">
        <v>62</v>
      </c>
      <c r="G344">
        <v>102</v>
      </c>
      <c r="H344">
        <v>40998</v>
      </c>
      <c r="I344">
        <v>50</v>
      </c>
      <c r="J344" s="2">
        <v>2.9166666666666667E-2</v>
      </c>
      <c r="K344" t="s">
        <v>36</v>
      </c>
      <c r="L344" t="s">
        <v>27</v>
      </c>
      <c r="M344" t="s">
        <v>38</v>
      </c>
      <c r="N344" t="s">
        <v>76</v>
      </c>
      <c r="O344">
        <v>673</v>
      </c>
      <c r="P344">
        <v>1437</v>
      </c>
      <c r="Q344">
        <v>1247</v>
      </c>
      <c r="R344">
        <v>3</v>
      </c>
      <c r="S344" t="s">
        <v>40</v>
      </c>
      <c r="T344" t="s">
        <v>63</v>
      </c>
      <c r="U344" t="s">
        <v>66</v>
      </c>
      <c r="V344" t="s">
        <v>47</v>
      </c>
      <c r="W344">
        <v>11305</v>
      </c>
      <c r="X344" s="6" t="str">
        <f t="shared" si="57"/>
        <v>LOW</v>
      </c>
      <c r="Y344" s="8" t="str">
        <f t="shared" si="58"/>
        <v>Documentary</v>
      </c>
      <c r="Z344" s="10" t="str">
        <f t="shared" si="59"/>
        <v>Nature</v>
      </c>
      <c r="AA344" s="8" t="str">
        <f t="shared" si="60"/>
        <v>NO</v>
      </c>
      <c r="AB344" s="6" t="str">
        <f t="shared" si="61"/>
        <v>YES</v>
      </c>
    </row>
    <row r="345" spans="1:28" x14ac:dyDescent="0.3">
      <c r="A345">
        <v>345</v>
      </c>
      <c r="B345" t="s">
        <v>34</v>
      </c>
      <c r="C345" t="s">
        <v>35</v>
      </c>
      <c r="D345" s="1">
        <v>45548</v>
      </c>
      <c r="E345" s="2">
        <v>0.76875000000000004</v>
      </c>
      <c r="F345" t="s">
        <v>25</v>
      </c>
      <c r="G345">
        <v>334</v>
      </c>
      <c r="H345">
        <v>86906</v>
      </c>
      <c r="I345">
        <v>82</v>
      </c>
      <c r="J345" s="2">
        <v>0.13263888888888889</v>
      </c>
      <c r="K345" t="s">
        <v>44</v>
      </c>
      <c r="L345" t="s">
        <v>56</v>
      </c>
      <c r="M345" t="s">
        <v>28</v>
      </c>
      <c r="N345" t="s">
        <v>50</v>
      </c>
      <c r="O345">
        <v>2244</v>
      </c>
      <c r="P345">
        <v>252</v>
      </c>
      <c r="Q345">
        <v>305</v>
      </c>
      <c r="R345">
        <v>3.6</v>
      </c>
      <c r="S345" t="s">
        <v>60</v>
      </c>
      <c r="T345" t="s">
        <v>45</v>
      </c>
      <c r="U345" t="s">
        <v>46</v>
      </c>
      <c r="V345" t="s">
        <v>53</v>
      </c>
      <c r="W345">
        <v>5782</v>
      </c>
      <c r="X345" s="6" t="str">
        <f t="shared" si="57"/>
        <v>LOW</v>
      </c>
      <c r="Y345" s="8" t="str">
        <f t="shared" si="58"/>
        <v>Series</v>
      </c>
      <c r="Z345" s="10" t="str">
        <f t="shared" si="59"/>
        <v>Comedy</v>
      </c>
      <c r="AA345" s="8" t="str">
        <f t="shared" si="60"/>
        <v>NO</v>
      </c>
      <c r="AB345" s="6" t="str">
        <f t="shared" si="61"/>
        <v>YES</v>
      </c>
    </row>
    <row r="346" spans="1:28" x14ac:dyDescent="0.3">
      <c r="A346">
        <v>346</v>
      </c>
      <c r="B346" t="s">
        <v>34</v>
      </c>
      <c r="C346" t="s">
        <v>43</v>
      </c>
      <c r="D346" s="1">
        <v>45510</v>
      </c>
      <c r="E346" s="2">
        <v>0.11041666666666666</v>
      </c>
      <c r="F346" t="s">
        <v>25</v>
      </c>
      <c r="G346">
        <v>672</v>
      </c>
      <c r="H346">
        <v>94042</v>
      </c>
      <c r="I346">
        <v>45</v>
      </c>
      <c r="J346" s="2">
        <v>0.98472222222222228</v>
      </c>
      <c r="K346" t="s">
        <v>26</v>
      </c>
      <c r="L346" t="s">
        <v>49</v>
      </c>
      <c r="M346" t="s">
        <v>28</v>
      </c>
      <c r="N346" t="s">
        <v>65</v>
      </c>
      <c r="O346">
        <v>1457</v>
      </c>
      <c r="P346">
        <v>1209</v>
      </c>
      <c r="Q346">
        <v>926</v>
      </c>
      <c r="R346">
        <v>4.0999999999999996</v>
      </c>
      <c r="S346" t="s">
        <v>51</v>
      </c>
      <c r="T346" t="s">
        <v>63</v>
      </c>
      <c r="U346" t="s">
        <v>70</v>
      </c>
      <c r="V346" t="s">
        <v>33</v>
      </c>
      <c r="W346">
        <v>139</v>
      </c>
      <c r="X346" s="6" t="str">
        <f t="shared" si="57"/>
        <v>LOW</v>
      </c>
      <c r="Y346" s="8" t="str">
        <f t="shared" si="58"/>
        <v>Series</v>
      </c>
      <c r="Z346" s="10" t="str">
        <f t="shared" si="59"/>
        <v>Sci-Fi</v>
      </c>
      <c r="AA346" s="8" t="str">
        <f t="shared" si="60"/>
        <v>NO</v>
      </c>
      <c r="AB346" s="6" t="str">
        <f t="shared" si="61"/>
        <v>YES</v>
      </c>
    </row>
    <row r="347" spans="1:28" x14ac:dyDescent="0.3">
      <c r="A347">
        <v>347</v>
      </c>
      <c r="B347" t="s">
        <v>54</v>
      </c>
      <c r="C347" t="s">
        <v>64</v>
      </c>
      <c r="D347" s="1">
        <v>45500</v>
      </c>
      <c r="E347" s="2">
        <v>0.52847222222222223</v>
      </c>
      <c r="F347" t="s">
        <v>68</v>
      </c>
      <c r="G347">
        <v>79</v>
      </c>
      <c r="H347">
        <v>22638</v>
      </c>
      <c r="I347">
        <v>32</v>
      </c>
      <c r="J347" s="2">
        <v>8.2638888888888887E-2</v>
      </c>
      <c r="K347" t="s">
        <v>36</v>
      </c>
      <c r="L347" t="s">
        <v>56</v>
      </c>
      <c r="M347" t="s">
        <v>28</v>
      </c>
      <c r="N347" t="s">
        <v>69</v>
      </c>
      <c r="O347">
        <v>1329</v>
      </c>
      <c r="P347">
        <v>1092</v>
      </c>
      <c r="Q347">
        <v>749</v>
      </c>
      <c r="R347">
        <v>2.2000000000000002</v>
      </c>
      <c r="S347" t="s">
        <v>51</v>
      </c>
      <c r="T347" t="s">
        <v>31</v>
      </c>
      <c r="U347" t="s">
        <v>57</v>
      </c>
      <c r="V347" t="s">
        <v>47</v>
      </c>
      <c r="W347">
        <v>895</v>
      </c>
      <c r="X347" s="6" t="str">
        <f t="shared" si="57"/>
        <v>LOW</v>
      </c>
      <c r="Y347" s="8" t="str">
        <f t="shared" si="58"/>
        <v>Documentary</v>
      </c>
      <c r="Z347" s="10" t="str">
        <f t="shared" si="59"/>
        <v>Drama</v>
      </c>
      <c r="AA347" s="8" t="str">
        <f t="shared" si="60"/>
        <v>NO</v>
      </c>
      <c r="AB347" s="6" t="str">
        <f t="shared" si="61"/>
        <v>NO</v>
      </c>
    </row>
    <row r="348" spans="1:28" x14ac:dyDescent="0.3">
      <c r="A348">
        <v>348</v>
      </c>
      <c r="B348" t="s">
        <v>23</v>
      </c>
      <c r="C348" t="s">
        <v>35</v>
      </c>
      <c r="D348" s="1">
        <v>45548</v>
      </c>
      <c r="E348" s="2">
        <v>5.8333333333333334E-2</v>
      </c>
      <c r="F348" t="s">
        <v>36</v>
      </c>
      <c r="G348">
        <v>161</v>
      </c>
      <c r="H348">
        <v>3786</v>
      </c>
      <c r="I348">
        <v>68</v>
      </c>
      <c r="J348" s="2">
        <v>0.52083333333333337</v>
      </c>
      <c r="K348" t="s">
        <v>36</v>
      </c>
      <c r="L348" t="s">
        <v>49</v>
      </c>
      <c r="M348" t="s">
        <v>28</v>
      </c>
      <c r="N348" t="s">
        <v>69</v>
      </c>
      <c r="O348">
        <v>419</v>
      </c>
      <c r="P348">
        <v>350</v>
      </c>
      <c r="Q348">
        <v>1286</v>
      </c>
      <c r="R348">
        <v>3.6</v>
      </c>
      <c r="S348" t="s">
        <v>60</v>
      </c>
      <c r="T348" t="s">
        <v>45</v>
      </c>
      <c r="U348" t="s">
        <v>32</v>
      </c>
      <c r="V348" t="s">
        <v>42</v>
      </c>
      <c r="W348">
        <v>11649</v>
      </c>
      <c r="X348" s="6" t="str">
        <f t="shared" si="57"/>
        <v>LOW</v>
      </c>
      <c r="Y348" s="8" t="str">
        <f t="shared" si="58"/>
        <v>Movie</v>
      </c>
      <c r="Z348" s="10" t="str">
        <f t="shared" si="59"/>
        <v>Comedy</v>
      </c>
      <c r="AA348" s="8" t="str">
        <f t="shared" si="60"/>
        <v>NO</v>
      </c>
      <c r="AB348" s="6" t="str">
        <f t="shared" si="61"/>
        <v>YES</v>
      </c>
    </row>
    <row r="349" spans="1:28" x14ac:dyDescent="0.3">
      <c r="A349">
        <v>349</v>
      </c>
      <c r="B349" t="s">
        <v>54</v>
      </c>
      <c r="C349" t="s">
        <v>24</v>
      </c>
      <c r="D349" s="1">
        <v>45493</v>
      </c>
      <c r="E349" s="2">
        <v>0.98819444444444449</v>
      </c>
      <c r="F349" t="s">
        <v>44</v>
      </c>
      <c r="G349">
        <v>99</v>
      </c>
      <c r="H349">
        <v>48695</v>
      </c>
      <c r="I349">
        <v>27</v>
      </c>
      <c r="J349" s="2">
        <v>0.29305555555555557</v>
      </c>
      <c r="K349" t="s">
        <v>44</v>
      </c>
      <c r="L349" t="s">
        <v>49</v>
      </c>
      <c r="M349" t="s">
        <v>28</v>
      </c>
      <c r="N349" t="s">
        <v>76</v>
      </c>
      <c r="O349">
        <v>2287</v>
      </c>
      <c r="P349">
        <v>1664</v>
      </c>
      <c r="Q349">
        <v>756</v>
      </c>
      <c r="R349">
        <v>4.5</v>
      </c>
      <c r="S349" t="s">
        <v>30</v>
      </c>
      <c r="T349" t="s">
        <v>45</v>
      </c>
      <c r="U349" t="s">
        <v>52</v>
      </c>
      <c r="V349" t="s">
        <v>47</v>
      </c>
      <c r="W349">
        <v>12947</v>
      </c>
      <c r="X349" s="6" t="str">
        <f t="shared" si="57"/>
        <v>LOW</v>
      </c>
      <c r="Y349" s="8" t="str">
        <f t="shared" si="58"/>
        <v>Documentary</v>
      </c>
      <c r="Z349" s="10" t="str">
        <f t="shared" si="59"/>
        <v>Thriller</v>
      </c>
      <c r="AA349" s="8" t="str">
        <f t="shared" si="60"/>
        <v>NO</v>
      </c>
      <c r="AB349" s="6" t="str">
        <f t="shared" si="61"/>
        <v>YES</v>
      </c>
    </row>
    <row r="350" spans="1:28" x14ac:dyDescent="0.3">
      <c r="A350">
        <v>350</v>
      </c>
      <c r="B350" t="s">
        <v>23</v>
      </c>
      <c r="C350" t="s">
        <v>64</v>
      </c>
      <c r="D350" s="1">
        <v>45510</v>
      </c>
      <c r="E350" s="2">
        <v>0.86805555555555558</v>
      </c>
      <c r="F350" t="s">
        <v>44</v>
      </c>
      <c r="G350">
        <v>107</v>
      </c>
      <c r="H350">
        <v>6975</v>
      </c>
      <c r="I350">
        <v>54</v>
      </c>
      <c r="J350" s="2">
        <v>0.48055555555555557</v>
      </c>
      <c r="K350" t="s">
        <v>62</v>
      </c>
      <c r="L350" t="s">
        <v>56</v>
      </c>
      <c r="M350" t="s">
        <v>28</v>
      </c>
      <c r="N350" t="s">
        <v>71</v>
      </c>
      <c r="O350">
        <v>2367</v>
      </c>
      <c r="P350">
        <v>83</v>
      </c>
      <c r="Q350">
        <v>1160</v>
      </c>
      <c r="R350">
        <v>3.6</v>
      </c>
      <c r="S350" t="s">
        <v>40</v>
      </c>
      <c r="T350" t="s">
        <v>45</v>
      </c>
      <c r="U350" t="s">
        <v>66</v>
      </c>
      <c r="V350" t="s">
        <v>42</v>
      </c>
      <c r="W350">
        <v>4640</v>
      </c>
      <c r="X350" s="6" t="str">
        <f t="shared" si="57"/>
        <v>LOW</v>
      </c>
      <c r="Y350" s="8" t="str">
        <f t="shared" si="58"/>
        <v>Movie</v>
      </c>
      <c r="Z350" s="10" t="str">
        <f t="shared" si="59"/>
        <v>Drama</v>
      </c>
      <c r="AA350" s="8" t="str">
        <f t="shared" si="60"/>
        <v>NO</v>
      </c>
      <c r="AB350" s="6" t="str">
        <f t="shared" si="61"/>
        <v>YES</v>
      </c>
    </row>
    <row r="351" spans="1:28" x14ac:dyDescent="0.3">
      <c r="A351">
        <v>351</v>
      </c>
      <c r="B351" t="s">
        <v>54</v>
      </c>
      <c r="C351" t="s">
        <v>72</v>
      </c>
      <c r="D351" s="1">
        <v>45501</v>
      </c>
      <c r="E351" s="2">
        <v>0.28333333333333333</v>
      </c>
      <c r="F351" t="s">
        <v>44</v>
      </c>
      <c r="G351">
        <v>110</v>
      </c>
      <c r="H351">
        <v>78205</v>
      </c>
      <c r="I351">
        <v>39</v>
      </c>
      <c r="J351" s="2">
        <v>0.72430555555555554</v>
      </c>
      <c r="K351" t="s">
        <v>26</v>
      </c>
      <c r="L351" t="s">
        <v>56</v>
      </c>
      <c r="M351" t="s">
        <v>38</v>
      </c>
      <c r="N351" t="s">
        <v>76</v>
      </c>
      <c r="O351">
        <v>2797</v>
      </c>
      <c r="P351">
        <v>160</v>
      </c>
      <c r="Q351">
        <v>636</v>
      </c>
      <c r="R351">
        <v>4.8</v>
      </c>
      <c r="S351" t="s">
        <v>40</v>
      </c>
      <c r="T351" t="s">
        <v>31</v>
      </c>
      <c r="U351" t="s">
        <v>70</v>
      </c>
      <c r="V351" t="s">
        <v>53</v>
      </c>
      <c r="W351">
        <v>7303</v>
      </c>
      <c r="X351" s="6" t="str">
        <f t="shared" si="57"/>
        <v>LOW</v>
      </c>
      <c r="Y351" s="8" t="str">
        <f t="shared" si="58"/>
        <v>Documentary</v>
      </c>
      <c r="Z351" s="10" t="str">
        <f t="shared" si="59"/>
        <v>Action</v>
      </c>
      <c r="AA351" s="8" t="str">
        <f t="shared" si="60"/>
        <v>NO</v>
      </c>
      <c r="AB351" s="6" t="str">
        <f t="shared" si="61"/>
        <v>YES</v>
      </c>
    </row>
    <row r="352" spans="1:28" x14ac:dyDescent="0.3">
      <c r="A352">
        <v>352</v>
      </c>
      <c r="B352" t="s">
        <v>54</v>
      </c>
      <c r="C352" t="s">
        <v>48</v>
      </c>
      <c r="D352" s="1">
        <v>45505</v>
      </c>
      <c r="E352" s="2">
        <v>0.83750000000000002</v>
      </c>
      <c r="F352" t="s">
        <v>73</v>
      </c>
      <c r="G352">
        <v>99</v>
      </c>
      <c r="H352">
        <v>41394</v>
      </c>
      <c r="I352">
        <v>70</v>
      </c>
      <c r="J352" s="2">
        <v>0.70416666666666672</v>
      </c>
      <c r="K352" t="s">
        <v>36</v>
      </c>
      <c r="L352" t="s">
        <v>49</v>
      </c>
      <c r="M352" t="s">
        <v>38</v>
      </c>
      <c r="N352" t="s">
        <v>71</v>
      </c>
      <c r="O352">
        <v>1644</v>
      </c>
      <c r="P352">
        <v>1790</v>
      </c>
      <c r="Q352">
        <v>1157</v>
      </c>
      <c r="R352">
        <v>1</v>
      </c>
      <c r="S352" t="s">
        <v>30</v>
      </c>
      <c r="T352" t="s">
        <v>45</v>
      </c>
      <c r="U352" t="s">
        <v>52</v>
      </c>
      <c r="V352" t="s">
        <v>53</v>
      </c>
      <c r="W352">
        <v>3685</v>
      </c>
      <c r="X352" s="6" t="str">
        <f t="shared" ref="X352" si="64">IF(H352&gt;15000,"HIGH",IF(H352&gt;80000,"MEDIUM","LOW"))</f>
        <v>HIGH</v>
      </c>
      <c r="Y352" s="8" t="str">
        <f t="shared" si="58"/>
        <v>Documentary</v>
      </c>
      <c r="Z352" s="10" t="str">
        <f t="shared" si="59"/>
        <v>Romance</v>
      </c>
      <c r="AA352" s="8" t="str">
        <f t="shared" si="60"/>
        <v>NO</v>
      </c>
      <c r="AB352" s="6" t="str">
        <f t="shared" si="61"/>
        <v>NO</v>
      </c>
    </row>
    <row r="353" spans="1:28" x14ac:dyDescent="0.3">
      <c r="A353">
        <v>353</v>
      </c>
      <c r="B353" t="s">
        <v>23</v>
      </c>
      <c r="C353" t="s">
        <v>35</v>
      </c>
      <c r="D353" s="1">
        <v>45513</v>
      </c>
      <c r="E353" s="2">
        <v>0.47708333333333336</v>
      </c>
      <c r="F353" t="s">
        <v>36</v>
      </c>
      <c r="G353">
        <v>150</v>
      </c>
      <c r="H353">
        <v>59817</v>
      </c>
      <c r="I353">
        <v>85</v>
      </c>
      <c r="J353" s="2">
        <v>9.930555555555555E-2</v>
      </c>
      <c r="K353" t="s">
        <v>44</v>
      </c>
      <c r="L353" t="s">
        <v>37</v>
      </c>
      <c r="M353" t="s">
        <v>38</v>
      </c>
      <c r="N353" t="s">
        <v>71</v>
      </c>
      <c r="O353">
        <v>286</v>
      </c>
      <c r="P353">
        <v>1752</v>
      </c>
      <c r="Q353">
        <v>581</v>
      </c>
      <c r="R353">
        <v>4.9000000000000004</v>
      </c>
      <c r="S353" t="s">
        <v>60</v>
      </c>
      <c r="T353" t="s">
        <v>63</v>
      </c>
      <c r="U353" t="s">
        <v>52</v>
      </c>
      <c r="V353" t="s">
        <v>47</v>
      </c>
      <c r="W353">
        <v>3686</v>
      </c>
      <c r="X353" s="6" t="str">
        <f t="shared" si="57"/>
        <v>LOW</v>
      </c>
      <c r="Y353" s="8" t="str">
        <f t="shared" si="58"/>
        <v>Movie</v>
      </c>
      <c r="Z353" s="10" t="str">
        <f t="shared" si="59"/>
        <v>Comedy</v>
      </c>
      <c r="AA353" s="8" t="str">
        <f t="shared" si="60"/>
        <v>NO</v>
      </c>
      <c r="AB353" s="6" t="str">
        <f t="shared" si="61"/>
        <v>YES</v>
      </c>
    </row>
    <row r="354" spans="1:28" x14ac:dyDescent="0.3">
      <c r="A354">
        <v>354</v>
      </c>
      <c r="B354" t="s">
        <v>54</v>
      </c>
      <c r="C354" t="s">
        <v>72</v>
      </c>
      <c r="D354" s="1">
        <v>45522</v>
      </c>
      <c r="E354" s="2">
        <v>0.97361111111111109</v>
      </c>
      <c r="F354" t="s">
        <v>62</v>
      </c>
      <c r="G354">
        <v>125</v>
      </c>
      <c r="H354">
        <v>40635</v>
      </c>
      <c r="I354">
        <v>74</v>
      </c>
      <c r="J354" s="2">
        <v>0.125</v>
      </c>
      <c r="K354" t="s">
        <v>26</v>
      </c>
      <c r="L354" t="s">
        <v>49</v>
      </c>
      <c r="M354" t="s">
        <v>28</v>
      </c>
      <c r="N354" t="s">
        <v>39</v>
      </c>
      <c r="O354">
        <v>1916</v>
      </c>
      <c r="P354">
        <v>586</v>
      </c>
      <c r="Q354">
        <v>597</v>
      </c>
      <c r="R354">
        <v>1.4</v>
      </c>
      <c r="S354" t="s">
        <v>40</v>
      </c>
      <c r="T354" t="s">
        <v>31</v>
      </c>
      <c r="U354" t="s">
        <v>41</v>
      </c>
      <c r="V354" t="s">
        <v>42</v>
      </c>
      <c r="W354">
        <v>8425</v>
      </c>
      <c r="X354" s="6" t="str">
        <f t="shared" si="57"/>
        <v>LOW</v>
      </c>
      <c r="Y354" s="8" t="str">
        <f t="shared" si="58"/>
        <v>Documentary</v>
      </c>
      <c r="Z354" s="10" t="str">
        <f t="shared" si="59"/>
        <v>Action</v>
      </c>
      <c r="AA354" s="8" t="str">
        <f t="shared" si="60"/>
        <v>NO</v>
      </c>
      <c r="AB354" s="6" t="str">
        <f t="shared" si="61"/>
        <v>NO</v>
      </c>
    </row>
    <row r="355" spans="1:28" x14ac:dyDescent="0.3">
      <c r="A355">
        <v>355</v>
      </c>
      <c r="B355" t="s">
        <v>23</v>
      </c>
      <c r="C355" t="s">
        <v>48</v>
      </c>
      <c r="D355" s="1">
        <v>45514</v>
      </c>
      <c r="E355" s="2">
        <v>3.125E-2</v>
      </c>
      <c r="F355" t="s">
        <v>44</v>
      </c>
      <c r="G355">
        <v>192</v>
      </c>
      <c r="H355">
        <v>95362</v>
      </c>
      <c r="I355">
        <v>44</v>
      </c>
      <c r="J355" s="2">
        <v>0.13750000000000001</v>
      </c>
      <c r="K355" t="s">
        <v>36</v>
      </c>
      <c r="L355" t="s">
        <v>56</v>
      </c>
      <c r="M355" t="s">
        <v>28</v>
      </c>
      <c r="N355" t="s">
        <v>65</v>
      </c>
      <c r="O355">
        <v>455</v>
      </c>
      <c r="P355">
        <v>399</v>
      </c>
      <c r="Q355">
        <v>562</v>
      </c>
      <c r="R355">
        <v>2.9</v>
      </c>
      <c r="S355" t="s">
        <v>30</v>
      </c>
      <c r="T355" t="s">
        <v>45</v>
      </c>
      <c r="U355" t="s">
        <v>52</v>
      </c>
      <c r="V355" t="s">
        <v>33</v>
      </c>
      <c r="W355">
        <v>658</v>
      </c>
      <c r="X355" s="6" t="str">
        <f t="shared" si="57"/>
        <v>LOW</v>
      </c>
      <c r="Y355" s="8" t="str">
        <f t="shared" si="58"/>
        <v>Movie</v>
      </c>
      <c r="Z355" s="10" t="str">
        <f t="shared" si="59"/>
        <v>Romance</v>
      </c>
      <c r="AA355" s="8" t="str">
        <f t="shared" si="60"/>
        <v>NO</v>
      </c>
      <c r="AB355" s="6" t="str">
        <f t="shared" si="61"/>
        <v>YES</v>
      </c>
    </row>
    <row r="356" spans="1:28" x14ac:dyDescent="0.3">
      <c r="A356">
        <v>356</v>
      </c>
      <c r="B356" t="s">
        <v>34</v>
      </c>
      <c r="C356" t="s">
        <v>48</v>
      </c>
      <c r="D356" s="1">
        <v>45531</v>
      </c>
      <c r="E356" s="2">
        <v>0.60347222222222219</v>
      </c>
      <c r="F356" t="s">
        <v>25</v>
      </c>
      <c r="G356">
        <v>1156</v>
      </c>
      <c r="H356">
        <v>54903</v>
      </c>
      <c r="I356">
        <v>56</v>
      </c>
      <c r="J356" s="2">
        <v>0.60486111111111107</v>
      </c>
      <c r="K356" t="s">
        <v>36</v>
      </c>
      <c r="L356" t="s">
        <v>27</v>
      </c>
      <c r="M356" t="s">
        <v>28</v>
      </c>
      <c r="N356" t="s">
        <v>39</v>
      </c>
      <c r="O356">
        <v>320</v>
      </c>
      <c r="P356">
        <v>1175</v>
      </c>
      <c r="Q356">
        <v>100</v>
      </c>
      <c r="R356">
        <v>3.5</v>
      </c>
      <c r="S356" t="s">
        <v>51</v>
      </c>
      <c r="T356" t="s">
        <v>45</v>
      </c>
      <c r="U356" t="s">
        <v>74</v>
      </c>
      <c r="V356" t="s">
        <v>47</v>
      </c>
      <c r="W356">
        <v>17132</v>
      </c>
      <c r="X356" s="6" t="str">
        <f t="shared" si="57"/>
        <v>LOW</v>
      </c>
      <c r="Y356" s="8" t="str">
        <f t="shared" si="58"/>
        <v>Series</v>
      </c>
      <c r="Z356" s="10" t="str">
        <f t="shared" si="59"/>
        <v>Romance</v>
      </c>
      <c r="AA356" s="8" t="str">
        <f t="shared" si="60"/>
        <v>NO</v>
      </c>
      <c r="AB356" s="6" t="str">
        <f t="shared" si="61"/>
        <v>YES</v>
      </c>
    </row>
    <row r="357" spans="1:28" x14ac:dyDescent="0.3">
      <c r="A357">
        <v>357</v>
      </c>
      <c r="B357" t="s">
        <v>54</v>
      </c>
      <c r="C357" t="s">
        <v>61</v>
      </c>
      <c r="D357" s="1">
        <v>45544</v>
      </c>
      <c r="E357" s="2">
        <v>0.46736111111111112</v>
      </c>
      <c r="F357" t="s">
        <v>68</v>
      </c>
      <c r="G357">
        <v>50</v>
      </c>
      <c r="H357">
        <v>21808</v>
      </c>
      <c r="I357">
        <v>55</v>
      </c>
      <c r="J357" s="2">
        <v>0.67291666666666672</v>
      </c>
      <c r="K357" t="s">
        <v>44</v>
      </c>
      <c r="L357" t="s">
        <v>27</v>
      </c>
      <c r="M357" t="s">
        <v>38</v>
      </c>
      <c r="N357" t="s">
        <v>39</v>
      </c>
      <c r="O357">
        <v>317</v>
      </c>
      <c r="P357">
        <v>1675</v>
      </c>
      <c r="Q357">
        <v>938</v>
      </c>
      <c r="R357">
        <v>3</v>
      </c>
      <c r="S357" t="s">
        <v>30</v>
      </c>
      <c r="T357" t="s">
        <v>63</v>
      </c>
      <c r="U357" t="s">
        <v>32</v>
      </c>
      <c r="V357" t="s">
        <v>42</v>
      </c>
      <c r="W357">
        <v>13590</v>
      </c>
      <c r="X357" s="6" t="str">
        <f t="shared" si="57"/>
        <v>LOW</v>
      </c>
      <c r="Y357" s="8" t="str">
        <f t="shared" si="58"/>
        <v>Documentary</v>
      </c>
      <c r="Z357" s="10" t="str">
        <f t="shared" si="59"/>
        <v>History</v>
      </c>
      <c r="AA357" s="8" t="str">
        <f t="shared" si="60"/>
        <v>NO</v>
      </c>
      <c r="AB357" s="6" t="str">
        <f t="shared" si="61"/>
        <v>YES</v>
      </c>
    </row>
    <row r="358" spans="1:28" x14ac:dyDescent="0.3">
      <c r="A358">
        <v>358</v>
      </c>
      <c r="B358" t="s">
        <v>54</v>
      </c>
      <c r="C358" t="s">
        <v>48</v>
      </c>
      <c r="D358" s="1">
        <v>45511</v>
      </c>
      <c r="E358" s="2">
        <v>0.5229166666666667</v>
      </c>
      <c r="F358" t="s">
        <v>73</v>
      </c>
      <c r="G358">
        <v>62</v>
      </c>
      <c r="H358">
        <v>25259</v>
      </c>
      <c r="I358">
        <v>52</v>
      </c>
      <c r="J358" s="2">
        <v>0.82847222222222228</v>
      </c>
      <c r="K358" t="s">
        <v>62</v>
      </c>
      <c r="L358" t="s">
        <v>56</v>
      </c>
      <c r="M358" t="s">
        <v>38</v>
      </c>
      <c r="N358" t="s">
        <v>29</v>
      </c>
      <c r="O358">
        <v>2827</v>
      </c>
      <c r="P358">
        <v>990</v>
      </c>
      <c r="Q358">
        <v>1385</v>
      </c>
      <c r="R358">
        <v>4.3</v>
      </c>
      <c r="S358" t="s">
        <v>51</v>
      </c>
      <c r="T358" t="s">
        <v>31</v>
      </c>
      <c r="U358" t="s">
        <v>66</v>
      </c>
      <c r="V358" t="s">
        <v>53</v>
      </c>
      <c r="W358">
        <v>5623</v>
      </c>
      <c r="X358" s="6" t="str">
        <f t="shared" si="57"/>
        <v>LOW</v>
      </c>
      <c r="Y358" s="8" t="str">
        <f t="shared" si="58"/>
        <v>Documentary</v>
      </c>
      <c r="Z358" s="10" t="str">
        <f t="shared" si="59"/>
        <v>Romance</v>
      </c>
      <c r="AA358" s="8" t="str">
        <f t="shared" si="60"/>
        <v>NO</v>
      </c>
      <c r="AB358" s="6" t="str">
        <f t="shared" si="61"/>
        <v>YES</v>
      </c>
    </row>
    <row r="359" spans="1:28" x14ac:dyDescent="0.3">
      <c r="A359">
        <v>359</v>
      </c>
      <c r="B359" t="s">
        <v>23</v>
      </c>
      <c r="C359" t="s">
        <v>55</v>
      </c>
      <c r="D359" s="1">
        <v>45528</v>
      </c>
      <c r="E359" s="2">
        <v>0.65833333333333333</v>
      </c>
      <c r="F359" t="s">
        <v>68</v>
      </c>
      <c r="G359">
        <v>184</v>
      </c>
      <c r="H359">
        <v>97652</v>
      </c>
      <c r="I359">
        <v>133</v>
      </c>
      <c r="J359" s="2">
        <v>0.11527777777777778</v>
      </c>
      <c r="K359" t="s">
        <v>26</v>
      </c>
      <c r="L359" t="s">
        <v>49</v>
      </c>
      <c r="M359" t="s">
        <v>28</v>
      </c>
      <c r="N359" t="s">
        <v>50</v>
      </c>
      <c r="O359">
        <v>1366</v>
      </c>
      <c r="P359">
        <v>555</v>
      </c>
      <c r="Q359">
        <v>614</v>
      </c>
      <c r="R359">
        <v>4.0999999999999996</v>
      </c>
      <c r="S359" t="s">
        <v>30</v>
      </c>
      <c r="T359" t="s">
        <v>45</v>
      </c>
      <c r="U359" t="s">
        <v>66</v>
      </c>
      <c r="V359" t="s">
        <v>53</v>
      </c>
      <c r="W359">
        <v>11092</v>
      </c>
      <c r="X359" s="6" t="str">
        <f t="shared" si="57"/>
        <v>LOW</v>
      </c>
      <c r="Y359" s="8" t="str">
        <f t="shared" si="58"/>
        <v>Movie</v>
      </c>
      <c r="Z359" s="10" t="str">
        <f t="shared" si="59"/>
        <v>Fantasy</v>
      </c>
      <c r="AA359" s="8" t="str">
        <f t="shared" si="60"/>
        <v>NO</v>
      </c>
      <c r="AB359" s="6" t="str">
        <f t="shared" si="61"/>
        <v>YES</v>
      </c>
    </row>
    <row r="360" spans="1:28" x14ac:dyDescent="0.3">
      <c r="A360">
        <v>360</v>
      </c>
      <c r="B360" t="s">
        <v>54</v>
      </c>
      <c r="C360" t="s">
        <v>24</v>
      </c>
      <c r="D360" s="1">
        <v>45540</v>
      </c>
      <c r="E360" s="2">
        <v>0.4513888888888889</v>
      </c>
      <c r="F360" t="s">
        <v>25</v>
      </c>
      <c r="G360">
        <v>84</v>
      </c>
      <c r="H360">
        <v>50528</v>
      </c>
      <c r="I360">
        <v>35</v>
      </c>
      <c r="J360" s="2">
        <v>0.17708333333333334</v>
      </c>
      <c r="K360" t="s">
        <v>36</v>
      </c>
      <c r="L360" t="s">
        <v>49</v>
      </c>
      <c r="M360" t="s">
        <v>38</v>
      </c>
      <c r="N360" t="s">
        <v>59</v>
      </c>
      <c r="O360">
        <v>2384</v>
      </c>
      <c r="P360">
        <v>823</v>
      </c>
      <c r="Q360">
        <v>457</v>
      </c>
      <c r="R360">
        <v>3.4</v>
      </c>
      <c r="S360" t="s">
        <v>60</v>
      </c>
      <c r="T360" t="s">
        <v>63</v>
      </c>
      <c r="U360" t="s">
        <v>32</v>
      </c>
      <c r="V360" t="s">
        <v>53</v>
      </c>
      <c r="W360">
        <v>407</v>
      </c>
      <c r="X360" s="6" t="str">
        <f t="shared" si="57"/>
        <v>LOW</v>
      </c>
      <c r="Y360" s="8" t="str">
        <f t="shared" si="58"/>
        <v>Documentary</v>
      </c>
      <c r="Z360" s="10" t="str">
        <f t="shared" si="59"/>
        <v>Thriller</v>
      </c>
      <c r="AA360" s="8" t="str">
        <f t="shared" si="60"/>
        <v>NO</v>
      </c>
      <c r="AB360" s="6" t="str">
        <f t="shared" si="61"/>
        <v>YES</v>
      </c>
    </row>
    <row r="361" spans="1:28" x14ac:dyDescent="0.3">
      <c r="A361">
        <v>361</v>
      </c>
      <c r="B361" t="s">
        <v>23</v>
      </c>
      <c r="C361" t="s">
        <v>64</v>
      </c>
      <c r="D361" s="1">
        <v>45480</v>
      </c>
      <c r="E361" s="2">
        <v>0.62708333333333333</v>
      </c>
      <c r="F361" t="s">
        <v>26</v>
      </c>
      <c r="G361">
        <v>180</v>
      </c>
      <c r="H361">
        <v>29977</v>
      </c>
      <c r="I361">
        <v>82</v>
      </c>
      <c r="J361" s="2">
        <v>0.22569444444444445</v>
      </c>
      <c r="K361" t="s">
        <v>44</v>
      </c>
      <c r="L361" t="s">
        <v>49</v>
      </c>
      <c r="M361" t="s">
        <v>28</v>
      </c>
      <c r="N361" t="s">
        <v>69</v>
      </c>
      <c r="O361">
        <v>1450</v>
      </c>
      <c r="P361">
        <v>1395</v>
      </c>
      <c r="Q361">
        <v>699</v>
      </c>
      <c r="R361">
        <v>2.2999999999999998</v>
      </c>
      <c r="S361" t="s">
        <v>60</v>
      </c>
      <c r="T361" t="s">
        <v>45</v>
      </c>
      <c r="U361" t="s">
        <v>74</v>
      </c>
      <c r="V361" t="s">
        <v>58</v>
      </c>
      <c r="W361">
        <v>8565</v>
      </c>
      <c r="X361" s="6" t="str">
        <f t="shared" si="57"/>
        <v>LOW</v>
      </c>
      <c r="Y361" s="8" t="str">
        <f t="shared" si="58"/>
        <v>Movie</v>
      </c>
      <c r="Z361" s="10" t="str">
        <f t="shared" si="59"/>
        <v>Drama</v>
      </c>
      <c r="AA361" s="8" t="str">
        <f t="shared" si="60"/>
        <v>NO</v>
      </c>
      <c r="AB361" s="6" t="str">
        <f t="shared" si="61"/>
        <v>NO</v>
      </c>
    </row>
    <row r="362" spans="1:28" x14ac:dyDescent="0.3">
      <c r="A362">
        <v>362</v>
      </c>
      <c r="B362" t="s">
        <v>23</v>
      </c>
      <c r="C362" t="s">
        <v>35</v>
      </c>
      <c r="D362" s="1">
        <v>45480</v>
      </c>
      <c r="E362" s="2">
        <v>0.28194444444444444</v>
      </c>
      <c r="F362" t="s">
        <v>62</v>
      </c>
      <c r="G362">
        <v>126</v>
      </c>
      <c r="H362">
        <v>10080</v>
      </c>
      <c r="I362">
        <v>62</v>
      </c>
      <c r="J362" s="2">
        <v>0.60277777777777775</v>
      </c>
      <c r="K362" t="s">
        <v>26</v>
      </c>
      <c r="L362" t="s">
        <v>49</v>
      </c>
      <c r="M362" t="s">
        <v>38</v>
      </c>
      <c r="N362" t="s">
        <v>29</v>
      </c>
      <c r="O362">
        <v>34</v>
      </c>
      <c r="P362">
        <v>1618</v>
      </c>
      <c r="Q362">
        <v>243</v>
      </c>
      <c r="R362">
        <v>3</v>
      </c>
      <c r="S362" t="s">
        <v>51</v>
      </c>
      <c r="T362" t="s">
        <v>45</v>
      </c>
      <c r="U362" t="s">
        <v>46</v>
      </c>
      <c r="V362" t="s">
        <v>33</v>
      </c>
      <c r="W362">
        <v>13635</v>
      </c>
      <c r="X362" s="6" t="str">
        <f t="shared" ref="X362" si="65">IF(H362&gt;15000,"HIGH",IF(H362&gt;80000,"MEDIUM","LOW"))</f>
        <v>LOW</v>
      </c>
      <c r="Y362" s="8" t="str">
        <f t="shared" si="58"/>
        <v>Movie</v>
      </c>
      <c r="Z362" s="10" t="str">
        <f t="shared" si="59"/>
        <v>Comedy</v>
      </c>
      <c r="AA362" s="8" t="str">
        <f t="shared" si="60"/>
        <v>NO</v>
      </c>
      <c r="AB362" s="6" t="str">
        <f t="shared" si="61"/>
        <v>YES</v>
      </c>
    </row>
    <row r="363" spans="1:28" x14ac:dyDescent="0.3">
      <c r="A363">
        <v>363</v>
      </c>
      <c r="B363" t="s">
        <v>54</v>
      </c>
      <c r="C363" t="s">
        <v>75</v>
      </c>
      <c r="D363" s="1">
        <v>45521</v>
      </c>
      <c r="E363" s="2">
        <v>0.2638888888888889</v>
      </c>
      <c r="F363" t="s">
        <v>73</v>
      </c>
      <c r="G363">
        <v>63</v>
      </c>
      <c r="H363">
        <v>91486</v>
      </c>
      <c r="I363">
        <v>54</v>
      </c>
      <c r="J363" s="2">
        <v>0.11388888888888889</v>
      </c>
      <c r="K363" t="s">
        <v>36</v>
      </c>
      <c r="L363" t="s">
        <v>27</v>
      </c>
      <c r="M363" t="s">
        <v>38</v>
      </c>
      <c r="N363" t="s">
        <v>71</v>
      </c>
      <c r="O363">
        <v>1314</v>
      </c>
      <c r="P363">
        <v>1543</v>
      </c>
      <c r="Q363">
        <v>898</v>
      </c>
      <c r="R363">
        <v>3</v>
      </c>
      <c r="S363" t="s">
        <v>30</v>
      </c>
      <c r="T363" t="s">
        <v>45</v>
      </c>
      <c r="U363" t="s">
        <v>52</v>
      </c>
      <c r="V363" t="s">
        <v>33</v>
      </c>
      <c r="W363">
        <v>17588</v>
      </c>
      <c r="X363" s="6" t="str">
        <f t="shared" si="57"/>
        <v>LOW</v>
      </c>
      <c r="Y363" s="8" t="str">
        <f t="shared" si="58"/>
        <v>Documentary</v>
      </c>
      <c r="Z363" s="10" t="str">
        <f t="shared" si="59"/>
        <v>Nature</v>
      </c>
      <c r="AA363" s="8" t="str">
        <f t="shared" si="60"/>
        <v>NO</v>
      </c>
      <c r="AB363" s="6" t="str">
        <f t="shared" si="61"/>
        <v>YES</v>
      </c>
    </row>
    <row r="364" spans="1:28" x14ac:dyDescent="0.3">
      <c r="A364">
        <v>364</v>
      </c>
      <c r="B364" t="s">
        <v>34</v>
      </c>
      <c r="C364" t="s">
        <v>35</v>
      </c>
      <c r="D364" s="1">
        <v>45488</v>
      </c>
      <c r="E364" s="2">
        <v>0.97499999999999998</v>
      </c>
      <c r="F364" t="s">
        <v>25</v>
      </c>
      <c r="G364">
        <v>902</v>
      </c>
      <c r="H364">
        <v>89481</v>
      </c>
      <c r="I364">
        <v>118</v>
      </c>
      <c r="J364" s="2">
        <v>0.75069444444444444</v>
      </c>
      <c r="K364" t="s">
        <v>44</v>
      </c>
      <c r="L364" t="s">
        <v>49</v>
      </c>
      <c r="M364" t="s">
        <v>28</v>
      </c>
      <c r="N364" t="s">
        <v>71</v>
      </c>
      <c r="O364">
        <v>2558</v>
      </c>
      <c r="P364">
        <v>1999</v>
      </c>
      <c r="Q364">
        <v>1188</v>
      </c>
      <c r="R364">
        <v>3</v>
      </c>
      <c r="S364" t="s">
        <v>30</v>
      </c>
      <c r="T364" t="s">
        <v>31</v>
      </c>
      <c r="U364" t="s">
        <v>70</v>
      </c>
      <c r="V364" t="s">
        <v>47</v>
      </c>
      <c r="W364">
        <v>15608</v>
      </c>
      <c r="X364" s="6" t="str">
        <f t="shared" si="57"/>
        <v>LOW</v>
      </c>
      <c r="Y364" s="8" t="str">
        <f t="shared" si="58"/>
        <v>Series</v>
      </c>
      <c r="Z364" s="10" t="str">
        <f t="shared" si="59"/>
        <v>Comedy</v>
      </c>
      <c r="AA364" s="8" t="str">
        <f t="shared" si="60"/>
        <v>NO</v>
      </c>
      <c r="AB364" s="6" t="str">
        <f t="shared" si="61"/>
        <v>YES</v>
      </c>
    </row>
    <row r="365" spans="1:28" x14ac:dyDescent="0.3">
      <c r="A365">
        <v>365</v>
      </c>
      <c r="B365" t="s">
        <v>23</v>
      </c>
      <c r="C365" t="s">
        <v>61</v>
      </c>
      <c r="D365" s="1">
        <v>45514</v>
      </c>
      <c r="E365" s="2">
        <v>0.63680555555555551</v>
      </c>
      <c r="F365" t="s">
        <v>44</v>
      </c>
      <c r="G365">
        <v>121</v>
      </c>
      <c r="H365">
        <v>74985</v>
      </c>
      <c r="I365">
        <v>35</v>
      </c>
      <c r="J365" s="2">
        <v>0.5395833333333333</v>
      </c>
      <c r="K365" t="s">
        <v>26</v>
      </c>
      <c r="L365" t="s">
        <v>27</v>
      </c>
      <c r="M365" t="s">
        <v>28</v>
      </c>
      <c r="N365" t="s">
        <v>59</v>
      </c>
      <c r="O365">
        <v>1946</v>
      </c>
      <c r="P365">
        <v>502</v>
      </c>
      <c r="Q365">
        <v>708</v>
      </c>
      <c r="R365">
        <v>3.6</v>
      </c>
      <c r="S365" t="s">
        <v>60</v>
      </c>
      <c r="T365" t="s">
        <v>31</v>
      </c>
      <c r="U365" t="s">
        <v>74</v>
      </c>
      <c r="V365" t="s">
        <v>42</v>
      </c>
      <c r="W365">
        <v>8556</v>
      </c>
      <c r="X365" s="6" t="str">
        <f t="shared" si="57"/>
        <v>LOW</v>
      </c>
      <c r="Y365" s="8" t="str">
        <f t="shared" si="58"/>
        <v>Movie</v>
      </c>
      <c r="Z365" s="10" t="str">
        <f t="shared" si="59"/>
        <v>History</v>
      </c>
      <c r="AA365" s="8" t="str">
        <f t="shared" si="60"/>
        <v>NO</v>
      </c>
      <c r="AB365" s="6" t="str">
        <f t="shared" si="61"/>
        <v>YES</v>
      </c>
    </row>
    <row r="366" spans="1:28" x14ac:dyDescent="0.3">
      <c r="A366">
        <v>366</v>
      </c>
      <c r="B366" t="s">
        <v>34</v>
      </c>
      <c r="C366" t="s">
        <v>75</v>
      </c>
      <c r="D366" s="1">
        <v>45510</v>
      </c>
      <c r="E366" s="2">
        <v>0.3888888888888889</v>
      </c>
      <c r="F366" t="s">
        <v>36</v>
      </c>
      <c r="G366">
        <v>566</v>
      </c>
      <c r="H366">
        <v>89320</v>
      </c>
      <c r="I366">
        <v>134</v>
      </c>
      <c r="J366" s="2">
        <v>0.3527777777777778</v>
      </c>
      <c r="K366" t="s">
        <v>36</v>
      </c>
      <c r="L366" t="s">
        <v>27</v>
      </c>
      <c r="M366" t="s">
        <v>38</v>
      </c>
      <c r="N366" t="s">
        <v>65</v>
      </c>
      <c r="O366">
        <v>2753</v>
      </c>
      <c r="P366">
        <v>708</v>
      </c>
      <c r="Q366">
        <v>557</v>
      </c>
      <c r="R366">
        <v>2.8</v>
      </c>
      <c r="S366" t="s">
        <v>60</v>
      </c>
      <c r="T366" t="s">
        <v>45</v>
      </c>
      <c r="U366" t="s">
        <v>74</v>
      </c>
      <c r="V366" t="s">
        <v>42</v>
      </c>
      <c r="W366">
        <v>8002</v>
      </c>
      <c r="X366" s="6" t="str">
        <f t="shared" si="57"/>
        <v>LOW</v>
      </c>
      <c r="Y366" s="8" t="str">
        <f t="shared" si="58"/>
        <v>Series</v>
      </c>
      <c r="Z366" s="10" t="str">
        <f t="shared" si="59"/>
        <v>Nature</v>
      </c>
      <c r="AA366" s="8" t="str">
        <f t="shared" si="60"/>
        <v>NO</v>
      </c>
      <c r="AB366" s="6" t="str">
        <f t="shared" si="61"/>
        <v>YES</v>
      </c>
    </row>
    <row r="367" spans="1:28" x14ac:dyDescent="0.3">
      <c r="A367">
        <v>367</v>
      </c>
      <c r="B367" t="s">
        <v>23</v>
      </c>
      <c r="C367" t="s">
        <v>55</v>
      </c>
      <c r="D367" s="1">
        <v>45508</v>
      </c>
      <c r="E367" s="2">
        <v>0.1763888888888889</v>
      </c>
      <c r="F367" t="s">
        <v>36</v>
      </c>
      <c r="G367">
        <v>183</v>
      </c>
      <c r="H367">
        <v>86587</v>
      </c>
      <c r="I367">
        <v>58</v>
      </c>
      <c r="J367" s="2">
        <v>0.10347222222222222</v>
      </c>
      <c r="K367" t="s">
        <v>36</v>
      </c>
      <c r="L367" t="s">
        <v>56</v>
      </c>
      <c r="M367" t="s">
        <v>38</v>
      </c>
      <c r="N367" t="s">
        <v>39</v>
      </c>
      <c r="O367">
        <v>2827</v>
      </c>
      <c r="P367">
        <v>737</v>
      </c>
      <c r="Q367">
        <v>1267</v>
      </c>
      <c r="R367">
        <v>4</v>
      </c>
      <c r="S367" t="s">
        <v>51</v>
      </c>
      <c r="T367" t="s">
        <v>63</v>
      </c>
      <c r="U367" t="s">
        <v>52</v>
      </c>
      <c r="V367" t="s">
        <v>42</v>
      </c>
      <c r="W367">
        <v>19227</v>
      </c>
      <c r="X367" s="6" t="str">
        <f t="shared" si="57"/>
        <v>LOW</v>
      </c>
      <c r="Y367" s="8" t="str">
        <f t="shared" si="58"/>
        <v>Movie</v>
      </c>
      <c r="Z367" s="10" t="str">
        <f t="shared" si="59"/>
        <v>Fantasy</v>
      </c>
      <c r="AA367" s="8" t="str">
        <f t="shared" si="60"/>
        <v>NO</v>
      </c>
      <c r="AB367" s="6" t="str">
        <f t="shared" si="61"/>
        <v>YES</v>
      </c>
    </row>
    <row r="368" spans="1:28" x14ac:dyDescent="0.3">
      <c r="A368">
        <v>368</v>
      </c>
      <c r="B368" t="s">
        <v>23</v>
      </c>
      <c r="C368" t="s">
        <v>43</v>
      </c>
      <c r="D368" s="1">
        <v>45513</v>
      </c>
      <c r="E368" s="2">
        <v>0.84375</v>
      </c>
      <c r="F368" t="s">
        <v>68</v>
      </c>
      <c r="G368">
        <v>152</v>
      </c>
      <c r="H368">
        <v>86971</v>
      </c>
      <c r="I368">
        <v>57</v>
      </c>
      <c r="J368" s="2">
        <v>0.11388888888888889</v>
      </c>
      <c r="K368" t="s">
        <v>44</v>
      </c>
      <c r="L368" t="s">
        <v>27</v>
      </c>
      <c r="M368" t="s">
        <v>28</v>
      </c>
      <c r="N368" t="s">
        <v>50</v>
      </c>
      <c r="O368">
        <v>698</v>
      </c>
      <c r="P368">
        <v>1033</v>
      </c>
      <c r="Q368">
        <v>570</v>
      </c>
      <c r="R368">
        <v>2.2000000000000002</v>
      </c>
      <c r="S368" t="s">
        <v>40</v>
      </c>
      <c r="T368" t="s">
        <v>31</v>
      </c>
      <c r="U368" t="s">
        <v>52</v>
      </c>
      <c r="V368" t="s">
        <v>47</v>
      </c>
      <c r="W368">
        <v>2426</v>
      </c>
      <c r="X368" s="6" t="str">
        <f t="shared" si="57"/>
        <v>LOW</v>
      </c>
      <c r="Y368" s="8" t="str">
        <f t="shared" si="58"/>
        <v>Movie</v>
      </c>
      <c r="Z368" s="10" t="str">
        <f t="shared" si="59"/>
        <v>Sci-Fi</v>
      </c>
      <c r="AA368" s="8" t="str">
        <f t="shared" si="60"/>
        <v>NO</v>
      </c>
      <c r="AB368" s="6" t="str">
        <f t="shared" si="61"/>
        <v>NO</v>
      </c>
    </row>
    <row r="369" spans="1:28" x14ac:dyDescent="0.3">
      <c r="A369">
        <v>369</v>
      </c>
      <c r="B369" t="s">
        <v>54</v>
      </c>
      <c r="C369" t="s">
        <v>61</v>
      </c>
      <c r="D369" s="1">
        <v>45508</v>
      </c>
      <c r="E369" s="2">
        <v>0.47430555555555554</v>
      </c>
      <c r="F369" t="s">
        <v>26</v>
      </c>
      <c r="G369">
        <v>52</v>
      </c>
      <c r="H369">
        <v>22457</v>
      </c>
      <c r="I369">
        <v>27</v>
      </c>
      <c r="J369" s="2">
        <v>0.41805555555555557</v>
      </c>
      <c r="K369" t="s">
        <v>62</v>
      </c>
      <c r="L369" t="s">
        <v>49</v>
      </c>
      <c r="M369" t="s">
        <v>28</v>
      </c>
      <c r="N369" t="s">
        <v>59</v>
      </c>
      <c r="O369">
        <v>2721</v>
      </c>
      <c r="P369">
        <v>1109</v>
      </c>
      <c r="Q369">
        <v>490</v>
      </c>
      <c r="R369">
        <v>3</v>
      </c>
      <c r="S369" t="s">
        <v>40</v>
      </c>
      <c r="T369" t="s">
        <v>63</v>
      </c>
      <c r="U369" t="s">
        <v>70</v>
      </c>
      <c r="V369" t="s">
        <v>47</v>
      </c>
      <c r="W369">
        <v>3954</v>
      </c>
      <c r="X369" s="6" t="str">
        <f t="shared" si="57"/>
        <v>LOW</v>
      </c>
      <c r="Y369" s="8" t="str">
        <f t="shared" si="58"/>
        <v>Documentary</v>
      </c>
      <c r="Z369" s="10" t="str">
        <f t="shared" si="59"/>
        <v>History</v>
      </c>
      <c r="AA369" s="8" t="str">
        <f t="shared" si="60"/>
        <v>NO</v>
      </c>
      <c r="AB369" s="6" t="str">
        <f t="shared" si="61"/>
        <v>YES</v>
      </c>
    </row>
    <row r="370" spans="1:28" x14ac:dyDescent="0.3">
      <c r="A370">
        <v>370</v>
      </c>
      <c r="B370" t="s">
        <v>23</v>
      </c>
      <c r="C370" t="s">
        <v>48</v>
      </c>
      <c r="D370" s="1">
        <v>45531</v>
      </c>
      <c r="E370" s="2">
        <v>0.85972222222222228</v>
      </c>
      <c r="F370" t="s">
        <v>44</v>
      </c>
      <c r="G370">
        <v>97</v>
      </c>
      <c r="H370">
        <v>15095</v>
      </c>
      <c r="I370">
        <v>48</v>
      </c>
      <c r="J370" s="2">
        <v>0.24027777777777778</v>
      </c>
      <c r="K370" t="s">
        <v>26</v>
      </c>
      <c r="L370" t="s">
        <v>27</v>
      </c>
      <c r="M370" t="s">
        <v>28</v>
      </c>
      <c r="N370" t="s">
        <v>71</v>
      </c>
      <c r="O370">
        <v>2823</v>
      </c>
      <c r="P370">
        <v>41</v>
      </c>
      <c r="Q370">
        <v>904</v>
      </c>
      <c r="R370">
        <v>1.9</v>
      </c>
      <c r="S370" t="s">
        <v>30</v>
      </c>
      <c r="T370" t="s">
        <v>63</v>
      </c>
      <c r="U370" t="s">
        <v>66</v>
      </c>
      <c r="V370" t="s">
        <v>42</v>
      </c>
      <c r="W370">
        <v>5995</v>
      </c>
      <c r="X370" s="6" t="str">
        <f t="shared" si="57"/>
        <v>LOW</v>
      </c>
      <c r="Y370" s="8" t="str">
        <f t="shared" si="58"/>
        <v>Movie</v>
      </c>
      <c r="Z370" s="10" t="str">
        <f t="shared" si="59"/>
        <v>Romance</v>
      </c>
      <c r="AA370" s="8" t="str">
        <f t="shared" si="60"/>
        <v>NO</v>
      </c>
      <c r="AB370" s="6" t="str">
        <f t="shared" si="61"/>
        <v>NO</v>
      </c>
    </row>
    <row r="371" spans="1:28" x14ac:dyDescent="0.3">
      <c r="A371">
        <v>371</v>
      </c>
      <c r="B371" t="s">
        <v>34</v>
      </c>
      <c r="C371" t="s">
        <v>75</v>
      </c>
      <c r="D371" s="1">
        <v>45492</v>
      </c>
      <c r="E371" s="2">
        <v>0.42986111111111114</v>
      </c>
      <c r="F371" t="s">
        <v>25</v>
      </c>
      <c r="G371">
        <v>207</v>
      </c>
      <c r="H371">
        <v>33962</v>
      </c>
      <c r="I371">
        <v>103</v>
      </c>
      <c r="J371" s="2">
        <v>0.3576388888888889</v>
      </c>
      <c r="K371" t="s">
        <v>36</v>
      </c>
      <c r="L371" t="s">
        <v>37</v>
      </c>
      <c r="M371" t="s">
        <v>28</v>
      </c>
      <c r="N371" t="s">
        <v>65</v>
      </c>
      <c r="O371">
        <v>694</v>
      </c>
      <c r="P371">
        <v>1244</v>
      </c>
      <c r="Q371">
        <v>1257</v>
      </c>
      <c r="R371">
        <v>1.3</v>
      </c>
      <c r="S371" t="s">
        <v>51</v>
      </c>
      <c r="T371" t="s">
        <v>45</v>
      </c>
      <c r="U371" t="s">
        <v>41</v>
      </c>
      <c r="V371" t="s">
        <v>58</v>
      </c>
      <c r="W371">
        <v>18194</v>
      </c>
      <c r="X371" s="6" t="str">
        <f t="shared" si="57"/>
        <v>LOW</v>
      </c>
      <c r="Y371" s="8" t="str">
        <f t="shared" si="58"/>
        <v>Series</v>
      </c>
      <c r="Z371" s="10" t="str">
        <f t="shared" si="59"/>
        <v>Nature</v>
      </c>
      <c r="AA371" s="8" t="str">
        <f t="shared" si="60"/>
        <v>NO</v>
      </c>
      <c r="AB371" s="6" t="str">
        <f t="shared" si="61"/>
        <v>NO</v>
      </c>
    </row>
    <row r="372" spans="1:28" x14ac:dyDescent="0.3">
      <c r="A372">
        <v>372</v>
      </c>
      <c r="B372" t="s">
        <v>34</v>
      </c>
      <c r="C372" t="s">
        <v>35</v>
      </c>
      <c r="D372" s="1">
        <v>45475</v>
      </c>
      <c r="E372" s="2">
        <v>0.17222222222222222</v>
      </c>
      <c r="F372" t="s">
        <v>68</v>
      </c>
      <c r="G372">
        <v>369</v>
      </c>
      <c r="H372">
        <v>46557</v>
      </c>
      <c r="I372">
        <v>103</v>
      </c>
      <c r="J372" s="2">
        <v>0.26319444444444445</v>
      </c>
      <c r="K372" t="s">
        <v>44</v>
      </c>
      <c r="L372" t="s">
        <v>49</v>
      </c>
      <c r="M372" t="s">
        <v>38</v>
      </c>
      <c r="N372" t="s">
        <v>65</v>
      </c>
      <c r="O372">
        <v>1042</v>
      </c>
      <c r="P372">
        <v>1721</v>
      </c>
      <c r="Q372">
        <v>499</v>
      </c>
      <c r="R372">
        <v>2.4</v>
      </c>
      <c r="S372" t="s">
        <v>30</v>
      </c>
      <c r="T372" t="s">
        <v>31</v>
      </c>
      <c r="U372" t="s">
        <v>70</v>
      </c>
      <c r="V372" t="s">
        <v>58</v>
      </c>
      <c r="W372">
        <v>571</v>
      </c>
      <c r="X372" s="6" t="str">
        <f t="shared" ref="X372" si="66">IF(H372&gt;15000,"HIGH",IF(H372&gt;80000,"MEDIUM","LOW"))</f>
        <v>HIGH</v>
      </c>
      <c r="Y372" s="8" t="str">
        <f t="shared" si="58"/>
        <v>Series</v>
      </c>
      <c r="Z372" s="10" t="str">
        <f t="shared" si="59"/>
        <v>Comedy</v>
      </c>
      <c r="AA372" s="8" t="str">
        <f t="shared" si="60"/>
        <v>NO</v>
      </c>
      <c r="AB372" s="6" t="str">
        <f t="shared" si="61"/>
        <v>NO</v>
      </c>
    </row>
    <row r="373" spans="1:28" x14ac:dyDescent="0.3">
      <c r="A373">
        <v>373</v>
      </c>
      <c r="B373" t="s">
        <v>34</v>
      </c>
      <c r="C373" t="s">
        <v>61</v>
      </c>
      <c r="D373" s="1">
        <v>45508</v>
      </c>
      <c r="E373" s="2">
        <v>0.32222222222222224</v>
      </c>
      <c r="F373" t="s">
        <v>44</v>
      </c>
      <c r="G373">
        <v>853</v>
      </c>
      <c r="H373">
        <v>42553</v>
      </c>
      <c r="I373">
        <v>26</v>
      </c>
      <c r="J373" s="2">
        <v>0.10069444444444445</v>
      </c>
      <c r="K373" t="s">
        <v>26</v>
      </c>
      <c r="L373" t="s">
        <v>37</v>
      </c>
      <c r="M373" t="s">
        <v>38</v>
      </c>
      <c r="N373" t="s">
        <v>59</v>
      </c>
      <c r="O373">
        <v>1950</v>
      </c>
      <c r="P373">
        <v>413</v>
      </c>
      <c r="Q373">
        <v>1200</v>
      </c>
      <c r="R373">
        <v>3.3</v>
      </c>
      <c r="S373" t="s">
        <v>60</v>
      </c>
      <c r="T373" t="s">
        <v>63</v>
      </c>
      <c r="U373" t="s">
        <v>66</v>
      </c>
      <c r="V373" t="s">
        <v>53</v>
      </c>
      <c r="W373">
        <v>5549</v>
      </c>
      <c r="X373" s="6" t="str">
        <f t="shared" si="57"/>
        <v>LOW</v>
      </c>
      <c r="Y373" s="8" t="str">
        <f t="shared" si="58"/>
        <v>Series</v>
      </c>
      <c r="Z373" s="10" t="str">
        <f t="shared" si="59"/>
        <v>History</v>
      </c>
      <c r="AA373" s="8" t="str">
        <f t="shared" si="60"/>
        <v>NO</v>
      </c>
      <c r="AB373" s="6" t="str">
        <f t="shared" si="61"/>
        <v>YES</v>
      </c>
    </row>
    <row r="374" spans="1:28" x14ac:dyDescent="0.3">
      <c r="A374">
        <v>374</v>
      </c>
      <c r="B374" t="s">
        <v>23</v>
      </c>
      <c r="C374" t="s">
        <v>43</v>
      </c>
      <c r="D374" s="1">
        <v>45534</v>
      </c>
      <c r="E374" s="2">
        <v>0.40625</v>
      </c>
      <c r="F374" t="s">
        <v>68</v>
      </c>
      <c r="G374">
        <v>136</v>
      </c>
      <c r="H374">
        <v>5127</v>
      </c>
      <c r="I374">
        <v>40</v>
      </c>
      <c r="J374" s="2">
        <v>0.19652777777777777</v>
      </c>
      <c r="K374" t="s">
        <v>36</v>
      </c>
      <c r="L374" t="s">
        <v>49</v>
      </c>
      <c r="M374" t="s">
        <v>38</v>
      </c>
      <c r="N374" t="s">
        <v>65</v>
      </c>
      <c r="O374">
        <v>1320</v>
      </c>
      <c r="P374">
        <v>104</v>
      </c>
      <c r="Q374">
        <v>1275</v>
      </c>
      <c r="R374">
        <v>2.9</v>
      </c>
      <c r="S374" t="s">
        <v>40</v>
      </c>
      <c r="T374" t="s">
        <v>63</v>
      </c>
      <c r="U374" t="s">
        <v>66</v>
      </c>
      <c r="V374" t="s">
        <v>58</v>
      </c>
      <c r="W374">
        <v>10637</v>
      </c>
      <c r="X374" s="6" t="str">
        <f t="shared" si="57"/>
        <v>LOW</v>
      </c>
      <c r="Y374" s="8" t="str">
        <f t="shared" si="58"/>
        <v>Movie</v>
      </c>
      <c r="Z374" s="10" t="str">
        <f t="shared" si="59"/>
        <v>Sci-Fi</v>
      </c>
      <c r="AA374" s="8" t="str">
        <f t="shared" si="60"/>
        <v>NO</v>
      </c>
      <c r="AB374" s="6" t="str">
        <f t="shared" si="61"/>
        <v>YES</v>
      </c>
    </row>
    <row r="375" spans="1:28" x14ac:dyDescent="0.3">
      <c r="A375">
        <v>375</v>
      </c>
      <c r="B375" t="s">
        <v>34</v>
      </c>
      <c r="C375" t="s">
        <v>48</v>
      </c>
      <c r="D375" s="1">
        <v>45503</v>
      </c>
      <c r="E375" s="2">
        <v>0.25624999999999998</v>
      </c>
      <c r="F375" t="s">
        <v>36</v>
      </c>
      <c r="G375">
        <v>585</v>
      </c>
      <c r="H375">
        <v>92544</v>
      </c>
      <c r="I375">
        <v>85</v>
      </c>
      <c r="J375" s="2">
        <v>0.72916666666666663</v>
      </c>
      <c r="K375" t="s">
        <v>36</v>
      </c>
      <c r="L375" t="s">
        <v>49</v>
      </c>
      <c r="M375" t="s">
        <v>38</v>
      </c>
      <c r="N375" t="s">
        <v>71</v>
      </c>
      <c r="O375">
        <v>1123</v>
      </c>
      <c r="P375">
        <v>1632</v>
      </c>
      <c r="Q375">
        <v>1498</v>
      </c>
      <c r="R375">
        <v>1.1000000000000001</v>
      </c>
      <c r="S375" t="s">
        <v>40</v>
      </c>
      <c r="T375" t="s">
        <v>45</v>
      </c>
      <c r="U375" t="s">
        <v>52</v>
      </c>
      <c r="V375" t="s">
        <v>47</v>
      </c>
      <c r="W375">
        <v>11381</v>
      </c>
      <c r="X375" s="6" t="str">
        <f t="shared" si="57"/>
        <v>LOW</v>
      </c>
      <c r="Y375" s="8" t="str">
        <f t="shared" si="58"/>
        <v>Series</v>
      </c>
      <c r="Z375" s="10" t="str">
        <f t="shared" si="59"/>
        <v>Romance</v>
      </c>
      <c r="AA375" s="8" t="str">
        <f t="shared" si="60"/>
        <v>NO</v>
      </c>
      <c r="AB375" s="6" t="str">
        <f t="shared" si="61"/>
        <v>NO</v>
      </c>
    </row>
    <row r="376" spans="1:28" x14ac:dyDescent="0.3">
      <c r="A376">
        <v>376</v>
      </c>
      <c r="B376" t="s">
        <v>54</v>
      </c>
      <c r="C376" t="s">
        <v>64</v>
      </c>
      <c r="D376" s="1">
        <v>45542</v>
      </c>
      <c r="E376" s="2">
        <v>0.92500000000000004</v>
      </c>
      <c r="F376" t="s">
        <v>36</v>
      </c>
      <c r="G376">
        <v>88</v>
      </c>
      <c r="H376">
        <v>33129</v>
      </c>
      <c r="I376">
        <v>40</v>
      </c>
      <c r="J376" s="2">
        <v>0.4284722222222222</v>
      </c>
      <c r="K376" t="s">
        <v>44</v>
      </c>
      <c r="L376" t="s">
        <v>37</v>
      </c>
      <c r="M376" t="s">
        <v>28</v>
      </c>
      <c r="N376" t="s">
        <v>59</v>
      </c>
      <c r="O376">
        <v>336</v>
      </c>
      <c r="P376">
        <v>1958</v>
      </c>
      <c r="Q376">
        <v>432</v>
      </c>
      <c r="R376">
        <v>2</v>
      </c>
      <c r="S376" t="s">
        <v>30</v>
      </c>
      <c r="T376" t="s">
        <v>45</v>
      </c>
      <c r="U376" t="s">
        <v>41</v>
      </c>
      <c r="V376" t="s">
        <v>67</v>
      </c>
      <c r="W376">
        <v>1549</v>
      </c>
      <c r="X376" s="6" t="str">
        <f t="shared" si="57"/>
        <v>LOW</v>
      </c>
      <c r="Y376" s="8" t="str">
        <f t="shared" si="58"/>
        <v>Documentary</v>
      </c>
      <c r="Z376" s="10" t="str">
        <f t="shared" si="59"/>
        <v>Drama</v>
      </c>
      <c r="AA376" s="8" t="str">
        <f t="shared" si="60"/>
        <v>NO</v>
      </c>
      <c r="AB376" s="6" t="str">
        <f t="shared" si="61"/>
        <v>NO</v>
      </c>
    </row>
    <row r="377" spans="1:28" x14ac:dyDescent="0.3">
      <c r="A377">
        <v>377</v>
      </c>
      <c r="B377" t="s">
        <v>54</v>
      </c>
      <c r="C377" t="s">
        <v>72</v>
      </c>
      <c r="D377" s="1">
        <v>45506</v>
      </c>
      <c r="E377" s="2">
        <v>0.41180555555555554</v>
      </c>
      <c r="F377" t="s">
        <v>73</v>
      </c>
      <c r="G377">
        <v>89</v>
      </c>
      <c r="H377">
        <v>29095</v>
      </c>
      <c r="I377">
        <v>45</v>
      </c>
      <c r="J377" s="2">
        <v>0.57499999999999996</v>
      </c>
      <c r="K377" t="s">
        <v>62</v>
      </c>
      <c r="L377" t="s">
        <v>56</v>
      </c>
      <c r="M377" t="s">
        <v>28</v>
      </c>
      <c r="N377" t="s">
        <v>59</v>
      </c>
      <c r="O377">
        <v>1348</v>
      </c>
      <c r="P377">
        <v>513</v>
      </c>
      <c r="Q377">
        <v>920</v>
      </c>
      <c r="R377">
        <v>3</v>
      </c>
      <c r="S377" t="s">
        <v>40</v>
      </c>
      <c r="T377" t="s">
        <v>63</v>
      </c>
      <c r="U377" t="s">
        <v>57</v>
      </c>
      <c r="V377" t="s">
        <v>53</v>
      </c>
      <c r="W377">
        <v>2550</v>
      </c>
      <c r="X377" s="6" t="str">
        <f t="shared" si="57"/>
        <v>LOW</v>
      </c>
      <c r="Y377" s="8" t="str">
        <f t="shared" si="58"/>
        <v>Documentary</v>
      </c>
      <c r="Z377" s="10" t="str">
        <f t="shared" si="59"/>
        <v>Action</v>
      </c>
      <c r="AA377" s="8" t="str">
        <f t="shared" si="60"/>
        <v>NO</v>
      </c>
      <c r="AB377" s="6" t="str">
        <f t="shared" si="61"/>
        <v>YES</v>
      </c>
    </row>
    <row r="378" spans="1:28" x14ac:dyDescent="0.3">
      <c r="A378">
        <v>378</v>
      </c>
      <c r="B378" t="s">
        <v>23</v>
      </c>
      <c r="C378" t="s">
        <v>64</v>
      </c>
      <c r="D378" s="1">
        <v>45526</v>
      </c>
      <c r="E378" s="2">
        <v>0.36388888888888887</v>
      </c>
      <c r="F378" t="s">
        <v>26</v>
      </c>
      <c r="G378">
        <v>148</v>
      </c>
      <c r="H378">
        <v>15496</v>
      </c>
      <c r="I378">
        <v>78</v>
      </c>
      <c r="J378" s="2">
        <v>0.98958333333333337</v>
      </c>
      <c r="K378" t="s">
        <v>26</v>
      </c>
      <c r="L378" t="s">
        <v>27</v>
      </c>
      <c r="M378" t="s">
        <v>38</v>
      </c>
      <c r="N378" t="s">
        <v>76</v>
      </c>
      <c r="O378">
        <v>2432</v>
      </c>
      <c r="P378">
        <v>1993</v>
      </c>
      <c r="Q378">
        <v>39</v>
      </c>
      <c r="R378">
        <v>4.8</v>
      </c>
      <c r="S378" t="s">
        <v>60</v>
      </c>
      <c r="T378" t="s">
        <v>63</v>
      </c>
      <c r="U378" t="s">
        <v>46</v>
      </c>
      <c r="V378" t="s">
        <v>47</v>
      </c>
      <c r="W378">
        <v>10104</v>
      </c>
      <c r="X378" s="6" t="str">
        <f t="shared" si="57"/>
        <v>LOW</v>
      </c>
      <c r="Y378" s="8" t="str">
        <f t="shared" si="58"/>
        <v>Movie</v>
      </c>
      <c r="Z378" s="10" t="str">
        <f t="shared" si="59"/>
        <v>Drama</v>
      </c>
      <c r="AA378" s="8" t="str">
        <f t="shared" si="60"/>
        <v>NO</v>
      </c>
      <c r="AB378" s="6" t="str">
        <f t="shared" si="61"/>
        <v>YES</v>
      </c>
    </row>
    <row r="379" spans="1:28" x14ac:dyDescent="0.3">
      <c r="A379">
        <v>379</v>
      </c>
      <c r="B379" t="s">
        <v>23</v>
      </c>
      <c r="C379" t="s">
        <v>64</v>
      </c>
      <c r="D379" s="1">
        <v>45546</v>
      </c>
      <c r="E379" s="2">
        <v>0.57708333333333328</v>
      </c>
      <c r="F379" t="s">
        <v>73</v>
      </c>
      <c r="G379">
        <v>121</v>
      </c>
      <c r="H379">
        <v>29655</v>
      </c>
      <c r="I379">
        <v>78</v>
      </c>
      <c r="J379" s="2">
        <v>0.51666666666666672</v>
      </c>
      <c r="K379" t="s">
        <v>36</v>
      </c>
      <c r="L379" t="s">
        <v>27</v>
      </c>
      <c r="M379" t="s">
        <v>28</v>
      </c>
      <c r="N379" t="s">
        <v>39</v>
      </c>
      <c r="O379">
        <v>2725</v>
      </c>
      <c r="P379">
        <v>428</v>
      </c>
      <c r="Q379">
        <v>128</v>
      </c>
      <c r="R379">
        <v>3.8</v>
      </c>
      <c r="S379" t="s">
        <v>51</v>
      </c>
      <c r="T379" t="s">
        <v>63</v>
      </c>
      <c r="U379" t="s">
        <v>66</v>
      </c>
      <c r="V379" t="s">
        <v>67</v>
      </c>
      <c r="W379">
        <v>4239</v>
      </c>
      <c r="X379" s="6" t="str">
        <f t="shared" si="57"/>
        <v>LOW</v>
      </c>
      <c r="Y379" s="8" t="str">
        <f t="shared" si="58"/>
        <v>Movie</v>
      </c>
      <c r="Z379" s="10" t="str">
        <f t="shared" si="59"/>
        <v>Drama</v>
      </c>
      <c r="AA379" s="8" t="str">
        <f t="shared" si="60"/>
        <v>NO</v>
      </c>
      <c r="AB379" s="6" t="str">
        <f t="shared" si="61"/>
        <v>YES</v>
      </c>
    </row>
    <row r="380" spans="1:28" x14ac:dyDescent="0.3">
      <c r="A380">
        <v>380</v>
      </c>
      <c r="B380" t="s">
        <v>34</v>
      </c>
      <c r="C380" t="s">
        <v>24</v>
      </c>
      <c r="D380" s="1">
        <v>45523</v>
      </c>
      <c r="E380" s="2">
        <v>0.67222222222222228</v>
      </c>
      <c r="F380" t="s">
        <v>68</v>
      </c>
      <c r="G380">
        <v>1201</v>
      </c>
      <c r="H380">
        <v>78262</v>
      </c>
      <c r="I380">
        <v>28</v>
      </c>
      <c r="J380" s="2">
        <v>0.31666666666666665</v>
      </c>
      <c r="K380" t="s">
        <v>44</v>
      </c>
      <c r="L380" t="s">
        <v>27</v>
      </c>
      <c r="M380" t="s">
        <v>38</v>
      </c>
      <c r="N380" t="s">
        <v>76</v>
      </c>
      <c r="O380">
        <v>2602</v>
      </c>
      <c r="P380">
        <v>861</v>
      </c>
      <c r="Q380">
        <v>165</v>
      </c>
      <c r="R380">
        <v>2.2000000000000002</v>
      </c>
      <c r="S380" t="s">
        <v>40</v>
      </c>
      <c r="T380" t="s">
        <v>63</v>
      </c>
      <c r="U380" t="s">
        <v>32</v>
      </c>
      <c r="V380" t="s">
        <v>53</v>
      </c>
      <c r="W380">
        <v>18209</v>
      </c>
      <c r="X380" s="6" t="str">
        <f t="shared" si="57"/>
        <v>LOW</v>
      </c>
      <c r="Y380" s="8" t="str">
        <f t="shared" si="58"/>
        <v>Series</v>
      </c>
      <c r="Z380" s="10" t="str">
        <f t="shared" si="59"/>
        <v>Thriller</v>
      </c>
      <c r="AA380" s="8" t="str">
        <f t="shared" si="60"/>
        <v>NO</v>
      </c>
      <c r="AB380" s="6" t="str">
        <f t="shared" si="61"/>
        <v>NO</v>
      </c>
    </row>
    <row r="381" spans="1:28" x14ac:dyDescent="0.3">
      <c r="A381">
        <v>381</v>
      </c>
      <c r="B381" t="s">
        <v>23</v>
      </c>
      <c r="C381" t="s">
        <v>72</v>
      </c>
      <c r="D381" s="1">
        <v>45526</v>
      </c>
      <c r="E381" s="2">
        <v>0.6166666666666667</v>
      </c>
      <c r="F381" t="s">
        <v>36</v>
      </c>
      <c r="G381">
        <v>197</v>
      </c>
      <c r="H381">
        <v>67714</v>
      </c>
      <c r="I381">
        <v>131</v>
      </c>
      <c r="J381" s="2">
        <v>0.49930555555555556</v>
      </c>
      <c r="K381" t="s">
        <v>26</v>
      </c>
      <c r="L381" t="s">
        <v>49</v>
      </c>
      <c r="M381" t="s">
        <v>28</v>
      </c>
      <c r="N381" t="s">
        <v>71</v>
      </c>
      <c r="O381">
        <v>74</v>
      </c>
      <c r="P381">
        <v>971</v>
      </c>
      <c r="Q381">
        <v>1232</v>
      </c>
      <c r="R381">
        <v>2</v>
      </c>
      <c r="S381" t="s">
        <v>51</v>
      </c>
      <c r="T381" t="s">
        <v>45</v>
      </c>
      <c r="U381" t="s">
        <v>66</v>
      </c>
      <c r="V381" t="s">
        <v>58</v>
      </c>
      <c r="W381">
        <v>1926</v>
      </c>
      <c r="X381" s="6" t="str">
        <f t="shared" si="57"/>
        <v>LOW</v>
      </c>
      <c r="Y381" s="8" t="str">
        <f t="shared" si="58"/>
        <v>Movie</v>
      </c>
      <c r="Z381" s="10" t="str">
        <f t="shared" si="59"/>
        <v>Action</v>
      </c>
      <c r="AA381" s="8" t="str">
        <f t="shared" si="60"/>
        <v>NO</v>
      </c>
      <c r="AB381" s="6" t="str">
        <f t="shared" si="61"/>
        <v>NO</v>
      </c>
    </row>
    <row r="382" spans="1:28" x14ac:dyDescent="0.3">
      <c r="A382">
        <v>382</v>
      </c>
      <c r="B382" t="s">
        <v>34</v>
      </c>
      <c r="C382" t="s">
        <v>48</v>
      </c>
      <c r="D382" s="1">
        <v>45475</v>
      </c>
      <c r="E382" s="2">
        <v>0.97291666666666665</v>
      </c>
      <c r="F382" t="s">
        <v>68</v>
      </c>
      <c r="G382">
        <v>594</v>
      </c>
      <c r="H382">
        <v>36960</v>
      </c>
      <c r="I382">
        <v>94</v>
      </c>
      <c r="J382" s="2">
        <v>0.64861111111111114</v>
      </c>
      <c r="K382" t="s">
        <v>36</v>
      </c>
      <c r="L382" t="s">
        <v>49</v>
      </c>
      <c r="M382" t="s">
        <v>38</v>
      </c>
      <c r="N382" t="s">
        <v>39</v>
      </c>
      <c r="O382">
        <v>343</v>
      </c>
      <c r="P382">
        <v>871</v>
      </c>
      <c r="Q382">
        <v>154</v>
      </c>
      <c r="R382">
        <v>4.4000000000000004</v>
      </c>
      <c r="S382" t="s">
        <v>60</v>
      </c>
      <c r="T382" t="s">
        <v>63</v>
      </c>
      <c r="U382" t="s">
        <v>46</v>
      </c>
      <c r="V382" t="s">
        <v>47</v>
      </c>
      <c r="W382">
        <v>12093</v>
      </c>
      <c r="X382" s="6" t="str">
        <f t="shared" ref="X382" si="67">IF(H382&gt;15000,"HIGH",IF(H382&gt;80000,"MEDIUM","LOW"))</f>
        <v>HIGH</v>
      </c>
      <c r="Y382" s="8" t="str">
        <f t="shared" si="58"/>
        <v>Series</v>
      </c>
      <c r="Z382" s="10" t="str">
        <f t="shared" si="59"/>
        <v>Romance</v>
      </c>
      <c r="AA382" s="8" t="str">
        <f t="shared" si="60"/>
        <v>NO</v>
      </c>
      <c r="AB382" s="6" t="str">
        <f t="shared" si="61"/>
        <v>YES</v>
      </c>
    </row>
    <row r="383" spans="1:28" x14ac:dyDescent="0.3">
      <c r="A383">
        <v>383</v>
      </c>
      <c r="B383" t="s">
        <v>34</v>
      </c>
      <c r="C383" t="s">
        <v>43</v>
      </c>
      <c r="D383" s="1">
        <v>45530</v>
      </c>
      <c r="E383" s="2">
        <v>0.95763888888888893</v>
      </c>
      <c r="F383" t="s">
        <v>73</v>
      </c>
      <c r="G383">
        <v>215</v>
      </c>
      <c r="H383">
        <v>33341</v>
      </c>
      <c r="I383">
        <v>84</v>
      </c>
      <c r="J383" s="2">
        <v>0.49236111111111114</v>
      </c>
      <c r="K383" t="s">
        <v>44</v>
      </c>
      <c r="L383" t="s">
        <v>27</v>
      </c>
      <c r="M383" t="s">
        <v>28</v>
      </c>
      <c r="N383" t="s">
        <v>50</v>
      </c>
      <c r="O383">
        <v>733</v>
      </c>
      <c r="P383">
        <v>1349</v>
      </c>
      <c r="Q383">
        <v>463</v>
      </c>
      <c r="R383">
        <v>3.6</v>
      </c>
      <c r="S383" t="s">
        <v>51</v>
      </c>
      <c r="T383" t="s">
        <v>31</v>
      </c>
      <c r="U383" t="s">
        <v>57</v>
      </c>
      <c r="V383" t="s">
        <v>53</v>
      </c>
      <c r="W383">
        <v>14202</v>
      </c>
      <c r="X383" s="6" t="str">
        <f t="shared" si="57"/>
        <v>LOW</v>
      </c>
      <c r="Y383" s="8" t="str">
        <f t="shared" si="58"/>
        <v>Series</v>
      </c>
      <c r="Z383" s="10" t="str">
        <f t="shared" si="59"/>
        <v>Sci-Fi</v>
      </c>
      <c r="AA383" s="8" t="str">
        <f t="shared" si="60"/>
        <v>NO</v>
      </c>
      <c r="AB383" s="6" t="str">
        <f t="shared" si="61"/>
        <v>YES</v>
      </c>
    </row>
    <row r="384" spans="1:28" x14ac:dyDescent="0.3">
      <c r="A384">
        <v>384</v>
      </c>
      <c r="B384" t="s">
        <v>34</v>
      </c>
      <c r="C384" t="s">
        <v>35</v>
      </c>
      <c r="D384" s="1">
        <v>45533</v>
      </c>
      <c r="E384" s="2">
        <v>0.2638888888888889</v>
      </c>
      <c r="F384" t="s">
        <v>44</v>
      </c>
      <c r="G384">
        <v>1154</v>
      </c>
      <c r="H384">
        <v>67661</v>
      </c>
      <c r="I384">
        <v>41</v>
      </c>
      <c r="J384" s="2">
        <v>0.34444444444444444</v>
      </c>
      <c r="K384" t="s">
        <v>26</v>
      </c>
      <c r="L384" t="s">
        <v>49</v>
      </c>
      <c r="M384" t="s">
        <v>38</v>
      </c>
      <c r="N384" t="s">
        <v>50</v>
      </c>
      <c r="O384">
        <v>899</v>
      </c>
      <c r="P384">
        <v>1105</v>
      </c>
      <c r="Q384">
        <v>567</v>
      </c>
      <c r="R384">
        <v>2.6</v>
      </c>
      <c r="S384" t="s">
        <v>60</v>
      </c>
      <c r="T384" t="s">
        <v>63</v>
      </c>
      <c r="U384" t="s">
        <v>70</v>
      </c>
      <c r="V384" t="s">
        <v>58</v>
      </c>
      <c r="W384">
        <v>5639</v>
      </c>
      <c r="X384" s="6" t="str">
        <f t="shared" si="57"/>
        <v>LOW</v>
      </c>
      <c r="Y384" s="8" t="str">
        <f t="shared" si="58"/>
        <v>Series</v>
      </c>
      <c r="Z384" s="10" t="str">
        <f t="shared" si="59"/>
        <v>Comedy</v>
      </c>
      <c r="AA384" s="8" t="str">
        <f t="shared" si="60"/>
        <v>NO</v>
      </c>
      <c r="AB384" s="6" t="str">
        <f t="shared" si="61"/>
        <v>NO</v>
      </c>
    </row>
    <row r="385" spans="1:28" x14ac:dyDescent="0.3">
      <c r="A385">
        <v>385</v>
      </c>
      <c r="B385" t="s">
        <v>23</v>
      </c>
      <c r="C385" t="s">
        <v>24</v>
      </c>
      <c r="D385" s="1">
        <v>45520</v>
      </c>
      <c r="E385" s="2">
        <v>0.78749999999999998</v>
      </c>
      <c r="F385" t="s">
        <v>68</v>
      </c>
      <c r="G385">
        <v>198</v>
      </c>
      <c r="H385">
        <v>92886</v>
      </c>
      <c r="I385">
        <v>52</v>
      </c>
      <c r="J385" s="2">
        <v>0.4375</v>
      </c>
      <c r="K385" t="s">
        <v>36</v>
      </c>
      <c r="L385" t="s">
        <v>49</v>
      </c>
      <c r="M385" t="s">
        <v>28</v>
      </c>
      <c r="N385" t="s">
        <v>71</v>
      </c>
      <c r="O385">
        <v>1662</v>
      </c>
      <c r="P385">
        <v>1989</v>
      </c>
      <c r="Q385">
        <v>257</v>
      </c>
      <c r="R385">
        <v>4.7</v>
      </c>
      <c r="S385" t="s">
        <v>30</v>
      </c>
      <c r="T385" t="s">
        <v>45</v>
      </c>
      <c r="U385" t="s">
        <v>32</v>
      </c>
      <c r="V385" t="s">
        <v>47</v>
      </c>
      <c r="W385">
        <v>3347</v>
      </c>
      <c r="X385" s="6" t="str">
        <f t="shared" si="57"/>
        <v>LOW</v>
      </c>
      <c r="Y385" s="8" t="str">
        <f t="shared" si="58"/>
        <v>Movie</v>
      </c>
      <c r="Z385" s="10" t="str">
        <f t="shared" si="59"/>
        <v>Thriller</v>
      </c>
      <c r="AA385" s="8" t="str">
        <f t="shared" si="60"/>
        <v>NO</v>
      </c>
      <c r="AB385" s="6" t="str">
        <f t="shared" si="61"/>
        <v>YES</v>
      </c>
    </row>
    <row r="386" spans="1:28" x14ac:dyDescent="0.3">
      <c r="A386">
        <v>386</v>
      </c>
      <c r="B386" t="s">
        <v>54</v>
      </c>
      <c r="C386" t="s">
        <v>43</v>
      </c>
      <c r="D386" s="1">
        <v>45548</v>
      </c>
      <c r="E386" s="2">
        <v>0.70347222222222228</v>
      </c>
      <c r="F386" t="s">
        <v>73</v>
      </c>
      <c r="G386">
        <v>81</v>
      </c>
      <c r="H386">
        <v>39223</v>
      </c>
      <c r="I386">
        <v>39</v>
      </c>
      <c r="J386" s="2">
        <v>1.3194444444444444E-2</v>
      </c>
      <c r="K386" t="s">
        <v>36</v>
      </c>
      <c r="L386" t="s">
        <v>56</v>
      </c>
      <c r="M386" t="s">
        <v>38</v>
      </c>
      <c r="N386" t="s">
        <v>59</v>
      </c>
      <c r="O386">
        <v>1675</v>
      </c>
      <c r="P386">
        <v>1589</v>
      </c>
      <c r="Q386">
        <v>900</v>
      </c>
      <c r="R386">
        <v>3</v>
      </c>
      <c r="S386" t="s">
        <v>40</v>
      </c>
      <c r="T386" t="s">
        <v>31</v>
      </c>
      <c r="U386" t="s">
        <v>41</v>
      </c>
      <c r="V386" t="s">
        <v>58</v>
      </c>
      <c r="W386">
        <v>8002</v>
      </c>
      <c r="X386" s="6" t="str">
        <f t="shared" si="57"/>
        <v>LOW</v>
      </c>
      <c r="Y386" s="8" t="str">
        <f t="shared" si="58"/>
        <v>Documentary</v>
      </c>
      <c r="Z386" s="10" t="str">
        <f t="shared" si="59"/>
        <v>Sci-Fi</v>
      </c>
      <c r="AA386" s="8" t="str">
        <f t="shared" si="60"/>
        <v>NO</v>
      </c>
      <c r="AB386" s="6" t="str">
        <f t="shared" si="61"/>
        <v>YES</v>
      </c>
    </row>
    <row r="387" spans="1:28" x14ac:dyDescent="0.3">
      <c r="A387">
        <v>387</v>
      </c>
      <c r="B387" t="s">
        <v>34</v>
      </c>
      <c r="C387" t="s">
        <v>72</v>
      </c>
      <c r="D387" s="1">
        <v>45488</v>
      </c>
      <c r="E387" s="2">
        <v>0.55277777777777781</v>
      </c>
      <c r="F387" t="s">
        <v>36</v>
      </c>
      <c r="G387">
        <v>1019</v>
      </c>
      <c r="H387">
        <v>5074</v>
      </c>
      <c r="I387">
        <v>85</v>
      </c>
      <c r="J387" s="2">
        <v>0.41388888888888886</v>
      </c>
      <c r="K387" t="s">
        <v>44</v>
      </c>
      <c r="L387" t="s">
        <v>27</v>
      </c>
      <c r="M387" t="s">
        <v>28</v>
      </c>
      <c r="N387" t="s">
        <v>76</v>
      </c>
      <c r="O387">
        <v>649</v>
      </c>
      <c r="P387">
        <v>271</v>
      </c>
      <c r="Q387">
        <v>1212</v>
      </c>
      <c r="R387">
        <v>1.2</v>
      </c>
      <c r="S387" t="s">
        <v>60</v>
      </c>
      <c r="T387" t="s">
        <v>45</v>
      </c>
      <c r="U387" t="s">
        <v>46</v>
      </c>
      <c r="V387" t="s">
        <v>67</v>
      </c>
      <c r="W387">
        <v>708</v>
      </c>
      <c r="X387" s="6" t="str">
        <f t="shared" ref="X387:X450" si="68">IF(H387&gt;100000,"HIGH","LOW")</f>
        <v>LOW</v>
      </c>
      <c r="Y387" s="8" t="str">
        <f t="shared" ref="Y387:Y450" si="69">VLOOKUP(A387,A:B,2,FALSE)</f>
        <v>Series</v>
      </c>
      <c r="Z387" s="10" t="str">
        <f t="shared" ref="Z387:Z450" si="70">INDEX(C:C,MATCH(A387,A:A,0))</f>
        <v>Action</v>
      </c>
      <c r="AA387" s="8" t="str">
        <f t="shared" ref="AA387:AA450" si="71">IF(AND(H387&gt;1000,V387="YES"),"YES","NO")</f>
        <v>NO</v>
      </c>
      <c r="AB387" s="6" t="str">
        <f t="shared" ref="AB387:AB450" si="72">IF(R387&gt;AVERAGE(R:R),"YES","NO")</f>
        <v>NO</v>
      </c>
    </row>
    <row r="388" spans="1:28" x14ac:dyDescent="0.3">
      <c r="A388">
        <v>388</v>
      </c>
      <c r="B388" t="s">
        <v>34</v>
      </c>
      <c r="C388" t="s">
        <v>72</v>
      </c>
      <c r="D388" s="1">
        <v>45530</v>
      </c>
      <c r="E388" s="2">
        <v>0.73263888888888884</v>
      </c>
      <c r="F388" t="s">
        <v>73</v>
      </c>
      <c r="G388">
        <v>808</v>
      </c>
      <c r="H388">
        <v>61318</v>
      </c>
      <c r="I388">
        <v>47</v>
      </c>
      <c r="J388" s="2">
        <v>0.60763888888888884</v>
      </c>
      <c r="K388" t="s">
        <v>62</v>
      </c>
      <c r="L388" t="s">
        <v>56</v>
      </c>
      <c r="M388" t="s">
        <v>38</v>
      </c>
      <c r="N388" t="s">
        <v>50</v>
      </c>
      <c r="O388">
        <v>2966</v>
      </c>
      <c r="P388">
        <v>1320</v>
      </c>
      <c r="Q388">
        <v>257</v>
      </c>
      <c r="R388">
        <v>1</v>
      </c>
      <c r="S388" t="s">
        <v>40</v>
      </c>
      <c r="T388" t="s">
        <v>63</v>
      </c>
      <c r="U388" t="s">
        <v>74</v>
      </c>
      <c r="V388" t="s">
        <v>42</v>
      </c>
      <c r="W388">
        <v>18859</v>
      </c>
      <c r="X388" s="6" t="str">
        <f t="shared" si="68"/>
        <v>LOW</v>
      </c>
      <c r="Y388" s="8" t="str">
        <f t="shared" si="69"/>
        <v>Series</v>
      </c>
      <c r="Z388" s="10" t="str">
        <f t="shared" si="70"/>
        <v>Action</v>
      </c>
      <c r="AA388" s="8" t="str">
        <f t="shared" si="71"/>
        <v>NO</v>
      </c>
      <c r="AB388" s="6" t="str">
        <f t="shared" si="72"/>
        <v>NO</v>
      </c>
    </row>
    <row r="389" spans="1:28" x14ac:dyDescent="0.3">
      <c r="A389">
        <v>389</v>
      </c>
      <c r="B389" t="s">
        <v>54</v>
      </c>
      <c r="C389" t="s">
        <v>64</v>
      </c>
      <c r="D389" s="1">
        <v>45494</v>
      </c>
      <c r="E389" s="2">
        <v>3.7499999999999999E-2</v>
      </c>
      <c r="F389" t="s">
        <v>73</v>
      </c>
      <c r="G389">
        <v>71</v>
      </c>
      <c r="H389">
        <v>88514</v>
      </c>
      <c r="I389">
        <v>32</v>
      </c>
      <c r="J389" s="2">
        <v>4.8611111111111112E-3</v>
      </c>
      <c r="K389" t="s">
        <v>26</v>
      </c>
      <c r="L389" t="s">
        <v>27</v>
      </c>
      <c r="M389" t="s">
        <v>38</v>
      </c>
      <c r="N389" t="s">
        <v>29</v>
      </c>
      <c r="O389">
        <v>2476</v>
      </c>
      <c r="P389">
        <v>1968</v>
      </c>
      <c r="Q389">
        <v>1073</v>
      </c>
      <c r="R389">
        <v>3</v>
      </c>
      <c r="S389" t="s">
        <v>51</v>
      </c>
      <c r="T389" t="s">
        <v>45</v>
      </c>
      <c r="U389" t="s">
        <v>46</v>
      </c>
      <c r="V389" t="s">
        <v>33</v>
      </c>
      <c r="W389">
        <v>13427</v>
      </c>
      <c r="X389" s="6" t="str">
        <f t="shared" si="68"/>
        <v>LOW</v>
      </c>
      <c r="Y389" s="8" t="str">
        <f t="shared" si="69"/>
        <v>Documentary</v>
      </c>
      <c r="Z389" s="10" t="str">
        <f t="shared" si="70"/>
        <v>Drama</v>
      </c>
      <c r="AA389" s="8" t="str">
        <f t="shared" si="71"/>
        <v>NO</v>
      </c>
      <c r="AB389" s="6" t="str">
        <f t="shared" si="72"/>
        <v>YES</v>
      </c>
    </row>
    <row r="390" spans="1:28" x14ac:dyDescent="0.3">
      <c r="A390">
        <v>390</v>
      </c>
      <c r="B390" t="s">
        <v>23</v>
      </c>
      <c r="C390" t="s">
        <v>55</v>
      </c>
      <c r="D390" s="1">
        <v>45484</v>
      </c>
      <c r="E390" s="2">
        <v>0.5083333333333333</v>
      </c>
      <c r="F390" t="s">
        <v>36</v>
      </c>
      <c r="G390">
        <v>90</v>
      </c>
      <c r="H390">
        <v>67700</v>
      </c>
      <c r="I390">
        <v>50</v>
      </c>
      <c r="J390" s="2">
        <v>0.47430555555555554</v>
      </c>
      <c r="K390" t="s">
        <v>36</v>
      </c>
      <c r="L390" t="s">
        <v>56</v>
      </c>
      <c r="M390" t="s">
        <v>28</v>
      </c>
      <c r="N390" t="s">
        <v>65</v>
      </c>
      <c r="O390">
        <v>1965</v>
      </c>
      <c r="P390">
        <v>466</v>
      </c>
      <c r="Q390">
        <v>1061</v>
      </c>
      <c r="R390">
        <v>1</v>
      </c>
      <c r="S390" t="s">
        <v>30</v>
      </c>
      <c r="T390" t="s">
        <v>45</v>
      </c>
      <c r="U390" t="s">
        <v>41</v>
      </c>
      <c r="V390" t="s">
        <v>53</v>
      </c>
      <c r="W390">
        <v>13220</v>
      </c>
      <c r="X390" s="6" t="str">
        <f t="shared" si="68"/>
        <v>LOW</v>
      </c>
      <c r="Y390" s="8" t="str">
        <f t="shared" si="69"/>
        <v>Movie</v>
      </c>
      <c r="Z390" s="10" t="str">
        <f t="shared" si="70"/>
        <v>Fantasy</v>
      </c>
      <c r="AA390" s="8" t="str">
        <f t="shared" si="71"/>
        <v>NO</v>
      </c>
      <c r="AB390" s="6" t="str">
        <f t="shared" si="72"/>
        <v>NO</v>
      </c>
    </row>
    <row r="391" spans="1:28" x14ac:dyDescent="0.3">
      <c r="A391">
        <v>391</v>
      </c>
      <c r="B391" t="s">
        <v>54</v>
      </c>
      <c r="C391" t="s">
        <v>43</v>
      </c>
      <c r="D391" s="1">
        <v>45529</v>
      </c>
      <c r="E391" s="2">
        <v>0.4861111111111111</v>
      </c>
      <c r="F391" t="s">
        <v>25</v>
      </c>
      <c r="G391">
        <v>119</v>
      </c>
      <c r="H391">
        <v>47615</v>
      </c>
      <c r="I391">
        <v>78</v>
      </c>
      <c r="J391" s="2">
        <v>9.4444444444444442E-2</v>
      </c>
      <c r="K391" t="s">
        <v>44</v>
      </c>
      <c r="L391" t="s">
        <v>56</v>
      </c>
      <c r="M391" t="s">
        <v>38</v>
      </c>
      <c r="N391" t="s">
        <v>39</v>
      </c>
      <c r="O391">
        <v>2960</v>
      </c>
      <c r="P391">
        <v>1072</v>
      </c>
      <c r="Q391">
        <v>968</v>
      </c>
      <c r="R391">
        <v>1.8</v>
      </c>
      <c r="S391" t="s">
        <v>40</v>
      </c>
      <c r="T391" t="s">
        <v>63</v>
      </c>
      <c r="U391" t="s">
        <v>57</v>
      </c>
      <c r="V391" t="s">
        <v>33</v>
      </c>
      <c r="W391">
        <v>12621</v>
      </c>
      <c r="X391" s="6" t="str">
        <f t="shared" si="68"/>
        <v>LOW</v>
      </c>
      <c r="Y391" s="8" t="str">
        <f t="shared" si="69"/>
        <v>Documentary</v>
      </c>
      <c r="Z391" s="10" t="str">
        <f t="shared" si="70"/>
        <v>Sci-Fi</v>
      </c>
      <c r="AA391" s="8" t="str">
        <f t="shared" si="71"/>
        <v>NO</v>
      </c>
      <c r="AB391" s="6" t="str">
        <f t="shared" si="72"/>
        <v>NO</v>
      </c>
    </row>
    <row r="392" spans="1:28" x14ac:dyDescent="0.3">
      <c r="A392">
        <v>392</v>
      </c>
      <c r="B392" t="s">
        <v>34</v>
      </c>
      <c r="C392" t="s">
        <v>24</v>
      </c>
      <c r="D392" s="1">
        <v>45536</v>
      </c>
      <c r="E392" s="2">
        <v>0.64166666666666672</v>
      </c>
      <c r="F392" t="s">
        <v>62</v>
      </c>
      <c r="G392">
        <v>1086</v>
      </c>
      <c r="H392">
        <v>80043</v>
      </c>
      <c r="I392">
        <v>33</v>
      </c>
      <c r="J392" s="2">
        <v>0.94722222222222219</v>
      </c>
      <c r="K392" t="s">
        <v>26</v>
      </c>
      <c r="L392" t="s">
        <v>27</v>
      </c>
      <c r="M392" t="s">
        <v>38</v>
      </c>
      <c r="N392" t="s">
        <v>76</v>
      </c>
      <c r="O392">
        <v>1118</v>
      </c>
      <c r="P392">
        <v>1839</v>
      </c>
      <c r="Q392">
        <v>407</v>
      </c>
      <c r="R392">
        <v>3.3</v>
      </c>
      <c r="S392" t="s">
        <v>40</v>
      </c>
      <c r="T392" t="s">
        <v>63</v>
      </c>
      <c r="U392" t="s">
        <v>57</v>
      </c>
      <c r="V392" t="s">
        <v>33</v>
      </c>
      <c r="W392">
        <v>13123</v>
      </c>
      <c r="X392" s="6" t="str">
        <f t="shared" ref="X392" si="73">IF(H392&gt;15000,"HIGH",IF(H392&gt;80000,"MEDIUM","LOW"))</f>
        <v>HIGH</v>
      </c>
      <c r="Y392" s="8" t="str">
        <f t="shared" si="69"/>
        <v>Series</v>
      </c>
      <c r="Z392" s="10" t="str">
        <f t="shared" si="70"/>
        <v>Thriller</v>
      </c>
      <c r="AA392" s="8" t="str">
        <f t="shared" si="71"/>
        <v>NO</v>
      </c>
      <c r="AB392" s="6" t="str">
        <f t="shared" si="72"/>
        <v>YES</v>
      </c>
    </row>
    <row r="393" spans="1:28" x14ac:dyDescent="0.3">
      <c r="A393">
        <v>393</v>
      </c>
      <c r="B393" t="s">
        <v>34</v>
      </c>
      <c r="C393" t="s">
        <v>24</v>
      </c>
      <c r="D393" s="1">
        <v>45488</v>
      </c>
      <c r="E393" s="2">
        <v>0.53749999999999998</v>
      </c>
      <c r="F393" t="s">
        <v>36</v>
      </c>
      <c r="G393">
        <v>837</v>
      </c>
      <c r="H393">
        <v>46758</v>
      </c>
      <c r="I393">
        <v>79</v>
      </c>
      <c r="J393" s="2">
        <v>0.65625</v>
      </c>
      <c r="K393" t="s">
        <v>36</v>
      </c>
      <c r="L393" t="s">
        <v>49</v>
      </c>
      <c r="M393" t="s">
        <v>38</v>
      </c>
      <c r="N393" t="s">
        <v>39</v>
      </c>
      <c r="O393">
        <v>68</v>
      </c>
      <c r="P393">
        <v>679</v>
      </c>
      <c r="Q393">
        <v>1087</v>
      </c>
      <c r="R393">
        <v>3.9</v>
      </c>
      <c r="S393" t="s">
        <v>30</v>
      </c>
      <c r="T393" t="s">
        <v>31</v>
      </c>
      <c r="U393" t="s">
        <v>70</v>
      </c>
      <c r="V393" t="s">
        <v>67</v>
      </c>
      <c r="W393">
        <v>3224</v>
      </c>
      <c r="X393" s="6" t="str">
        <f t="shared" si="68"/>
        <v>LOW</v>
      </c>
      <c r="Y393" s="8" t="str">
        <f t="shared" si="69"/>
        <v>Series</v>
      </c>
      <c r="Z393" s="10" t="str">
        <f t="shared" si="70"/>
        <v>Thriller</v>
      </c>
      <c r="AA393" s="8" t="str">
        <f t="shared" si="71"/>
        <v>NO</v>
      </c>
      <c r="AB393" s="6" t="str">
        <f t="shared" si="72"/>
        <v>YES</v>
      </c>
    </row>
    <row r="394" spans="1:28" x14ac:dyDescent="0.3">
      <c r="A394">
        <v>394</v>
      </c>
      <c r="B394" t="s">
        <v>23</v>
      </c>
      <c r="C394" t="s">
        <v>24</v>
      </c>
      <c r="D394" s="1">
        <v>45522</v>
      </c>
      <c r="E394" s="2">
        <v>0.72083333333333333</v>
      </c>
      <c r="F394" t="s">
        <v>26</v>
      </c>
      <c r="G394">
        <v>90</v>
      </c>
      <c r="H394">
        <v>7413</v>
      </c>
      <c r="I394">
        <v>32</v>
      </c>
      <c r="J394" s="2">
        <v>0.90208333333333335</v>
      </c>
      <c r="K394" t="s">
        <v>36</v>
      </c>
      <c r="L394" t="s">
        <v>49</v>
      </c>
      <c r="M394" t="s">
        <v>28</v>
      </c>
      <c r="N394" t="s">
        <v>65</v>
      </c>
      <c r="O394">
        <v>2669</v>
      </c>
      <c r="P394">
        <v>1478</v>
      </c>
      <c r="Q394">
        <v>1414</v>
      </c>
      <c r="R394">
        <v>1.5</v>
      </c>
      <c r="S394" t="s">
        <v>40</v>
      </c>
      <c r="T394" t="s">
        <v>45</v>
      </c>
      <c r="U394" t="s">
        <v>70</v>
      </c>
      <c r="V394" t="s">
        <v>33</v>
      </c>
      <c r="W394">
        <v>18364</v>
      </c>
      <c r="X394" s="6" t="str">
        <f t="shared" si="68"/>
        <v>LOW</v>
      </c>
      <c r="Y394" s="8" t="str">
        <f t="shared" si="69"/>
        <v>Movie</v>
      </c>
      <c r="Z394" s="10" t="str">
        <f t="shared" si="70"/>
        <v>Thriller</v>
      </c>
      <c r="AA394" s="8" t="str">
        <f t="shared" si="71"/>
        <v>NO</v>
      </c>
      <c r="AB394" s="6" t="str">
        <f t="shared" si="72"/>
        <v>NO</v>
      </c>
    </row>
    <row r="395" spans="1:28" x14ac:dyDescent="0.3">
      <c r="A395">
        <v>395</v>
      </c>
      <c r="B395" t="s">
        <v>34</v>
      </c>
      <c r="C395" t="s">
        <v>75</v>
      </c>
      <c r="D395" s="1">
        <v>45539</v>
      </c>
      <c r="E395" s="2">
        <v>0.50347222222222221</v>
      </c>
      <c r="F395" t="s">
        <v>26</v>
      </c>
      <c r="G395">
        <v>818</v>
      </c>
      <c r="H395">
        <v>11120</v>
      </c>
      <c r="I395">
        <v>88</v>
      </c>
      <c r="J395" s="2">
        <v>0.87361111111111112</v>
      </c>
      <c r="K395" t="s">
        <v>44</v>
      </c>
      <c r="L395" t="s">
        <v>37</v>
      </c>
      <c r="M395" t="s">
        <v>38</v>
      </c>
      <c r="N395" t="s">
        <v>50</v>
      </c>
      <c r="O395">
        <v>837</v>
      </c>
      <c r="P395">
        <v>1233</v>
      </c>
      <c r="Q395">
        <v>280</v>
      </c>
      <c r="R395">
        <v>3</v>
      </c>
      <c r="S395" t="s">
        <v>60</v>
      </c>
      <c r="T395" t="s">
        <v>45</v>
      </c>
      <c r="U395" t="s">
        <v>32</v>
      </c>
      <c r="V395" t="s">
        <v>42</v>
      </c>
      <c r="W395">
        <v>2333</v>
      </c>
      <c r="X395" s="6" t="str">
        <f t="shared" si="68"/>
        <v>LOW</v>
      </c>
      <c r="Y395" s="8" t="str">
        <f t="shared" si="69"/>
        <v>Series</v>
      </c>
      <c r="Z395" s="10" t="str">
        <f t="shared" si="70"/>
        <v>Nature</v>
      </c>
      <c r="AA395" s="8" t="str">
        <f t="shared" si="71"/>
        <v>NO</v>
      </c>
      <c r="AB395" s="6" t="str">
        <f t="shared" si="72"/>
        <v>YES</v>
      </c>
    </row>
    <row r="396" spans="1:28" x14ac:dyDescent="0.3">
      <c r="A396">
        <v>396</v>
      </c>
      <c r="B396" t="s">
        <v>54</v>
      </c>
      <c r="C396" t="s">
        <v>48</v>
      </c>
      <c r="D396" s="1">
        <v>45515</v>
      </c>
      <c r="E396" s="2">
        <v>0.25694444444444442</v>
      </c>
      <c r="F396" t="s">
        <v>44</v>
      </c>
      <c r="G396">
        <v>58</v>
      </c>
      <c r="H396">
        <v>97394</v>
      </c>
      <c r="I396">
        <v>43</v>
      </c>
      <c r="J396" s="2">
        <v>0.29791666666666666</v>
      </c>
      <c r="K396" t="s">
        <v>62</v>
      </c>
      <c r="L396" t="s">
        <v>37</v>
      </c>
      <c r="M396" t="s">
        <v>38</v>
      </c>
      <c r="N396" t="s">
        <v>29</v>
      </c>
      <c r="O396">
        <v>1771</v>
      </c>
      <c r="P396">
        <v>449</v>
      </c>
      <c r="Q396">
        <v>1023</v>
      </c>
      <c r="R396">
        <v>4.5</v>
      </c>
      <c r="S396" t="s">
        <v>60</v>
      </c>
      <c r="T396" t="s">
        <v>63</v>
      </c>
      <c r="U396" t="s">
        <v>52</v>
      </c>
      <c r="V396" t="s">
        <v>53</v>
      </c>
      <c r="W396">
        <v>16628</v>
      </c>
      <c r="X396" s="6" t="str">
        <f t="shared" si="68"/>
        <v>LOW</v>
      </c>
      <c r="Y396" s="8" t="str">
        <f t="shared" si="69"/>
        <v>Documentary</v>
      </c>
      <c r="Z396" s="10" t="str">
        <f t="shared" si="70"/>
        <v>Romance</v>
      </c>
      <c r="AA396" s="8" t="str">
        <f t="shared" si="71"/>
        <v>NO</v>
      </c>
      <c r="AB396" s="6" t="str">
        <f t="shared" si="72"/>
        <v>YES</v>
      </c>
    </row>
    <row r="397" spans="1:28" x14ac:dyDescent="0.3">
      <c r="A397">
        <v>397</v>
      </c>
      <c r="B397" t="s">
        <v>23</v>
      </c>
      <c r="C397" t="s">
        <v>61</v>
      </c>
      <c r="D397" s="1">
        <v>45530</v>
      </c>
      <c r="E397" s="2">
        <v>0.76875000000000004</v>
      </c>
      <c r="F397" t="s">
        <v>68</v>
      </c>
      <c r="G397">
        <v>123</v>
      </c>
      <c r="H397">
        <v>91608</v>
      </c>
      <c r="I397">
        <v>51</v>
      </c>
      <c r="J397" s="2">
        <v>0.78541666666666665</v>
      </c>
      <c r="K397" t="s">
        <v>26</v>
      </c>
      <c r="L397" t="s">
        <v>37</v>
      </c>
      <c r="M397" t="s">
        <v>38</v>
      </c>
      <c r="N397" t="s">
        <v>76</v>
      </c>
      <c r="O397">
        <v>2435</v>
      </c>
      <c r="P397">
        <v>1277</v>
      </c>
      <c r="Q397">
        <v>840</v>
      </c>
      <c r="R397">
        <v>2.5</v>
      </c>
      <c r="S397" t="s">
        <v>51</v>
      </c>
      <c r="T397" t="s">
        <v>31</v>
      </c>
      <c r="U397" t="s">
        <v>46</v>
      </c>
      <c r="V397" t="s">
        <v>53</v>
      </c>
      <c r="W397">
        <v>18218</v>
      </c>
      <c r="X397" s="6" t="str">
        <f t="shared" si="68"/>
        <v>LOW</v>
      </c>
      <c r="Y397" s="8" t="str">
        <f t="shared" si="69"/>
        <v>Movie</v>
      </c>
      <c r="Z397" s="10" t="str">
        <f t="shared" si="70"/>
        <v>History</v>
      </c>
      <c r="AA397" s="8" t="str">
        <f t="shared" si="71"/>
        <v>NO</v>
      </c>
      <c r="AB397" s="6" t="str">
        <f t="shared" si="72"/>
        <v>NO</v>
      </c>
    </row>
    <row r="398" spans="1:28" x14ac:dyDescent="0.3">
      <c r="A398">
        <v>398</v>
      </c>
      <c r="B398" t="s">
        <v>34</v>
      </c>
      <c r="C398" t="s">
        <v>61</v>
      </c>
      <c r="D398" s="1">
        <v>45516</v>
      </c>
      <c r="E398" s="2">
        <v>0.71319444444444446</v>
      </c>
      <c r="F398" t="s">
        <v>68</v>
      </c>
      <c r="G398">
        <v>307</v>
      </c>
      <c r="H398">
        <v>17619</v>
      </c>
      <c r="I398">
        <v>66</v>
      </c>
      <c r="J398" s="2">
        <v>9.6527777777777782E-2</v>
      </c>
      <c r="K398" t="s">
        <v>36</v>
      </c>
      <c r="L398" t="s">
        <v>37</v>
      </c>
      <c r="M398" t="s">
        <v>28</v>
      </c>
      <c r="N398" t="s">
        <v>29</v>
      </c>
      <c r="O398">
        <v>830</v>
      </c>
      <c r="P398">
        <v>979</v>
      </c>
      <c r="Q398">
        <v>407</v>
      </c>
      <c r="R398">
        <v>1</v>
      </c>
      <c r="S398" t="s">
        <v>51</v>
      </c>
      <c r="T398" t="s">
        <v>45</v>
      </c>
      <c r="U398" t="s">
        <v>74</v>
      </c>
      <c r="V398" t="s">
        <v>47</v>
      </c>
      <c r="W398">
        <v>3153</v>
      </c>
      <c r="X398" s="6" t="str">
        <f t="shared" si="68"/>
        <v>LOW</v>
      </c>
      <c r="Y398" s="8" t="str">
        <f t="shared" si="69"/>
        <v>Series</v>
      </c>
      <c r="Z398" s="10" t="str">
        <f t="shared" si="70"/>
        <v>History</v>
      </c>
      <c r="AA398" s="8" t="str">
        <f t="shared" si="71"/>
        <v>NO</v>
      </c>
      <c r="AB398" s="6" t="str">
        <f t="shared" si="72"/>
        <v>NO</v>
      </c>
    </row>
    <row r="399" spans="1:28" x14ac:dyDescent="0.3">
      <c r="A399">
        <v>399</v>
      </c>
      <c r="B399" t="s">
        <v>34</v>
      </c>
      <c r="C399" t="s">
        <v>55</v>
      </c>
      <c r="D399" s="1">
        <v>45540</v>
      </c>
      <c r="E399" s="2">
        <v>0.63472222222222219</v>
      </c>
      <c r="F399" t="s">
        <v>68</v>
      </c>
      <c r="G399">
        <v>429</v>
      </c>
      <c r="H399">
        <v>89271</v>
      </c>
      <c r="I399">
        <v>86</v>
      </c>
      <c r="J399" s="2">
        <v>0.72569444444444442</v>
      </c>
      <c r="K399" t="s">
        <v>44</v>
      </c>
      <c r="L399" t="s">
        <v>56</v>
      </c>
      <c r="M399" t="s">
        <v>28</v>
      </c>
      <c r="N399" t="s">
        <v>50</v>
      </c>
      <c r="O399">
        <v>2458</v>
      </c>
      <c r="P399">
        <v>906</v>
      </c>
      <c r="Q399">
        <v>732</v>
      </c>
      <c r="R399">
        <v>3.1</v>
      </c>
      <c r="S399" t="s">
        <v>51</v>
      </c>
      <c r="T399" t="s">
        <v>45</v>
      </c>
      <c r="U399" t="s">
        <v>57</v>
      </c>
      <c r="V399" t="s">
        <v>67</v>
      </c>
      <c r="W399">
        <v>17867</v>
      </c>
      <c r="X399" s="6" t="str">
        <f t="shared" si="68"/>
        <v>LOW</v>
      </c>
      <c r="Y399" s="8" t="str">
        <f t="shared" si="69"/>
        <v>Series</v>
      </c>
      <c r="Z399" s="10" t="str">
        <f t="shared" si="70"/>
        <v>Fantasy</v>
      </c>
      <c r="AA399" s="8" t="str">
        <f t="shared" si="71"/>
        <v>NO</v>
      </c>
      <c r="AB399" s="6" t="str">
        <f t="shared" si="72"/>
        <v>YES</v>
      </c>
    </row>
    <row r="400" spans="1:28" x14ac:dyDescent="0.3">
      <c r="A400">
        <v>400</v>
      </c>
      <c r="B400" t="s">
        <v>54</v>
      </c>
      <c r="C400" t="s">
        <v>61</v>
      </c>
      <c r="D400" s="1">
        <v>45501</v>
      </c>
      <c r="E400" s="2">
        <v>0.2388888888888889</v>
      </c>
      <c r="F400" t="s">
        <v>73</v>
      </c>
      <c r="G400">
        <v>74</v>
      </c>
      <c r="H400">
        <v>10058</v>
      </c>
      <c r="I400">
        <v>53</v>
      </c>
      <c r="J400" s="2">
        <v>0.79861111111111116</v>
      </c>
      <c r="K400" t="s">
        <v>26</v>
      </c>
      <c r="L400" t="s">
        <v>49</v>
      </c>
      <c r="M400" t="s">
        <v>38</v>
      </c>
      <c r="N400" t="s">
        <v>71</v>
      </c>
      <c r="O400">
        <v>1469</v>
      </c>
      <c r="P400">
        <v>1707</v>
      </c>
      <c r="Q400">
        <v>184</v>
      </c>
      <c r="R400">
        <v>3.9</v>
      </c>
      <c r="S400" t="s">
        <v>51</v>
      </c>
      <c r="T400" t="s">
        <v>45</v>
      </c>
      <c r="U400" t="s">
        <v>74</v>
      </c>
      <c r="V400" t="s">
        <v>47</v>
      </c>
      <c r="W400">
        <v>19003</v>
      </c>
      <c r="X400" s="6" t="str">
        <f t="shared" si="68"/>
        <v>LOW</v>
      </c>
      <c r="Y400" s="8" t="str">
        <f t="shared" si="69"/>
        <v>Documentary</v>
      </c>
      <c r="Z400" s="10" t="str">
        <f t="shared" si="70"/>
        <v>History</v>
      </c>
      <c r="AA400" s="8" t="str">
        <f t="shared" si="71"/>
        <v>NO</v>
      </c>
      <c r="AB400" s="6" t="str">
        <f t="shared" si="72"/>
        <v>YES</v>
      </c>
    </row>
    <row r="401" spans="1:28" x14ac:dyDescent="0.3">
      <c r="A401">
        <v>401</v>
      </c>
      <c r="B401" t="s">
        <v>54</v>
      </c>
      <c r="C401" t="s">
        <v>43</v>
      </c>
      <c r="D401" s="1">
        <v>45527</v>
      </c>
      <c r="E401" s="2">
        <v>0.25555555555555554</v>
      </c>
      <c r="F401" t="s">
        <v>36</v>
      </c>
      <c r="G401">
        <v>70</v>
      </c>
      <c r="H401">
        <v>24538</v>
      </c>
      <c r="I401">
        <v>44</v>
      </c>
      <c r="J401" s="2">
        <v>5.2083333333333336E-2</v>
      </c>
      <c r="K401" t="s">
        <v>36</v>
      </c>
      <c r="L401" t="s">
        <v>37</v>
      </c>
      <c r="M401" t="s">
        <v>28</v>
      </c>
      <c r="N401" t="s">
        <v>29</v>
      </c>
      <c r="O401">
        <v>2580</v>
      </c>
      <c r="P401">
        <v>711</v>
      </c>
      <c r="Q401">
        <v>1355</v>
      </c>
      <c r="R401">
        <v>1</v>
      </c>
      <c r="S401" t="s">
        <v>51</v>
      </c>
      <c r="T401" t="s">
        <v>31</v>
      </c>
      <c r="U401" t="s">
        <v>66</v>
      </c>
      <c r="V401" t="s">
        <v>58</v>
      </c>
      <c r="W401">
        <v>2015</v>
      </c>
      <c r="X401" s="6" t="str">
        <f t="shared" si="68"/>
        <v>LOW</v>
      </c>
      <c r="Y401" s="8" t="str">
        <f t="shared" si="69"/>
        <v>Documentary</v>
      </c>
      <c r="Z401" s="10" t="str">
        <f t="shared" si="70"/>
        <v>Sci-Fi</v>
      </c>
      <c r="AA401" s="8" t="str">
        <f t="shared" si="71"/>
        <v>NO</v>
      </c>
      <c r="AB401" s="6" t="str">
        <f t="shared" si="72"/>
        <v>NO</v>
      </c>
    </row>
    <row r="402" spans="1:28" x14ac:dyDescent="0.3">
      <c r="A402">
        <v>402</v>
      </c>
      <c r="B402" t="s">
        <v>34</v>
      </c>
      <c r="C402" t="s">
        <v>48</v>
      </c>
      <c r="D402" s="1">
        <v>45506</v>
      </c>
      <c r="E402" s="2">
        <v>0.82847222222222228</v>
      </c>
      <c r="F402" t="s">
        <v>26</v>
      </c>
      <c r="G402">
        <v>872</v>
      </c>
      <c r="H402">
        <v>16792</v>
      </c>
      <c r="I402">
        <v>114</v>
      </c>
      <c r="J402" s="2">
        <v>0.10486111111111111</v>
      </c>
      <c r="K402" t="s">
        <v>44</v>
      </c>
      <c r="L402" t="s">
        <v>49</v>
      </c>
      <c r="M402" t="s">
        <v>28</v>
      </c>
      <c r="N402" t="s">
        <v>59</v>
      </c>
      <c r="O402">
        <v>2394</v>
      </c>
      <c r="P402">
        <v>462</v>
      </c>
      <c r="Q402">
        <v>5</v>
      </c>
      <c r="R402">
        <v>1</v>
      </c>
      <c r="S402" t="s">
        <v>30</v>
      </c>
      <c r="T402" t="s">
        <v>31</v>
      </c>
      <c r="U402" t="s">
        <v>46</v>
      </c>
      <c r="V402" t="s">
        <v>58</v>
      </c>
      <c r="W402">
        <v>10557</v>
      </c>
      <c r="X402" s="6" t="str">
        <f t="shared" ref="X402" si="74">IF(H402&gt;15000,"HIGH",IF(H402&gt;80000,"MEDIUM","LOW"))</f>
        <v>HIGH</v>
      </c>
      <c r="Y402" s="8" t="str">
        <f t="shared" si="69"/>
        <v>Series</v>
      </c>
      <c r="Z402" s="10" t="str">
        <f t="shared" si="70"/>
        <v>Romance</v>
      </c>
      <c r="AA402" s="8" t="str">
        <f t="shared" si="71"/>
        <v>NO</v>
      </c>
      <c r="AB402" s="6" t="str">
        <f t="shared" si="72"/>
        <v>NO</v>
      </c>
    </row>
    <row r="403" spans="1:28" x14ac:dyDescent="0.3">
      <c r="A403">
        <v>403</v>
      </c>
      <c r="B403" t="s">
        <v>23</v>
      </c>
      <c r="C403" t="s">
        <v>35</v>
      </c>
      <c r="D403" s="1">
        <v>45481</v>
      </c>
      <c r="E403" s="2">
        <v>0.65416666666666667</v>
      </c>
      <c r="F403" t="s">
        <v>44</v>
      </c>
      <c r="G403">
        <v>157</v>
      </c>
      <c r="H403">
        <v>90486</v>
      </c>
      <c r="I403">
        <v>38</v>
      </c>
      <c r="J403" s="2">
        <v>0.71388888888888891</v>
      </c>
      <c r="K403" t="s">
        <v>26</v>
      </c>
      <c r="L403" t="s">
        <v>56</v>
      </c>
      <c r="M403" t="s">
        <v>38</v>
      </c>
      <c r="N403" t="s">
        <v>59</v>
      </c>
      <c r="O403">
        <v>961</v>
      </c>
      <c r="P403">
        <v>535</v>
      </c>
      <c r="Q403">
        <v>492</v>
      </c>
      <c r="R403">
        <v>1.9</v>
      </c>
      <c r="S403" t="s">
        <v>30</v>
      </c>
      <c r="T403" t="s">
        <v>45</v>
      </c>
      <c r="U403" t="s">
        <v>46</v>
      </c>
      <c r="V403" t="s">
        <v>53</v>
      </c>
      <c r="W403">
        <v>12518</v>
      </c>
      <c r="X403" s="6" t="str">
        <f t="shared" si="68"/>
        <v>LOW</v>
      </c>
      <c r="Y403" s="8" t="str">
        <f t="shared" si="69"/>
        <v>Movie</v>
      </c>
      <c r="Z403" s="10" t="str">
        <f t="shared" si="70"/>
        <v>Comedy</v>
      </c>
      <c r="AA403" s="8" t="str">
        <f t="shared" si="71"/>
        <v>NO</v>
      </c>
      <c r="AB403" s="6" t="str">
        <f t="shared" si="72"/>
        <v>NO</v>
      </c>
    </row>
    <row r="404" spans="1:28" x14ac:dyDescent="0.3">
      <c r="A404">
        <v>404</v>
      </c>
      <c r="B404" t="s">
        <v>23</v>
      </c>
      <c r="C404" t="s">
        <v>35</v>
      </c>
      <c r="D404" s="1">
        <v>45481</v>
      </c>
      <c r="E404" s="2">
        <v>0.97013888888888888</v>
      </c>
      <c r="F404" t="s">
        <v>62</v>
      </c>
      <c r="G404">
        <v>118</v>
      </c>
      <c r="H404">
        <v>28505</v>
      </c>
      <c r="I404">
        <v>83</v>
      </c>
      <c r="J404" s="2">
        <v>0.20833333333333334</v>
      </c>
      <c r="K404" t="s">
        <v>36</v>
      </c>
      <c r="L404" t="s">
        <v>49</v>
      </c>
      <c r="M404" t="s">
        <v>28</v>
      </c>
      <c r="N404" t="s">
        <v>71</v>
      </c>
      <c r="O404">
        <v>2580</v>
      </c>
      <c r="P404">
        <v>595</v>
      </c>
      <c r="Q404">
        <v>58</v>
      </c>
      <c r="R404">
        <v>1.5</v>
      </c>
      <c r="S404" t="s">
        <v>30</v>
      </c>
      <c r="T404" t="s">
        <v>63</v>
      </c>
      <c r="U404" t="s">
        <v>41</v>
      </c>
      <c r="V404" t="s">
        <v>33</v>
      </c>
      <c r="W404">
        <v>1772</v>
      </c>
      <c r="X404" s="6" t="str">
        <f t="shared" si="68"/>
        <v>LOW</v>
      </c>
      <c r="Y404" s="8" t="str">
        <f t="shared" si="69"/>
        <v>Movie</v>
      </c>
      <c r="Z404" s="10" t="str">
        <f t="shared" si="70"/>
        <v>Comedy</v>
      </c>
      <c r="AA404" s="8" t="str">
        <f t="shared" si="71"/>
        <v>NO</v>
      </c>
      <c r="AB404" s="6" t="str">
        <f t="shared" si="72"/>
        <v>NO</v>
      </c>
    </row>
    <row r="405" spans="1:28" x14ac:dyDescent="0.3">
      <c r="A405">
        <v>405</v>
      </c>
      <c r="B405" t="s">
        <v>34</v>
      </c>
      <c r="C405" t="s">
        <v>48</v>
      </c>
      <c r="D405" s="1">
        <v>45517</v>
      </c>
      <c r="E405" s="2">
        <v>0.15902777777777777</v>
      </c>
      <c r="F405" t="s">
        <v>36</v>
      </c>
      <c r="G405">
        <v>615</v>
      </c>
      <c r="H405">
        <v>8180</v>
      </c>
      <c r="I405">
        <v>66</v>
      </c>
      <c r="J405" s="2">
        <v>0.43472222222222223</v>
      </c>
      <c r="K405" t="s">
        <v>36</v>
      </c>
      <c r="L405" t="s">
        <v>49</v>
      </c>
      <c r="M405" t="s">
        <v>38</v>
      </c>
      <c r="N405" t="s">
        <v>71</v>
      </c>
      <c r="O405">
        <v>1248</v>
      </c>
      <c r="P405">
        <v>1933</v>
      </c>
      <c r="Q405">
        <v>1467</v>
      </c>
      <c r="R405">
        <v>1.6</v>
      </c>
      <c r="S405" t="s">
        <v>30</v>
      </c>
      <c r="T405" t="s">
        <v>45</v>
      </c>
      <c r="U405" t="s">
        <v>46</v>
      </c>
      <c r="V405" t="s">
        <v>58</v>
      </c>
      <c r="W405">
        <v>14176</v>
      </c>
      <c r="X405" s="6" t="str">
        <f t="shared" si="68"/>
        <v>LOW</v>
      </c>
      <c r="Y405" s="8" t="str">
        <f t="shared" si="69"/>
        <v>Series</v>
      </c>
      <c r="Z405" s="10" t="str">
        <f t="shared" si="70"/>
        <v>Romance</v>
      </c>
      <c r="AA405" s="8" t="str">
        <f t="shared" si="71"/>
        <v>NO</v>
      </c>
      <c r="AB405" s="6" t="str">
        <f t="shared" si="72"/>
        <v>NO</v>
      </c>
    </row>
    <row r="406" spans="1:28" x14ac:dyDescent="0.3">
      <c r="A406">
        <v>406</v>
      </c>
      <c r="B406" t="s">
        <v>34</v>
      </c>
      <c r="C406" t="s">
        <v>24</v>
      </c>
      <c r="D406" s="1">
        <v>45505</v>
      </c>
      <c r="E406" s="2">
        <v>0.57777777777777772</v>
      </c>
      <c r="F406" t="s">
        <v>73</v>
      </c>
      <c r="G406">
        <v>890</v>
      </c>
      <c r="H406">
        <v>31880</v>
      </c>
      <c r="I406">
        <v>53</v>
      </c>
      <c r="J406" s="2">
        <v>0.34722222222222221</v>
      </c>
      <c r="K406" t="s">
        <v>44</v>
      </c>
      <c r="L406" t="s">
        <v>37</v>
      </c>
      <c r="M406" t="s">
        <v>28</v>
      </c>
      <c r="N406" t="s">
        <v>76</v>
      </c>
      <c r="O406">
        <v>2928</v>
      </c>
      <c r="P406">
        <v>270</v>
      </c>
      <c r="Q406">
        <v>922</v>
      </c>
      <c r="R406">
        <v>4.5</v>
      </c>
      <c r="S406" t="s">
        <v>40</v>
      </c>
      <c r="T406" t="s">
        <v>45</v>
      </c>
      <c r="U406" t="s">
        <v>32</v>
      </c>
      <c r="V406" t="s">
        <v>67</v>
      </c>
      <c r="W406">
        <v>2025</v>
      </c>
      <c r="X406" s="6" t="str">
        <f t="shared" si="68"/>
        <v>LOW</v>
      </c>
      <c r="Y406" s="8" t="str">
        <f t="shared" si="69"/>
        <v>Series</v>
      </c>
      <c r="Z406" s="10" t="str">
        <f t="shared" si="70"/>
        <v>Thriller</v>
      </c>
      <c r="AA406" s="8" t="str">
        <f t="shared" si="71"/>
        <v>NO</v>
      </c>
      <c r="AB406" s="6" t="str">
        <f t="shared" si="72"/>
        <v>YES</v>
      </c>
    </row>
    <row r="407" spans="1:28" x14ac:dyDescent="0.3">
      <c r="A407">
        <v>407</v>
      </c>
      <c r="B407" t="s">
        <v>23</v>
      </c>
      <c r="C407" t="s">
        <v>35</v>
      </c>
      <c r="D407" s="1">
        <v>45533</v>
      </c>
      <c r="E407" s="2">
        <v>0.90486111111111112</v>
      </c>
      <c r="F407" t="s">
        <v>26</v>
      </c>
      <c r="G407">
        <v>185</v>
      </c>
      <c r="H407">
        <v>62791</v>
      </c>
      <c r="I407">
        <v>85</v>
      </c>
      <c r="J407" s="2">
        <v>1.1111111111111112E-2</v>
      </c>
      <c r="K407" t="s">
        <v>62</v>
      </c>
      <c r="L407" t="s">
        <v>49</v>
      </c>
      <c r="M407" t="s">
        <v>28</v>
      </c>
      <c r="N407" t="s">
        <v>39</v>
      </c>
      <c r="O407">
        <v>2198</v>
      </c>
      <c r="P407">
        <v>57</v>
      </c>
      <c r="Q407">
        <v>309</v>
      </c>
      <c r="R407">
        <v>2.9</v>
      </c>
      <c r="S407" t="s">
        <v>51</v>
      </c>
      <c r="T407" t="s">
        <v>31</v>
      </c>
      <c r="U407" t="s">
        <v>66</v>
      </c>
      <c r="V407" t="s">
        <v>42</v>
      </c>
      <c r="W407">
        <v>17511</v>
      </c>
      <c r="X407" s="6" t="str">
        <f t="shared" si="68"/>
        <v>LOW</v>
      </c>
      <c r="Y407" s="8" t="str">
        <f t="shared" si="69"/>
        <v>Movie</v>
      </c>
      <c r="Z407" s="10" t="str">
        <f t="shared" si="70"/>
        <v>Comedy</v>
      </c>
      <c r="AA407" s="8" t="str">
        <f t="shared" si="71"/>
        <v>NO</v>
      </c>
      <c r="AB407" s="6" t="str">
        <f t="shared" si="72"/>
        <v>YES</v>
      </c>
    </row>
    <row r="408" spans="1:28" x14ac:dyDescent="0.3">
      <c r="A408">
        <v>408</v>
      </c>
      <c r="B408" t="s">
        <v>34</v>
      </c>
      <c r="C408" t="s">
        <v>72</v>
      </c>
      <c r="D408" s="1">
        <v>45504</v>
      </c>
      <c r="E408" s="2">
        <v>0.77500000000000002</v>
      </c>
      <c r="F408" t="s">
        <v>73</v>
      </c>
      <c r="G408">
        <v>571</v>
      </c>
      <c r="H408">
        <v>52424</v>
      </c>
      <c r="I408">
        <v>99</v>
      </c>
      <c r="J408" s="2">
        <v>0.43958333333333333</v>
      </c>
      <c r="K408" t="s">
        <v>26</v>
      </c>
      <c r="L408" t="s">
        <v>49</v>
      </c>
      <c r="M408" t="s">
        <v>38</v>
      </c>
      <c r="N408" t="s">
        <v>59</v>
      </c>
      <c r="O408">
        <v>843</v>
      </c>
      <c r="P408">
        <v>1980</v>
      </c>
      <c r="Q408">
        <v>970</v>
      </c>
      <c r="R408">
        <v>1</v>
      </c>
      <c r="S408" t="s">
        <v>60</v>
      </c>
      <c r="T408" t="s">
        <v>31</v>
      </c>
      <c r="U408" t="s">
        <v>66</v>
      </c>
      <c r="V408" t="s">
        <v>53</v>
      </c>
      <c r="W408">
        <v>5381</v>
      </c>
      <c r="X408" s="6" t="str">
        <f t="shared" si="68"/>
        <v>LOW</v>
      </c>
      <c r="Y408" s="8" t="str">
        <f t="shared" si="69"/>
        <v>Series</v>
      </c>
      <c r="Z408" s="10" t="str">
        <f t="shared" si="70"/>
        <v>Action</v>
      </c>
      <c r="AA408" s="8" t="str">
        <f t="shared" si="71"/>
        <v>NO</v>
      </c>
      <c r="AB408" s="6" t="str">
        <f t="shared" si="72"/>
        <v>NO</v>
      </c>
    </row>
    <row r="409" spans="1:28" x14ac:dyDescent="0.3">
      <c r="A409">
        <v>409</v>
      </c>
      <c r="B409" t="s">
        <v>34</v>
      </c>
      <c r="C409" t="s">
        <v>75</v>
      </c>
      <c r="D409" s="1">
        <v>45521</v>
      </c>
      <c r="E409" s="2">
        <v>0.89861111111111114</v>
      </c>
      <c r="F409" t="s">
        <v>44</v>
      </c>
      <c r="G409">
        <v>1142</v>
      </c>
      <c r="H409">
        <v>14710</v>
      </c>
      <c r="I409">
        <v>47</v>
      </c>
      <c r="J409" s="2">
        <v>0.17430555555555555</v>
      </c>
      <c r="K409" t="s">
        <v>36</v>
      </c>
      <c r="L409" t="s">
        <v>56</v>
      </c>
      <c r="M409" t="s">
        <v>38</v>
      </c>
      <c r="N409" t="s">
        <v>50</v>
      </c>
      <c r="O409">
        <v>1107</v>
      </c>
      <c r="P409">
        <v>761</v>
      </c>
      <c r="Q409">
        <v>1265</v>
      </c>
      <c r="R409">
        <v>1.6</v>
      </c>
      <c r="S409" t="s">
        <v>60</v>
      </c>
      <c r="T409" t="s">
        <v>31</v>
      </c>
      <c r="U409" t="s">
        <v>52</v>
      </c>
      <c r="V409" t="s">
        <v>53</v>
      </c>
      <c r="W409">
        <v>19655</v>
      </c>
      <c r="X409" s="6" t="str">
        <f t="shared" si="68"/>
        <v>LOW</v>
      </c>
      <c r="Y409" s="8" t="str">
        <f t="shared" si="69"/>
        <v>Series</v>
      </c>
      <c r="Z409" s="10" t="str">
        <f t="shared" si="70"/>
        <v>Nature</v>
      </c>
      <c r="AA409" s="8" t="str">
        <f t="shared" si="71"/>
        <v>NO</v>
      </c>
      <c r="AB409" s="6" t="str">
        <f t="shared" si="72"/>
        <v>NO</v>
      </c>
    </row>
    <row r="410" spans="1:28" x14ac:dyDescent="0.3">
      <c r="A410">
        <v>410</v>
      </c>
      <c r="B410" t="s">
        <v>23</v>
      </c>
      <c r="C410" t="s">
        <v>75</v>
      </c>
      <c r="D410" s="1">
        <v>45544</v>
      </c>
      <c r="E410" s="2">
        <v>0.35833333333333334</v>
      </c>
      <c r="F410" t="s">
        <v>44</v>
      </c>
      <c r="G410">
        <v>120</v>
      </c>
      <c r="H410">
        <v>86171</v>
      </c>
      <c r="I410">
        <v>49</v>
      </c>
      <c r="J410" s="2">
        <v>0.75208333333333333</v>
      </c>
      <c r="K410" t="s">
        <v>44</v>
      </c>
      <c r="L410" t="s">
        <v>37</v>
      </c>
      <c r="M410" t="s">
        <v>38</v>
      </c>
      <c r="N410" t="s">
        <v>71</v>
      </c>
      <c r="O410">
        <v>1425</v>
      </c>
      <c r="P410">
        <v>713</v>
      </c>
      <c r="Q410">
        <v>1315</v>
      </c>
      <c r="R410">
        <v>3</v>
      </c>
      <c r="S410" t="s">
        <v>51</v>
      </c>
      <c r="T410" t="s">
        <v>45</v>
      </c>
      <c r="U410" t="s">
        <v>41</v>
      </c>
      <c r="V410" t="s">
        <v>42</v>
      </c>
      <c r="W410">
        <v>18057</v>
      </c>
      <c r="X410" s="6" t="str">
        <f t="shared" si="68"/>
        <v>LOW</v>
      </c>
      <c r="Y410" s="8" t="str">
        <f t="shared" si="69"/>
        <v>Movie</v>
      </c>
      <c r="Z410" s="10" t="str">
        <f t="shared" si="70"/>
        <v>Nature</v>
      </c>
      <c r="AA410" s="8" t="str">
        <f t="shared" si="71"/>
        <v>NO</v>
      </c>
      <c r="AB410" s="6" t="str">
        <f t="shared" si="72"/>
        <v>YES</v>
      </c>
    </row>
    <row r="411" spans="1:28" x14ac:dyDescent="0.3">
      <c r="A411">
        <v>411</v>
      </c>
      <c r="B411" t="s">
        <v>34</v>
      </c>
      <c r="C411" t="s">
        <v>61</v>
      </c>
      <c r="D411" s="1">
        <v>45513</v>
      </c>
      <c r="E411" s="2">
        <v>0.67083333333333328</v>
      </c>
      <c r="F411" t="s">
        <v>73</v>
      </c>
      <c r="G411">
        <v>544</v>
      </c>
      <c r="H411">
        <v>79190</v>
      </c>
      <c r="I411">
        <v>133</v>
      </c>
      <c r="J411" s="2">
        <v>0.57430555555555551</v>
      </c>
      <c r="K411" t="s">
        <v>26</v>
      </c>
      <c r="L411" t="s">
        <v>49</v>
      </c>
      <c r="M411" t="s">
        <v>38</v>
      </c>
      <c r="N411" t="s">
        <v>76</v>
      </c>
      <c r="O411">
        <v>1859</v>
      </c>
      <c r="P411">
        <v>57</v>
      </c>
      <c r="Q411">
        <v>1456</v>
      </c>
      <c r="R411">
        <v>3.2</v>
      </c>
      <c r="S411" t="s">
        <v>30</v>
      </c>
      <c r="T411" t="s">
        <v>45</v>
      </c>
      <c r="U411" t="s">
        <v>74</v>
      </c>
      <c r="V411" t="s">
        <v>33</v>
      </c>
      <c r="W411">
        <v>15162</v>
      </c>
      <c r="X411" s="6" t="str">
        <f t="shared" si="68"/>
        <v>LOW</v>
      </c>
      <c r="Y411" s="8" t="str">
        <f t="shared" si="69"/>
        <v>Series</v>
      </c>
      <c r="Z411" s="10" t="str">
        <f t="shared" si="70"/>
        <v>History</v>
      </c>
      <c r="AA411" s="8" t="str">
        <f t="shared" si="71"/>
        <v>NO</v>
      </c>
      <c r="AB411" s="6" t="str">
        <f t="shared" si="72"/>
        <v>YES</v>
      </c>
    </row>
    <row r="412" spans="1:28" x14ac:dyDescent="0.3">
      <c r="A412">
        <v>412</v>
      </c>
      <c r="B412" t="s">
        <v>23</v>
      </c>
      <c r="C412" t="s">
        <v>55</v>
      </c>
      <c r="D412" s="1">
        <v>45534</v>
      </c>
      <c r="E412" s="2">
        <v>0.88124999999999998</v>
      </c>
      <c r="F412" t="s">
        <v>44</v>
      </c>
      <c r="G412">
        <v>181</v>
      </c>
      <c r="H412">
        <v>47968</v>
      </c>
      <c r="I412">
        <v>69</v>
      </c>
      <c r="J412" s="2">
        <v>3.0555555555555555E-2</v>
      </c>
      <c r="K412" t="s">
        <v>36</v>
      </c>
      <c r="L412" t="s">
        <v>49</v>
      </c>
      <c r="M412" t="s">
        <v>28</v>
      </c>
      <c r="N412" t="s">
        <v>69</v>
      </c>
      <c r="O412">
        <v>2996</v>
      </c>
      <c r="P412">
        <v>626</v>
      </c>
      <c r="Q412">
        <v>127</v>
      </c>
      <c r="R412">
        <v>2.9</v>
      </c>
      <c r="S412" t="s">
        <v>60</v>
      </c>
      <c r="T412" t="s">
        <v>63</v>
      </c>
      <c r="U412" t="s">
        <v>66</v>
      </c>
      <c r="V412" t="s">
        <v>33</v>
      </c>
      <c r="W412">
        <v>9694</v>
      </c>
      <c r="X412" s="6" t="str">
        <f t="shared" ref="X412" si="75">IF(H412&gt;15000,"HIGH",IF(H412&gt;80000,"MEDIUM","LOW"))</f>
        <v>HIGH</v>
      </c>
      <c r="Y412" s="8" t="str">
        <f t="shared" si="69"/>
        <v>Movie</v>
      </c>
      <c r="Z412" s="10" t="str">
        <f t="shared" si="70"/>
        <v>Fantasy</v>
      </c>
      <c r="AA412" s="8" t="str">
        <f t="shared" si="71"/>
        <v>NO</v>
      </c>
      <c r="AB412" s="6" t="str">
        <f t="shared" si="72"/>
        <v>YES</v>
      </c>
    </row>
    <row r="413" spans="1:28" x14ac:dyDescent="0.3">
      <c r="A413">
        <v>413</v>
      </c>
      <c r="B413" t="s">
        <v>34</v>
      </c>
      <c r="C413" t="s">
        <v>55</v>
      </c>
      <c r="D413" s="1">
        <v>45522</v>
      </c>
      <c r="E413" s="2">
        <v>8.7499999999999994E-2</v>
      </c>
      <c r="F413" t="s">
        <v>44</v>
      </c>
      <c r="G413">
        <v>638</v>
      </c>
      <c r="H413">
        <v>24131</v>
      </c>
      <c r="I413">
        <v>130</v>
      </c>
      <c r="J413" s="2">
        <v>0.38124999999999998</v>
      </c>
      <c r="K413" t="s">
        <v>36</v>
      </c>
      <c r="L413" t="s">
        <v>49</v>
      </c>
      <c r="M413" t="s">
        <v>38</v>
      </c>
      <c r="N413" t="s">
        <v>39</v>
      </c>
      <c r="O413">
        <v>2475</v>
      </c>
      <c r="P413">
        <v>127</v>
      </c>
      <c r="Q413">
        <v>832</v>
      </c>
      <c r="R413">
        <v>5</v>
      </c>
      <c r="S413" t="s">
        <v>51</v>
      </c>
      <c r="T413" t="s">
        <v>45</v>
      </c>
      <c r="U413" t="s">
        <v>66</v>
      </c>
      <c r="V413" t="s">
        <v>33</v>
      </c>
      <c r="W413">
        <v>5561</v>
      </c>
      <c r="X413" s="6" t="str">
        <f t="shared" si="68"/>
        <v>LOW</v>
      </c>
      <c r="Y413" s="8" t="str">
        <f t="shared" si="69"/>
        <v>Series</v>
      </c>
      <c r="Z413" s="10" t="str">
        <f t="shared" si="70"/>
        <v>Fantasy</v>
      </c>
      <c r="AA413" s="8" t="str">
        <f t="shared" si="71"/>
        <v>NO</v>
      </c>
      <c r="AB413" s="6" t="str">
        <f t="shared" si="72"/>
        <v>YES</v>
      </c>
    </row>
    <row r="414" spans="1:28" x14ac:dyDescent="0.3">
      <c r="A414">
        <v>414</v>
      </c>
      <c r="B414" t="s">
        <v>34</v>
      </c>
      <c r="C414" t="s">
        <v>35</v>
      </c>
      <c r="D414" s="1">
        <v>45515</v>
      </c>
      <c r="E414" s="2">
        <v>0.83333333333333337</v>
      </c>
      <c r="F414" t="s">
        <v>44</v>
      </c>
      <c r="G414">
        <v>167</v>
      </c>
      <c r="H414">
        <v>29063</v>
      </c>
      <c r="I414">
        <v>104</v>
      </c>
      <c r="J414" s="2">
        <v>0.18819444444444444</v>
      </c>
      <c r="K414" t="s">
        <v>44</v>
      </c>
      <c r="L414" t="s">
        <v>27</v>
      </c>
      <c r="M414" t="s">
        <v>28</v>
      </c>
      <c r="N414" t="s">
        <v>39</v>
      </c>
      <c r="O414">
        <v>1148</v>
      </c>
      <c r="P414">
        <v>581</v>
      </c>
      <c r="Q414">
        <v>1472</v>
      </c>
      <c r="R414">
        <v>4.9000000000000004</v>
      </c>
      <c r="S414" t="s">
        <v>40</v>
      </c>
      <c r="T414" t="s">
        <v>63</v>
      </c>
      <c r="U414" t="s">
        <v>70</v>
      </c>
      <c r="V414" t="s">
        <v>47</v>
      </c>
      <c r="W414">
        <v>791</v>
      </c>
      <c r="X414" s="6" t="str">
        <f t="shared" si="68"/>
        <v>LOW</v>
      </c>
      <c r="Y414" s="8" t="str">
        <f t="shared" si="69"/>
        <v>Series</v>
      </c>
      <c r="Z414" s="10" t="str">
        <f t="shared" si="70"/>
        <v>Comedy</v>
      </c>
      <c r="AA414" s="8" t="str">
        <f t="shared" si="71"/>
        <v>NO</v>
      </c>
      <c r="AB414" s="6" t="str">
        <f t="shared" si="72"/>
        <v>YES</v>
      </c>
    </row>
    <row r="415" spans="1:28" x14ac:dyDescent="0.3">
      <c r="A415">
        <v>415</v>
      </c>
      <c r="B415" t="s">
        <v>54</v>
      </c>
      <c r="C415" t="s">
        <v>43</v>
      </c>
      <c r="D415" s="1">
        <v>45533</v>
      </c>
      <c r="E415" s="2">
        <v>0.05</v>
      </c>
      <c r="F415" t="s">
        <v>25</v>
      </c>
      <c r="G415">
        <v>85</v>
      </c>
      <c r="H415">
        <v>42015</v>
      </c>
      <c r="I415">
        <v>38</v>
      </c>
      <c r="J415" s="2">
        <v>0.84583333333333333</v>
      </c>
      <c r="K415" t="s">
        <v>62</v>
      </c>
      <c r="L415" t="s">
        <v>56</v>
      </c>
      <c r="M415" t="s">
        <v>38</v>
      </c>
      <c r="N415" t="s">
        <v>59</v>
      </c>
      <c r="O415">
        <v>816</v>
      </c>
      <c r="P415">
        <v>1770</v>
      </c>
      <c r="Q415">
        <v>499</v>
      </c>
      <c r="R415">
        <v>1.3</v>
      </c>
      <c r="S415" t="s">
        <v>51</v>
      </c>
      <c r="T415" t="s">
        <v>63</v>
      </c>
      <c r="U415" t="s">
        <v>57</v>
      </c>
      <c r="V415" t="s">
        <v>42</v>
      </c>
      <c r="W415">
        <v>19740</v>
      </c>
      <c r="X415" s="6" t="str">
        <f t="shared" si="68"/>
        <v>LOW</v>
      </c>
      <c r="Y415" s="8" t="str">
        <f t="shared" si="69"/>
        <v>Documentary</v>
      </c>
      <c r="Z415" s="10" t="str">
        <f t="shared" si="70"/>
        <v>Sci-Fi</v>
      </c>
      <c r="AA415" s="8" t="str">
        <f t="shared" si="71"/>
        <v>NO</v>
      </c>
      <c r="AB415" s="6" t="str">
        <f t="shared" si="72"/>
        <v>NO</v>
      </c>
    </row>
    <row r="416" spans="1:28" x14ac:dyDescent="0.3">
      <c r="A416">
        <v>416</v>
      </c>
      <c r="B416" t="s">
        <v>54</v>
      </c>
      <c r="C416" t="s">
        <v>24</v>
      </c>
      <c r="D416" s="1">
        <v>45477</v>
      </c>
      <c r="E416" s="2">
        <v>0.6430555555555556</v>
      </c>
      <c r="F416" t="s">
        <v>68</v>
      </c>
      <c r="G416">
        <v>45</v>
      </c>
      <c r="H416">
        <v>38583</v>
      </c>
      <c r="I416">
        <v>52</v>
      </c>
      <c r="J416" s="2">
        <v>0.1673611111111111</v>
      </c>
      <c r="K416" t="s">
        <v>26</v>
      </c>
      <c r="L416" t="s">
        <v>56</v>
      </c>
      <c r="M416" t="s">
        <v>38</v>
      </c>
      <c r="N416" t="s">
        <v>71</v>
      </c>
      <c r="O416">
        <v>1223</v>
      </c>
      <c r="P416">
        <v>1639</v>
      </c>
      <c r="Q416">
        <v>731</v>
      </c>
      <c r="R416">
        <v>4.4000000000000004</v>
      </c>
      <c r="S416" t="s">
        <v>51</v>
      </c>
      <c r="T416" t="s">
        <v>31</v>
      </c>
      <c r="U416" t="s">
        <v>70</v>
      </c>
      <c r="V416" t="s">
        <v>67</v>
      </c>
      <c r="W416">
        <v>16599</v>
      </c>
      <c r="X416" s="6" t="str">
        <f t="shared" si="68"/>
        <v>LOW</v>
      </c>
      <c r="Y416" s="8" t="str">
        <f t="shared" si="69"/>
        <v>Documentary</v>
      </c>
      <c r="Z416" s="10" t="str">
        <f t="shared" si="70"/>
        <v>Thriller</v>
      </c>
      <c r="AA416" s="8" t="str">
        <f t="shared" si="71"/>
        <v>NO</v>
      </c>
      <c r="AB416" s="6" t="str">
        <f t="shared" si="72"/>
        <v>YES</v>
      </c>
    </row>
    <row r="417" spans="1:28" x14ac:dyDescent="0.3">
      <c r="A417">
        <v>417</v>
      </c>
      <c r="B417" t="s">
        <v>23</v>
      </c>
      <c r="C417" t="s">
        <v>61</v>
      </c>
      <c r="D417" s="1">
        <v>45503</v>
      </c>
      <c r="E417" s="2">
        <v>5.0694444444444445E-2</v>
      </c>
      <c r="F417" t="s">
        <v>26</v>
      </c>
      <c r="G417">
        <v>137</v>
      </c>
      <c r="H417">
        <v>87889</v>
      </c>
      <c r="I417">
        <v>47</v>
      </c>
      <c r="J417" s="2">
        <v>0.24166666666666667</v>
      </c>
      <c r="K417" t="s">
        <v>36</v>
      </c>
      <c r="L417" t="s">
        <v>27</v>
      </c>
      <c r="M417" t="s">
        <v>28</v>
      </c>
      <c r="N417" t="s">
        <v>50</v>
      </c>
      <c r="O417">
        <v>1036</v>
      </c>
      <c r="P417">
        <v>336</v>
      </c>
      <c r="Q417">
        <v>481</v>
      </c>
      <c r="R417">
        <v>2.2000000000000002</v>
      </c>
      <c r="S417" t="s">
        <v>30</v>
      </c>
      <c r="T417" t="s">
        <v>45</v>
      </c>
      <c r="U417" t="s">
        <v>46</v>
      </c>
      <c r="V417" t="s">
        <v>53</v>
      </c>
      <c r="W417">
        <v>10414</v>
      </c>
      <c r="X417" s="6" t="str">
        <f t="shared" si="68"/>
        <v>LOW</v>
      </c>
      <c r="Y417" s="8" t="str">
        <f t="shared" si="69"/>
        <v>Movie</v>
      </c>
      <c r="Z417" s="10" t="str">
        <f t="shared" si="70"/>
        <v>History</v>
      </c>
      <c r="AA417" s="8" t="str">
        <f t="shared" si="71"/>
        <v>NO</v>
      </c>
      <c r="AB417" s="6" t="str">
        <f t="shared" si="72"/>
        <v>NO</v>
      </c>
    </row>
    <row r="418" spans="1:28" x14ac:dyDescent="0.3">
      <c r="A418">
        <v>418</v>
      </c>
      <c r="B418" t="s">
        <v>54</v>
      </c>
      <c r="C418" t="s">
        <v>43</v>
      </c>
      <c r="D418" s="1">
        <v>45482</v>
      </c>
      <c r="E418" s="2">
        <v>0.50347222222222221</v>
      </c>
      <c r="F418" t="s">
        <v>62</v>
      </c>
      <c r="G418">
        <v>92</v>
      </c>
      <c r="H418">
        <v>96996</v>
      </c>
      <c r="I418">
        <v>30</v>
      </c>
      <c r="J418" s="2">
        <v>0.93263888888888891</v>
      </c>
      <c r="K418" t="s">
        <v>44</v>
      </c>
      <c r="L418" t="s">
        <v>37</v>
      </c>
      <c r="M418" t="s">
        <v>28</v>
      </c>
      <c r="N418" t="s">
        <v>69</v>
      </c>
      <c r="O418">
        <v>823</v>
      </c>
      <c r="P418">
        <v>634</v>
      </c>
      <c r="Q418">
        <v>322</v>
      </c>
      <c r="R418">
        <v>4.4000000000000004</v>
      </c>
      <c r="S418" t="s">
        <v>40</v>
      </c>
      <c r="T418" t="s">
        <v>31</v>
      </c>
      <c r="U418" t="s">
        <v>57</v>
      </c>
      <c r="V418" t="s">
        <v>42</v>
      </c>
      <c r="W418">
        <v>19629</v>
      </c>
      <c r="X418" s="6" t="str">
        <f t="shared" si="68"/>
        <v>LOW</v>
      </c>
      <c r="Y418" s="8" t="str">
        <f t="shared" si="69"/>
        <v>Documentary</v>
      </c>
      <c r="Z418" s="10" t="str">
        <f t="shared" si="70"/>
        <v>Sci-Fi</v>
      </c>
      <c r="AA418" s="8" t="str">
        <f t="shared" si="71"/>
        <v>NO</v>
      </c>
      <c r="AB418" s="6" t="str">
        <f t="shared" si="72"/>
        <v>YES</v>
      </c>
    </row>
    <row r="419" spans="1:28" x14ac:dyDescent="0.3">
      <c r="A419">
        <v>419</v>
      </c>
      <c r="B419" t="s">
        <v>34</v>
      </c>
      <c r="C419" t="s">
        <v>72</v>
      </c>
      <c r="D419" s="1">
        <v>45474</v>
      </c>
      <c r="E419" s="2">
        <v>9.8611111111111108E-2</v>
      </c>
      <c r="F419" t="s">
        <v>25</v>
      </c>
      <c r="G419">
        <v>250</v>
      </c>
      <c r="H419">
        <v>70210</v>
      </c>
      <c r="I419">
        <v>126</v>
      </c>
      <c r="J419" s="2">
        <v>0.93611111111111112</v>
      </c>
      <c r="K419" t="s">
        <v>26</v>
      </c>
      <c r="L419" t="s">
        <v>37</v>
      </c>
      <c r="M419" t="s">
        <v>28</v>
      </c>
      <c r="N419" t="s">
        <v>71</v>
      </c>
      <c r="O419">
        <v>319</v>
      </c>
      <c r="P419">
        <v>446</v>
      </c>
      <c r="Q419">
        <v>1038</v>
      </c>
      <c r="R419">
        <v>2.1</v>
      </c>
      <c r="S419" t="s">
        <v>40</v>
      </c>
      <c r="T419" t="s">
        <v>63</v>
      </c>
      <c r="U419" t="s">
        <v>32</v>
      </c>
      <c r="V419" t="s">
        <v>58</v>
      </c>
      <c r="W419">
        <v>3032</v>
      </c>
      <c r="X419" s="6" t="str">
        <f t="shared" si="68"/>
        <v>LOW</v>
      </c>
      <c r="Y419" s="8" t="str">
        <f t="shared" si="69"/>
        <v>Series</v>
      </c>
      <c r="Z419" s="10" t="str">
        <f t="shared" si="70"/>
        <v>Action</v>
      </c>
      <c r="AA419" s="8" t="str">
        <f t="shared" si="71"/>
        <v>NO</v>
      </c>
      <c r="AB419" s="6" t="str">
        <f t="shared" si="72"/>
        <v>NO</v>
      </c>
    </row>
    <row r="420" spans="1:28" x14ac:dyDescent="0.3">
      <c r="A420">
        <v>420</v>
      </c>
      <c r="B420" t="s">
        <v>23</v>
      </c>
      <c r="C420" t="s">
        <v>35</v>
      </c>
      <c r="D420" s="1">
        <v>45482</v>
      </c>
      <c r="E420" s="2">
        <v>0.57638888888888884</v>
      </c>
      <c r="F420" t="s">
        <v>36</v>
      </c>
      <c r="G420">
        <v>93</v>
      </c>
      <c r="H420">
        <v>48255</v>
      </c>
      <c r="I420">
        <v>44</v>
      </c>
      <c r="J420" s="2">
        <v>0.94166666666666665</v>
      </c>
      <c r="K420" t="s">
        <v>36</v>
      </c>
      <c r="L420" t="s">
        <v>49</v>
      </c>
      <c r="M420" t="s">
        <v>38</v>
      </c>
      <c r="N420" t="s">
        <v>69</v>
      </c>
      <c r="O420">
        <v>2641</v>
      </c>
      <c r="P420">
        <v>537</v>
      </c>
      <c r="Q420">
        <v>110</v>
      </c>
      <c r="R420">
        <v>2.1</v>
      </c>
      <c r="S420" t="s">
        <v>40</v>
      </c>
      <c r="T420" t="s">
        <v>63</v>
      </c>
      <c r="U420" t="s">
        <v>41</v>
      </c>
      <c r="V420" t="s">
        <v>53</v>
      </c>
      <c r="W420">
        <v>1322</v>
      </c>
      <c r="X420" s="6" t="str">
        <f t="shared" si="68"/>
        <v>LOW</v>
      </c>
      <c r="Y420" s="8" t="str">
        <f t="shared" si="69"/>
        <v>Movie</v>
      </c>
      <c r="Z420" s="10" t="str">
        <f t="shared" si="70"/>
        <v>Comedy</v>
      </c>
      <c r="AA420" s="8" t="str">
        <f t="shared" si="71"/>
        <v>NO</v>
      </c>
      <c r="AB420" s="6" t="str">
        <f t="shared" si="72"/>
        <v>NO</v>
      </c>
    </row>
    <row r="421" spans="1:28" x14ac:dyDescent="0.3">
      <c r="A421">
        <v>421</v>
      </c>
      <c r="B421" t="s">
        <v>54</v>
      </c>
      <c r="C421" t="s">
        <v>35</v>
      </c>
      <c r="D421" s="1">
        <v>45530</v>
      </c>
      <c r="E421" s="2">
        <v>0.5444444444444444</v>
      </c>
      <c r="F421" t="s">
        <v>62</v>
      </c>
      <c r="G421">
        <v>119</v>
      </c>
      <c r="H421">
        <v>27832</v>
      </c>
      <c r="I421">
        <v>61</v>
      </c>
      <c r="J421" s="2">
        <v>0.44305555555555554</v>
      </c>
      <c r="K421" t="s">
        <v>44</v>
      </c>
      <c r="L421" t="s">
        <v>56</v>
      </c>
      <c r="M421" t="s">
        <v>38</v>
      </c>
      <c r="N421" t="s">
        <v>69</v>
      </c>
      <c r="O421">
        <v>1598</v>
      </c>
      <c r="P421">
        <v>164</v>
      </c>
      <c r="Q421">
        <v>1212</v>
      </c>
      <c r="R421">
        <v>4.0999999999999996</v>
      </c>
      <c r="S421" t="s">
        <v>40</v>
      </c>
      <c r="T421" t="s">
        <v>63</v>
      </c>
      <c r="U421" t="s">
        <v>32</v>
      </c>
      <c r="V421" t="s">
        <v>33</v>
      </c>
      <c r="W421">
        <v>14035</v>
      </c>
      <c r="X421" s="6" t="str">
        <f t="shared" si="68"/>
        <v>LOW</v>
      </c>
      <c r="Y421" s="8" t="str">
        <f t="shared" si="69"/>
        <v>Documentary</v>
      </c>
      <c r="Z421" s="10" t="str">
        <f t="shared" si="70"/>
        <v>Comedy</v>
      </c>
      <c r="AA421" s="8" t="str">
        <f t="shared" si="71"/>
        <v>NO</v>
      </c>
      <c r="AB421" s="6" t="str">
        <f t="shared" si="72"/>
        <v>YES</v>
      </c>
    </row>
    <row r="422" spans="1:28" x14ac:dyDescent="0.3">
      <c r="A422">
        <v>422</v>
      </c>
      <c r="B422" t="s">
        <v>23</v>
      </c>
      <c r="C422" t="s">
        <v>72</v>
      </c>
      <c r="D422" s="1">
        <v>45487</v>
      </c>
      <c r="E422" s="2">
        <v>0.58819444444444446</v>
      </c>
      <c r="F422" t="s">
        <v>26</v>
      </c>
      <c r="G422">
        <v>155</v>
      </c>
      <c r="H422">
        <v>96876</v>
      </c>
      <c r="I422">
        <v>42</v>
      </c>
      <c r="J422" s="2">
        <v>0.86875000000000002</v>
      </c>
      <c r="K422" t="s">
        <v>26</v>
      </c>
      <c r="L422" t="s">
        <v>56</v>
      </c>
      <c r="M422" t="s">
        <v>28</v>
      </c>
      <c r="N422" t="s">
        <v>69</v>
      </c>
      <c r="O422">
        <v>968</v>
      </c>
      <c r="P422">
        <v>1978</v>
      </c>
      <c r="Q422">
        <v>1109</v>
      </c>
      <c r="R422">
        <v>3.9</v>
      </c>
      <c r="S422" t="s">
        <v>60</v>
      </c>
      <c r="T422" t="s">
        <v>63</v>
      </c>
      <c r="U422" t="s">
        <v>57</v>
      </c>
      <c r="V422" t="s">
        <v>53</v>
      </c>
      <c r="W422">
        <v>7257</v>
      </c>
      <c r="X422" s="6" t="str">
        <f t="shared" ref="X422" si="76">IF(H422&gt;15000,"HIGH",IF(H422&gt;80000,"MEDIUM","LOW"))</f>
        <v>HIGH</v>
      </c>
      <c r="Y422" s="8" t="str">
        <f t="shared" si="69"/>
        <v>Movie</v>
      </c>
      <c r="Z422" s="10" t="str">
        <f t="shared" si="70"/>
        <v>Action</v>
      </c>
      <c r="AA422" s="8" t="str">
        <f t="shared" si="71"/>
        <v>NO</v>
      </c>
      <c r="AB422" s="6" t="str">
        <f t="shared" si="72"/>
        <v>YES</v>
      </c>
    </row>
    <row r="423" spans="1:28" x14ac:dyDescent="0.3">
      <c r="A423">
        <v>423</v>
      </c>
      <c r="B423" t="s">
        <v>23</v>
      </c>
      <c r="C423" t="s">
        <v>35</v>
      </c>
      <c r="D423" s="1">
        <v>45502</v>
      </c>
      <c r="E423" s="2">
        <v>0.56458333333333333</v>
      </c>
      <c r="F423" t="s">
        <v>68</v>
      </c>
      <c r="G423">
        <v>111</v>
      </c>
      <c r="H423">
        <v>69084</v>
      </c>
      <c r="I423">
        <v>27</v>
      </c>
      <c r="J423" s="2">
        <v>0.15486111111111112</v>
      </c>
      <c r="K423" t="s">
        <v>36</v>
      </c>
      <c r="L423" t="s">
        <v>37</v>
      </c>
      <c r="M423" t="s">
        <v>38</v>
      </c>
      <c r="N423" t="s">
        <v>69</v>
      </c>
      <c r="O423">
        <v>2704</v>
      </c>
      <c r="P423">
        <v>1368</v>
      </c>
      <c r="Q423">
        <v>1379</v>
      </c>
      <c r="R423">
        <v>1</v>
      </c>
      <c r="S423" t="s">
        <v>51</v>
      </c>
      <c r="T423" t="s">
        <v>31</v>
      </c>
      <c r="U423" t="s">
        <v>57</v>
      </c>
      <c r="V423" t="s">
        <v>42</v>
      </c>
      <c r="W423">
        <v>4831</v>
      </c>
      <c r="X423" s="6" t="str">
        <f t="shared" si="68"/>
        <v>LOW</v>
      </c>
      <c r="Y423" s="8" t="str">
        <f t="shared" si="69"/>
        <v>Movie</v>
      </c>
      <c r="Z423" s="10" t="str">
        <f t="shared" si="70"/>
        <v>Comedy</v>
      </c>
      <c r="AA423" s="8" t="str">
        <f t="shared" si="71"/>
        <v>NO</v>
      </c>
      <c r="AB423" s="6" t="str">
        <f t="shared" si="72"/>
        <v>NO</v>
      </c>
    </row>
    <row r="424" spans="1:28" x14ac:dyDescent="0.3">
      <c r="A424">
        <v>424</v>
      </c>
      <c r="B424" t="s">
        <v>23</v>
      </c>
      <c r="C424" t="s">
        <v>24</v>
      </c>
      <c r="D424" s="1">
        <v>45506</v>
      </c>
      <c r="E424" s="2">
        <v>0.37152777777777779</v>
      </c>
      <c r="F424" t="s">
        <v>73</v>
      </c>
      <c r="G424">
        <v>99</v>
      </c>
      <c r="H424">
        <v>93183</v>
      </c>
      <c r="I424">
        <v>77</v>
      </c>
      <c r="J424" s="2">
        <v>0.47361111111111109</v>
      </c>
      <c r="K424" t="s">
        <v>36</v>
      </c>
      <c r="L424" t="s">
        <v>37</v>
      </c>
      <c r="M424" t="s">
        <v>28</v>
      </c>
      <c r="N424" t="s">
        <v>65</v>
      </c>
      <c r="O424">
        <v>2348</v>
      </c>
      <c r="P424">
        <v>857</v>
      </c>
      <c r="Q424">
        <v>1430</v>
      </c>
      <c r="R424">
        <v>1.2</v>
      </c>
      <c r="S424" t="s">
        <v>60</v>
      </c>
      <c r="T424" t="s">
        <v>63</v>
      </c>
      <c r="U424" t="s">
        <v>46</v>
      </c>
      <c r="V424" t="s">
        <v>67</v>
      </c>
      <c r="W424">
        <v>11884</v>
      </c>
      <c r="X424" s="6" t="str">
        <f t="shared" si="68"/>
        <v>LOW</v>
      </c>
      <c r="Y424" s="8" t="str">
        <f t="shared" si="69"/>
        <v>Movie</v>
      </c>
      <c r="Z424" s="10" t="str">
        <f t="shared" si="70"/>
        <v>Thriller</v>
      </c>
      <c r="AA424" s="8" t="str">
        <f t="shared" si="71"/>
        <v>NO</v>
      </c>
      <c r="AB424" s="6" t="str">
        <f t="shared" si="72"/>
        <v>NO</v>
      </c>
    </row>
    <row r="425" spans="1:28" x14ac:dyDescent="0.3">
      <c r="A425">
        <v>425</v>
      </c>
      <c r="B425" t="s">
        <v>54</v>
      </c>
      <c r="C425" t="s">
        <v>55</v>
      </c>
      <c r="D425" s="1">
        <v>45528</v>
      </c>
      <c r="E425" s="2">
        <v>1.1805555555555555E-2</v>
      </c>
      <c r="F425" t="s">
        <v>44</v>
      </c>
      <c r="G425">
        <v>48</v>
      </c>
      <c r="H425">
        <v>38783</v>
      </c>
      <c r="I425">
        <v>30</v>
      </c>
      <c r="J425" s="2">
        <v>0.53333333333333333</v>
      </c>
      <c r="K425" t="s">
        <v>44</v>
      </c>
      <c r="L425" t="s">
        <v>27</v>
      </c>
      <c r="M425" t="s">
        <v>28</v>
      </c>
      <c r="N425" t="s">
        <v>71</v>
      </c>
      <c r="O425">
        <v>1983</v>
      </c>
      <c r="P425">
        <v>1125</v>
      </c>
      <c r="Q425">
        <v>294</v>
      </c>
      <c r="R425">
        <v>2.8</v>
      </c>
      <c r="S425" t="s">
        <v>40</v>
      </c>
      <c r="T425" t="s">
        <v>45</v>
      </c>
      <c r="U425" t="s">
        <v>70</v>
      </c>
      <c r="V425" t="s">
        <v>42</v>
      </c>
      <c r="W425">
        <v>9147</v>
      </c>
      <c r="X425" s="6" t="str">
        <f t="shared" si="68"/>
        <v>LOW</v>
      </c>
      <c r="Y425" s="8" t="str">
        <f t="shared" si="69"/>
        <v>Documentary</v>
      </c>
      <c r="Z425" s="10" t="str">
        <f t="shared" si="70"/>
        <v>Fantasy</v>
      </c>
      <c r="AA425" s="8" t="str">
        <f t="shared" si="71"/>
        <v>NO</v>
      </c>
      <c r="AB425" s="6" t="str">
        <f t="shared" si="72"/>
        <v>YES</v>
      </c>
    </row>
    <row r="426" spans="1:28" x14ac:dyDescent="0.3">
      <c r="A426">
        <v>426</v>
      </c>
      <c r="B426" t="s">
        <v>34</v>
      </c>
      <c r="C426" t="s">
        <v>24</v>
      </c>
      <c r="D426" s="1">
        <v>45525</v>
      </c>
      <c r="E426" s="2">
        <v>0.18263888888888888</v>
      </c>
      <c r="F426" t="s">
        <v>25</v>
      </c>
      <c r="G426">
        <v>640</v>
      </c>
      <c r="H426">
        <v>89027</v>
      </c>
      <c r="I426">
        <v>105</v>
      </c>
      <c r="J426" s="2">
        <v>0.64513888888888893</v>
      </c>
      <c r="K426" t="s">
        <v>62</v>
      </c>
      <c r="L426" t="s">
        <v>37</v>
      </c>
      <c r="M426" t="s">
        <v>28</v>
      </c>
      <c r="N426" t="s">
        <v>39</v>
      </c>
      <c r="O426">
        <v>1221</v>
      </c>
      <c r="P426">
        <v>446</v>
      </c>
      <c r="Q426">
        <v>1428</v>
      </c>
      <c r="R426">
        <v>1.1000000000000001</v>
      </c>
      <c r="S426" t="s">
        <v>60</v>
      </c>
      <c r="T426" t="s">
        <v>45</v>
      </c>
      <c r="U426" t="s">
        <v>41</v>
      </c>
      <c r="V426" t="s">
        <v>33</v>
      </c>
      <c r="W426">
        <v>9575</v>
      </c>
      <c r="X426" s="6" t="str">
        <f t="shared" si="68"/>
        <v>LOW</v>
      </c>
      <c r="Y426" s="8" t="str">
        <f t="shared" si="69"/>
        <v>Series</v>
      </c>
      <c r="Z426" s="10" t="str">
        <f t="shared" si="70"/>
        <v>Thriller</v>
      </c>
      <c r="AA426" s="8" t="str">
        <f t="shared" si="71"/>
        <v>NO</v>
      </c>
      <c r="AB426" s="6" t="str">
        <f t="shared" si="72"/>
        <v>NO</v>
      </c>
    </row>
    <row r="427" spans="1:28" x14ac:dyDescent="0.3">
      <c r="A427">
        <v>427</v>
      </c>
      <c r="B427" t="s">
        <v>23</v>
      </c>
      <c r="C427" t="s">
        <v>43</v>
      </c>
      <c r="D427" s="1">
        <v>45481</v>
      </c>
      <c r="E427" s="2">
        <v>0.21041666666666667</v>
      </c>
      <c r="F427" t="s">
        <v>44</v>
      </c>
      <c r="G427">
        <v>190</v>
      </c>
      <c r="H427">
        <v>70107</v>
      </c>
      <c r="I427">
        <v>100</v>
      </c>
      <c r="J427" s="2">
        <v>0.22013888888888888</v>
      </c>
      <c r="K427" t="s">
        <v>26</v>
      </c>
      <c r="L427" t="s">
        <v>49</v>
      </c>
      <c r="M427" t="s">
        <v>28</v>
      </c>
      <c r="N427" t="s">
        <v>65</v>
      </c>
      <c r="O427">
        <v>683</v>
      </c>
      <c r="P427">
        <v>1359</v>
      </c>
      <c r="Q427">
        <v>606</v>
      </c>
      <c r="R427">
        <v>4.7</v>
      </c>
      <c r="S427" t="s">
        <v>40</v>
      </c>
      <c r="T427" t="s">
        <v>31</v>
      </c>
      <c r="U427" t="s">
        <v>46</v>
      </c>
      <c r="V427" t="s">
        <v>42</v>
      </c>
      <c r="W427">
        <v>12119</v>
      </c>
      <c r="X427" s="6" t="str">
        <f t="shared" si="68"/>
        <v>LOW</v>
      </c>
      <c r="Y427" s="8" t="str">
        <f t="shared" si="69"/>
        <v>Movie</v>
      </c>
      <c r="Z427" s="10" t="str">
        <f t="shared" si="70"/>
        <v>Sci-Fi</v>
      </c>
      <c r="AA427" s="8" t="str">
        <f t="shared" si="71"/>
        <v>NO</v>
      </c>
      <c r="AB427" s="6" t="str">
        <f t="shared" si="72"/>
        <v>YES</v>
      </c>
    </row>
    <row r="428" spans="1:28" x14ac:dyDescent="0.3">
      <c r="A428">
        <v>428</v>
      </c>
      <c r="B428" t="s">
        <v>54</v>
      </c>
      <c r="C428" t="s">
        <v>61</v>
      </c>
      <c r="D428" s="1">
        <v>45514</v>
      </c>
      <c r="E428" s="2">
        <v>0.98819444444444449</v>
      </c>
      <c r="F428" t="s">
        <v>73</v>
      </c>
      <c r="G428">
        <v>70</v>
      </c>
      <c r="H428">
        <v>38011</v>
      </c>
      <c r="I428">
        <v>53</v>
      </c>
      <c r="J428" s="2">
        <v>0.99791666666666667</v>
      </c>
      <c r="K428" t="s">
        <v>36</v>
      </c>
      <c r="L428" t="s">
        <v>37</v>
      </c>
      <c r="M428" t="s">
        <v>28</v>
      </c>
      <c r="N428" t="s">
        <v>59</v>
      </c>
      <c r="O428">
        <v>882</v>
      </c>
      <c r="P428">
        <v>1144</v>
      </c>
      <c r="Q428">
        <v>1246</v>
      </c>
      <c r="R428">
        <v>2.2000000000000002</v>
      </c>
      <c r="S428" t="s">
        <v>51</v>
      </c>
      <c r="T428" t="s">
        <v>31</v>
      </c>
      <c r="U428" t="s">
        <v>57</v>
      </c>
      <c r="V428" t="s">
        <v>47</v>
      </c>
      <c r="W428">
        <v>10152</v>
      </c>
      <c r="X428" s="6" t="str">
        <f t="shared" si="68"/>
        <v>LOW</v>
      </c>
      <c r="Y428" s="8" t="str">
        <f t="shared" si="69"/>
        <v>Documentary</v>
      </c>
      <c r="Z428" s="10" t="str">
        <f t="shared" si="70"/>
        <v>History</v>
      </c>
      <c r="AA428" s="8" t="str">
        <f t="shared" si="71"/>
        <v>NO</v>
      </c>
      <c r="AB428" s="6" t="str">
        <f t="shared" si="72"/>
        <v>NO</v>
      </c>
    </row>
    <row r="429" spans="1:28" x14ac:dyDescent="0.3">
      <c r="A429">
        <v>429</v>
      </c>
      <c r="B429" t="s">
        <v>23</v>
      </c>
      <c r="C429" t="s">
        <v>72</v>
      </c>
      <c r="D429" s="1">
        <v>45475</v>
      </c>
      <c r="E429" s="2">
        <v>0.83611111111111114</v>
      </c>
      <c r="F429" t="s">
        <v>26</v>
      </c>
      <c r="G429">
        <v>163</v>
      </c>
      <c r="H429">
        <v>25408</v>
      </c>
      <c r="I429">
        <v>111</v>
      </c>
      <c r="J429" s="2">
        <v>4.791666666666667E-2</v>
      </c>
      <c r="K429" t="s">
        <v>44</v>
      </c>
      <c r="L429" t="s">
        <v>27</v>
      </c>
      <c r="M429" t="s">
        <v>38</v>
      </c>
      <c r="N429" t="s">
        <v>29</v>
      </c>
      <c r="O429">
        <v>559</v>
      </c>
      <c r="P429">
        <v>1393</v>
      </c>
      <c r="Q429">
        <v>537</v>
      </c>
      <c r="R429">
        <v>5</v>
      </c>
      <c r="S429" t="s">
        <v>40</v>
      </c>
      <c r="T429" t="s">
        <v>31</v>
      </c>
      <c r="U429" t="s">
        <v>66</v>
      </c>
      <c r="V429" t="s">
        <v>33</v>
      </c>
      <c r="W429">
        <v>14680</v>
      </c>
      <c r="X429" s="6" t="str">
        <f t="shared" si="68"/>
        <v>LOW</v>
      </c>
      <c r="Y429" s="8" t="str">
        <f t="shared" si="69"/>
        <v>Movie</v>
      </c>
      <c r="Z429" s="10" t="str">
        <f t="shared" si="70"/>
        <v>Action</v>
      </c>
      <c r="AA429" s="8" t="str">
        <f t="shared" si="71"/>
        <v>NO</v>
      </c>
      <c r="AB429" s="6" t="str">
        <f t="shared" si="72"/>
        <v>YES</v>
      </c>
    </row>
    <row r="430" spans="1:28" x14ac:dyDescent="0.3">
      <c r="A430">
        <v>430</v>
      </c>
      <c r="B430" t="s">
        <v>54</v>
      </c>
      <c r="C430" t="s">
        <v>55</v>
      </c>
      <c r="D430" s="1">
        <v>45492</v>
      </c>
      <c r="E430" s="2">
        <v>0.85</v>
      </c>
      <c r="F430" t="s">
        <v>73</v>
      </c>
      <c r="G430">
        <v>85</v>
      </c>
      <c r="H430">
        <v>6629</v>
      </c>
      <c r="I430">
        <v>47</v>
      </c>
      <c r="J430" s="2">
        <v>0.78125</v>
      </c>
      <c r="K430" t="s">
        <v>26</v>
      </c>
      <c r="L430" t="s">
        <v>56</v>
      </c>
      <c r="M430" t="s">
        <v>38</v>
      </c>
      <c r="N430" t="s">
        <v>69</v>
      </c>
      <c r="O430">
        <v>839</v>
      </c>
      <c r="P430">
        <v>484</v>
      </c>
      <c r="Q430">
        <v>1261</v>
      </c>
      <c r="R430">
        <v>3.1</v>
      </c>
      <c r="S430" t="s">
        <v>51</v>
      </c>
      <c r="T430" t="s">
        <v>45</v>
      </c>
      <c r="U430" t="s">
        <v>57</v>
      </c>
      <c r="V430" t="s">
        <v>47</v>
      </c>
      <c r="W430">
        <v>13663</v>
      </c>
      <c r="X430" s="6" t="str">
        <f t="shared" si="68"/>
        <v>LOW</v>
      </c>
      <c r="Y430" s="8" t="str">
        <f t="shared" si="69"/>
        <v>Documentary</v>
      </c>
      <c r="Z430" s="10" t="str">
        <f t="shared" si="70"/>
        <v>Fantasy</v>
      </c>
      <c r="AA430" s="8" t="str">
        <f t="shared" si="71"/>
        <v>NO</v>
      </c>
      <c r="AB430" s="6" t="str">
        <f t="shared" si="72"/>
        <v>YES</v>
      </c>
    </row>
    <row r="431" spans="1:28" x14ac:dyDescent="0.3">
      <c r="A431">
        <v>431</v>
      </c>
      <c r="B431" t="s">
        <v>54</v>
      </c>
      <c r="C431" t="s">
        <v>61</v>
      </c>
      <c r="D431" s="1">
        <v>45483</v>
      </c>
      <c r="E431" s="2">
        <v>8.611111111111111E-2</v>
      </c>
      <c r="F431" t="s">
        <v>68</v>
      </c>
      <c r="G431">
        <v>69</v>
      </c>
      <c r="H431">
        <v>6559</v>
      </c>
      <c r="I431">
        <v>53</v>
      </c>
      <c r="J431" s="2">
        <v>0.15902777777777777</v>
      </c>
      <c r="K431" t="s">
        <v>36</v>
      </c>
      <c r="L431" t="s">
        <v>37</v>
      </c>
      <c r="M431" t="s">
        <v>38</v>
      </c>
      <c r="N431" t="s">
        <v>59</v>
      </c>
      <c r="O431">
        <v>1188</v>
      </c>
      <c r="P431">
        <v>566</v>
      </c>
      <c r="Q431">
        <v>1343</v>
      </c>
      <c r="R431">
        <v>2.1</v>
      </c>
      <c r="S431" t="s">
        <v>60</v>
      </c>
      <c r="T431" t="s">
        <v>63</v>
      </c>
      <c r="U431" t="s">
        <v>66</v>
      </c>
      <c r="V431" t="s">
        <v>58</v>
      </c>
      <c r="W431">
        <v>11365</v>
      </c>
      <c r="X431" s="6" t="str">
        <f t="shared" si="68"/>
        <v>LOW</v>
      </c>
      <c r="Y431" s="8" t="str">
        <f t="shared" si="69"/>
        <v>Documentary</v>
      </c>
      <c r="Z431" s="10" t="str">
        <f t="shared" si="70"/>
        <v>History</v>
      </c>
      <c r="AA431" s="8" t="str">
        <f t="shared" si="71"/>
        <v>NO</v>
      </c>
      <c r="AB431" s="6" t="str">
        <f t="shared" si="72"/>
        <v>NO</v>
      </c>
    </row>
    <row r="432" spans="1:28" x14ac:dyDescent="0.3">
      <c r="A432">
        <v>432</v>
      </c>
      <c r="B432" t="s">
        <v>34</v>
      </c>
      <c r="C432" t="s">
        <v>72</v>
      </c>
      <c r="D432" s="1">
        <v>45516</v>
      </c>
      <c r="E432" s="2">
        <v>0.51111111111111107</v>
      </c>
      <c r="F432" t="s">
        <v>44</v>
      </c>
      <c r="G432">
        <v>603</v>
      </c>
      <c r="H432">
        <v>72130</v>
      </c>
      <c r="I432">
        <v>57</v>
      </c>
      <c r="J432" s="2">
        <v>0.50555555555555554</v>
      </c>
      <c r="K432" t="s">
        <v>36</v>
      </c>
      <c r="L432" t="s">
        <v>37</v>
      </c>
      <c r="M432" t="s">
        <v>28</v>
      </c>
      <c r="N432" t="s">
        <v>29</v>
      </c>
      <c r="O432">
        <v>1996</v>
      </c>
      <c r="P432">
        <v>149</v>
      </c>
      <c r="Q432">
        <v>1354</v>
      </c>
      <c r="R432">
        <v>3</v>
      </c>
      <c r="S432" t="s">
        <v>60</v>
      </c>
      <c r="T432" t="s">
        <v>31</v>
      </c>
      <c r="U432" t="s">
        <v>32</v>
      </c>
      <c r="V432" t="s">
        <v>47</v>
      </c>
      <c r="W432">
        <v>17958</v>
      </c>
      <c r="X432" s="6" t="str">
        <f t="shared" ref="X432" si="77">IF(H432&gt;15000,"HIGH",IF(H432&gt;80000,"MEDIUM","LOW"))</f>
        <v>HIGH</v>
      </c>
      <c r="Y432" s="8" t="str">
        <f t="shared" si="69"/>
        <v>Series</v>
      </c>
      <c r="Z432" s="10" t="str">
        <f t="shared" si="70"/>
        <v>Action</v>
      </c>
      <c r="AA432" s="8" t="str">
        <f t="shared" si="71"/>
        <v>NO</v>
      </c>
      <c r="AB432" s="6" t="str">
        <f t="shared" si="72"/>
        <v>YES</v>
      </c>
    </row>
    <row r="433" spans="1:28" x14ac:dyDescent="0.3">
      <c r="A433">
        <v>433</v>
      </c>
      <c r="B433" t="s">
        <v>54</v>
      </c>
      <c r="C433" t="s">
        <v>64</v>
      </c>
      <c r="D433" s="1">
        <v>45545</v>
      </c>
      <c r="E433" s="2">
        <v>0.6645833333333333</v>
      </c>
      <c r="F433" t="s">
        <v>26</v>
      </c>
      <c r="G433">
        <v>110</v>
      </c>
      <c r="H433">
        <v>33439</v>
      </c>
      <c r="I433">
        <v>80</v>
      </c>
      <c r="J433" s="2">
        <v>1.8749999999999999E-2</v>
      </c>
      <c r="K433" t="s">
        <v>44</v>
      </c>
      <c r="L433" t="s">
        <v>37</v>
      </c>
      <c r="M433" t="s">
        <v>38</v>
      </c>
      <c r="N433" t="s">
        <v>76</v>
      </c>
      <c r="O433">
        <v>2872</v>
      </c>
      <c r="P433">
        <v>971</v>
      </c>
      <c r="Q433">
        <v>257</v>
      </c>
      <c r="R433">
        <v>1</v>
      </c>
      <c r="S433" t="s">
        <v>40</v>
      </c>
      <c r="T433" t="s">
        <v>45</v>
      </c>
      <c r="U433" t="s">
        <v>32</v>
      </c>
      <c r="V433" t="s">
        <v>33</v>
      </c>
      <c r="W433">
        <v>4674</v>
      </c>
      <c r="X433" s="6" t="str">
        <f t="shared" si="68"/>
        <v>LOW</v>
      </c>
      <c r="Y433" s="8" t="str">
        <f t="shared" si="69"/>
        <v>Documentary</v>
      </c>
      <c r="Z433" s="10" t="str">
        <f t="shared" si="70"/>
        <v>Drama</v>
      </c>
      <c r="AA433" s="8" t="str">
        <f t="shared" si="71"/>
        <v>NO</v>
      </c>
      <c r="AB433" s="6" t="str">
        <f t="shared" si="72"/>
        <v>NO</v>
      </c>
    </row>
    <row r="434" spans="1:28" x14ac:dyDescent="0.3">
      <c r="A434">
        <v>434</v>
      </c>
      <c r="B434" t="s">
        <v>23</v>
      </c>
      <c r="C434" t="s">
        <v>35</v>
      </c>
      <c r="D434" s="1">
        <v>45535</v>
      </c>
      <c r="E434" s="2">
        <v>0.18819444444444444</v>
      </c>
      <c r="F434" t="s">
        <v>68</v>
      </c>
      <c r="G434">
        <v>176</v>
      </c>
      <c r="H434">
        <v>12849</v>
      </c>
      <c r="I434">
        <v>111</v>
      </c>
      <c r="J434" s="2">
        <v>0.20555555555555555</v>
      </c>
      <c r="K434" t="s">
        <v>62</v>
      </c>
      <c r="L434" t="s">
        <v>27</v>
      </c>
      <c r="M434" t="s">
        <v>28</v>
      </c>
      <c r="N434" t="s">
        <v>76</v>
      </c>
      <c r="O434">
        <v>1179</v>
      </c>
      <c r="P434">
        <v>1451</v>
      </c>
      <c r="Q434">
        <v>1364</v>
      </c>
      <c r="R434">
        <v>4.5</v>
      </c>
      <c r="S434" t="s">
        <v>40</v>
      </c>
      <c r="T434" t="s">
        <v>45</v>
      </c>
      <c r="U434" t="s">
        <v>70</v>
      </c>
      <c r="V434" t="s">
        <v>67</v>
      </c>
      <c r="W434">
        <v>10832</v>
      </c>
      <c r="X434" s="6" t="str">
        <f t="shared" si="68"/>
        <v>LOW</v>
      </c>
      <c r="Y434" s="8" t="str">
        <f t="shared" si="69"/>
        <v>Movie</v>
      </c>
      <c r="Z434" s="10" t="str">
        <f t="shared" si="70"/>
        <v>Comedy</v>
      </c>
      <c r="AA434" s="8" t="str">
        <f t="shared" si="71"/>
        <v>NO</v>
      </c>
      <c r="AB434" s="6" t="str">
        <f t="shared" si="72"/>
        <v>YES</v>
      </c>
    </row>
    <row r="435" spans="1:28" x14ac:dyDescent="0.3">
      <c r="A435">
        <v>435</v>
      </c>
      <c r="B435" t="s">
        <v>34</v>
      </c>
      <c r="C435" t="s">
        <v>72</v>
      </c>
      <c r="D435" s="1">
        <v>45493</v>
      </c>
      <c r="E435" s="2">
        <v>0.24791666666666667</v>
      </c>
      <c r="F435" t="s">
        <v>36</v>
      </c>
      <c r="G435">
        <v>590</v>
      </c>
      <c r="H435">
        <v>68694</v>
      </c>
      <c r="I435">
        <v>25</v>
      </c>
      <c r="J435" s="2">
        <v>0.33333333333333331</v>
      </c>
      <c r="K435" t="s">
        <v>26</v>
      </c>
      <c r="L435" t="s">
        <v>37</v>
      </c>
      <c r="M435" t="s">
        <v>38</v>
      </c>
      <c r="N435" t="s">
        <v>69</v>
      </c>
      <c r="O435">
        <v>91</v>
      </c>
      <c r="P435">
        <v>1260</v>
      </c>
      <c r="Q435">
        <v>42</v>
      </c>
      <c r="R435">
        <v>1.2</v>
      </c>
      <c r="S435" t="s">
        <v>60</v>
      </c>
      <c r="T435" t="s">
        <v>31</v>
      </c>
      <c r="U435" t="s">
        <v>46</v>
      </c>
      <c r="V435" t="s">
        <v>42</v>
      </c>
      <c r="W435">
        <v>8790</v>
      </c>
      <c r="X435" s="6" t="str">
        <f t="shared" si="68"/>
        <v>LOW</v>
      </c>
      <c r="Y435" s="8" t="str">
        <f t="shared" si="69"/>
        <v>Series</v>
      </c>
      <c r="Z435" s="10" t="str">
        <f t="shared" si="70"/>
        <v>Action</v>
      </c>
      <c r="AA435" s="8" t="str">
        <f t="shared" si="71"/>
        <v>NO</v>
      </c>
      <c r="AB435" s="6" t="str">
        <f t="shared" si="72"/>
        <v>NO</v>
      </c>
    </row>
    <row r="436" spans="1:28" x14ac:dyDescent="0.3">
      <c r="A436">
        <v>436</v>
      </c>
      <c r="B436" t="s">
        <v>34</v>
      </c>
      <c r="C436" t="s">
        <v>43</v>
      </c>
      <c r="D436" s="1">
        <v>45525</v>
      </c>
      <c r="E436" s="2">
        <v>0.6</v>
      </c>
      <c r="F436" t="s">
        <v>73</v>
      </c>
      <c r="G436">
        <v>797</v>
      </c>
      <c r="H436">
        <v>15041</v>
      </c>
      <c r="I436">
        <v>39</v>
      </c>
      <c r="J436" s="2">
        <v>0.4465277777777778</v>
      </c>
      <c r="K436" t="s">
        <v>36</v>
      </c>
      <c r="L436" t="s">
        <v>37</v>
      </c>
      <c r="M436" t="s">
        <v>38</v>
      </c>
      <c r="N436" t="s">
        <v>29</v>
      </c>
      <c r="O436">
        <v>1284</v>
      </c>
      <c r="P436">
        <v>1061</v>
      </c>
      <c r="Q436">
        <v>846</v>
      </c>
      <c r="R436">
        <v>3.3</v>
      </c>
      <c r="S436" t="s">
        <v>40</v>
      </c>
      <c r="T436" t="s">
        <v>45</v>
      </c>
      <c r="U436" t="s">
        <v>70</v>
      </c>
      <c r="V436" t="s">
        <v>53</v>
      </c>
      <c r="W436">
        <v>16448</v>
      </c>
      <c r="X436" s="6" t="str">
        <f t="shared" si="68"/>
        <v>LOW</v>
      </c>
      <c r="Y436" s="8" t="str">
        <f t="shared" si="69"/>
        <v>Series</v>
      </c>
      <c r="Z436" s="10" t="str">
        <f t="shared" si="70"/>
        <v>Sci-Fi</v>
      </c>
      <c r="AA436" s="8" t="str">
        <f t="shared" si="71"/>
        <v>NO</v>
      </c>
      <c r="AB436" s="6" t="str">
        <f t="shared" si="72"/>
        <v>YES</v>
      </c>
    </row>
    <row r="437" spans="1:28" x14ac:dyDescent="0.3">
      <c r="A437">
        <v>437</v>
      </c>
      <c r="B437" t="s">
        <v>34</v>
      </c>
      <c r="C437" t="s">
        <v>72</v>
      </c>
      <c r="D437" s="1">
        <v>45523</v>
      </c>
      <c r="E437" s="2">
        <v>0.43263888888888891</v>
      </c>
      <c r="F437" t="s">
        <v>73</v>
      </c>
      <c r="G437">
        <v>269</v>
      </c>
      <c r="H437">
        <v>64283</v>
      </c>
      <c r="I437">
        <v>111</v>
      </c>
      <c r="J437" s="2">
        <v>0.73402777777777772</v>
      </c>
      <c r="K437" t="s">
        <v>44</v>
      </c>
      <c r="L437" t="s">
        <v>49</v>
      </c>
      <c r="M437" t="s">
        <v>38</v>
      </c>
      <c r="N437" t="s">
        <v>69</v>
      </c>
      <c r="O437">
        <v>2229</v>
      </c>
      <c r="P437">
        <v>801</v>
      </c>
      <c r="Q437">
        <v>1165</v>
      </c>
      <c r="R437">
        <v>2</v>
      </c>
      <c r="S437" t="s">
        <v>60</v>
      </c>
      <c r="T437" t="s">
        <v>31</v>
      </c>
      <c r="U437" t="s">
        <v>52</v>
      </c>
      <c r="V437" t="s">
        <v>58</v>
      </c>
      <c r="W437">
        <v>6503</v>
      </c>
      <c r="X437" s="6" t="str">
        <f t="shared" si="68"/>
        <v>LOW</v>
      </c>
      <c r="Y437" s="8" t="str">
        <f t="shared" si="69"/>
        <v>Series</v>
      </c>
      <c r="Z437" s="10" t="str">
        <f t="shared" si="70"/>
        <v>Action</v>
      </c>
      <c r="AA437" s="8" t="str">
        <f t="shared" si="71"/>
        <v>NO</v>
      </c>
      <c r="AB437" s="6" t="str">
        <f t="shared" si="72"/>
        <v>NO</v>
      </c>
    </row>
    <row r="438" spans="1:28" x14ac:dyDescent="0.3">
      <c r="A438">
        <v>438</v>
      </c>
      <c r="B438" t="s">
        <v>34</v>
      </c>
      <c r="C438" t="s">
        <v>48</v>
      </c>
      <c r="D438" s="1">
        <v>45544</v>
      </c>
      <c r="E438" s="2">
        <v>0.72291666666666665</v>
      </c>
      <c r="F438" t="s">
        <v>36</v>
      </c>
      <c r="G438">
        <v>1020</v>
      </c>
      <c r="H438">
        <v>49876</v>
      </c>
      <c r="I438">
        <v>51</v>
      </c>
      <c r="J438" s="2">
        <v>0.23819444444444443</v>
      </c>
      <c r="K438" t="s">
        <v>26</v>
      </c>
      <c r="L438" t="s">
        <v>37</v>
      </c>
      <c r="M438" t="s">
        <v>28</v>
      </c>
      <c r="N438" t="s">
        <v>65</v>
      </c>
      <c r="O438">
        <v>641</v>
      </c>
      <c r="P438">
        <v>172</v>
      </c>
      <c r="Q438">
        <v>299</v>
      </c>
      <c r="R438">
        <v>2</v>
      </c>
      <c r="S438" t="s">
        <v>30</v>
      </c>
      <c r="T438" t="s">
        <v>45</v>
      </c>
      <c r="U438" t="s">
        <v>57</v>
      </c>
      <c r="V438" t="s">
        <v>47</v>
      </c>
      <c r="W438">
        <v>7225</v>
      </c>
      <c r="X438" s="6" t="str">
        <f t="shared" si="68"/>
        <v>LOW</v>
      </c>
      <c r="Y438" s="8" t="str">
        <f t="shared" si="69"/>
        <v>Series</v>
      </c>
      <c r="Z438" s="10" t="str">
        <f t="shared" si="70"/>
        <v>Romance</v>
      </c>
      <c r="AA438" s="8" t="str">
        <f t="shared" si="71"/>
        <v>NO</v>
      </c>
      <c r="AB438" s="6" t="str">
        <f t="shared" si="72"/>
        <v>NO</v>
      </c>
    </row>
    <row r="439" spans="1:28" x14ac:dyDescent="0.3">
      <c r="A439">
        <v>439</v>
      </c>
      <c r="B439" t="s">
        <v>23</v>
      </c>
      <c r="C439" t="s">
        <v>72</v>
      </c>
      <c r="D439" s="1">
        <v>45482</v>
      </c>
      <c r="E439" s="2">
        <v>0.65277777777777779</v>
      </c>
      <c r="F439" t="s">
        <v>73</v>
      </c>
      <c r="G439">
        <v>142</v>
      </c>
      <c r="H439">
        <v>78164</v>
      </c>
      <c r="I439">
        <v>31</v>
      </c>
      <c r="J439" s="2">
        <v>0.55277777777777781</v>
      </c>
      <c r="K439" t="s">
        <v>36</v>
      </c>
      <c r="L439" t="s">
        <v>37</v>
      </c>
      <c r="M439" t="s">
        <v>28</v>
      </c>
      <c r="N439" t="s">
        <v>65</v>
      </c>
      <c r="O439">
        <v>2773</v>
      </c>
      <c r="P439">
        <v>168</v>
      </c>
      <c r="Q439">
        <v>1381</v>
      </c>
      <c r="R439">
        <v>3.6</v>
      </c>
      <c r="S439" t="s">
        <v>40</v>
      </c>
      <c r="T439" t="s">
        <v>45</v>
      </c>
      <c r="U439" t="s">
        <v>52</v>
      </c>
      <c r="V439" t="s">
        <v>58</v>
      </c>
      <c r="W439">
        <v>6227</v>
      </c>
      <c r="X439" s="6" t="str">
        <f t="shared" si="68"/>
        <v>LOW</v>
      </c>
      <c r="Y439" s="8" t="str">
        <f t="shared" si="69"/>
        <v>Movie</v>
      </c>
      <c r="Z439" s="10" t="str">
        <f t="shared" si="70"/>
        <v>Action</v>
      </c>
      <c r="AA439" s="8" t="str">
        <f t="shared" si="71"/>
        <v>NO</v>
      </c>
      <c r="AB439" s="6" t="str">
        <f t="shared" si="72"/>
        <v>YES</v>
      </c>
    </row>
    <row r="440" spans="1:28" x14ac:dyDescent="0.3">
      <c r="A440">
        <v>440</v>
      </c>
      <c r="B440" t="s">
        <v>54</v>
      </c>
      <c r="C440" t="s">
        <v>48</v>
      </c>
      <c r="D440" s="1">
        <v>45538</v>
      </c>
      <c r="E440" s="2">
        <v>0.98958333333333337</v>
      </c>
      <c r="F440" t="s">
        <v>26</v>
      </c>
      <c r="G440">
        <v>58</v>
      </c>
      <c r="H440">
        <v>43378</v>
      </c>
      <c r="I440">
        <v>30</v>
      </c>
      <c r="J440" s="2">
        <v>0.36249999999999999</v>
      </c>
      <c r="K440" t="s">
        <v>44</v>
      </c>
      <c r="L440" t="s">
        <v>56</v>
      </c>
      <c r="M440" t="s">
        <v>38</v>
      </c>
      <c r="N440" t="s">
        <v>76</v>
      </c>
      <c r="O440">
        <v>419</v>
      </c>
      <c r="P440">
        <v>1137</v>
      </c>
      <c r="Q440">
        <v>1498</v>
      </c>
      <c r="R440">
        <v>2</v>
      </c>
      <c r="S440" t="s">
        <v>51</v>
      </c>
      <c r="T440" t="s">
        <v>63</v>
      </c>
      <c r="U440" t="s">
        <v>52</v>
      </c>
      <c r="V440" t="s">
        <v>47</v>
      </c>
      <c r="W440">
        <v>14969</v>
      </c>
      <c r="X440" s="6" t="str">
        <f t="shared" si="68"/>
        <v>LOW</v>
      </c>
      <c r="Y440" s="8" t="str">
        <f t="shared" si="69"/>
        <v>Documentary</v>
      </c>
      <c r="Z440" s="10" t="str">
        <f t="shared" si="70"/>
        <v>Romance</v>
      </c>
      <c r="AA440" s="8" t="str">
        <f t="shared" si="71"/>
        <v>NO</v>
      </c>
      <c r="AB440" s="6" t="str">
        <f t="shared" si="72"/>
        <v>NO</v>
      </c>
    </row>
    <row r="441" spans="1:28" x14ac:dyDescent="0.3">
      <c r="A441">
        <v>441</v>
      </c>
      <c r="B441" t="s">
        <v>23</v>
      </c>
      <c r="C441" t="s">
        <v>72</v>
      </c>
      <c r="D441" s="1">
        <v>45477</v>
      </c>
      <c r="E441" s="2">
        <v>0.48472222222222222</v>
      </c>
      <c r="F441" t="s">
        <v>36</v>
      </c>
      <c r="G441">
        <v>90</v>
      </c>
      <c r="H441">
        <v>99427</v>
      </c>
      <c r="I441">
        <v>43</v>
      </c>
      <c r="J441" s="2">
        <v>0.6958333333333333</v>
      </c>
      <c r="K441" t="s">
        <v>26</v>
      </c>
      <c r="L441" t="s">
        <v>56</v>
      </c>
      <c r="M441" t="s">
        <v>28</v>
      </c>
      <c r="N441" t="s">
        <v>76</v>
      </c>
      <c r="O441">
        <v>337</v>
      </c>
      <c r="P441">
        <v>204</v>
      </c>
      <c r="Q441">
        <v>1422</v>
      </c>
      <c r="R441">
        <v>2.9</v>
      </c>
      <c r="S441" t="s">
        <v>51</v>
      </c>
      <c r="T441" t="s">
        <v>45</v>
      </c>
      <c r="U441" t="s">
        <v>70</v>
      </c>
      <c r="V441" t="s">
        <v>58</v>
      </c>
      <c r="W441">
        <v>8317</v>
      </c>
      <c r="X441" s="6" t="str">
        <f t="shared" si="68"/>
        <v>LOW</v>
      </c>
      <c r="Y441" s="8" t="str">
        <f t="shared" si="69"/>
        <v>Movie</v>
      </c>
      <c r="Z441" s="10" t="str">
        <f t="shared" si="70"/>
        <v>Action</v>
      </c>
      <c r="AA441" s="8" t="str">
        <f t="shared" si="71"/>
        <v>NO</v>
      </c>
      <c r="AB441" s="6" t="str">
        <f t="shared" si="72"/>
        <v>YES</v>
      </c>
    </row>
    <row r="442" spans="1:28" x14ac:dyDescent="0.3">
      <c r="A442">
        <v>442</v>
      </c>
      <c r="B442" t="s">
        <v>34</v>
      </c>
      <c r="C442" t="s">
        <v>55</v>
      </c>
      <c r="D442" s="1">
        <v>45485</v>
      </c>
      <c r="E442" s="2">
        <v>0.41736111111111113</v>
      </c>
      <c r="F442" t="s">
        <v>73</v>
      </c>
      <c r="G442">
        <v>819</v>
      </c>
      <c r="H442">
        <v>60164</v>
      </c>
      <c r="I442">
        <v>78</v>
      </c>
      <c r="J442" s="2">
        <v>0.14652777777777778</v>
      </c>
      <c r="K442" t="s">
        <v>36</v>
      </c>
      <c r="L442" t="s">
        <v>27</v>
      </c>
      <c r="M442" t="s">
        <v>38</v>
      </c>
      <c r="N442" t="s">
        <v>69</v>
      </c>
      <c r="O442">
        <v>1584</v>
      </c>
      <c r="P442">
        <v>1524</v>
      </c>
      <c r="Q442">
        <v>1234</v>
      </c>
      <c r="R442">
        <v>1</v>
      </c>
      <c r="S442" t="s">
        <v>30</v>
      </c>
      <c r="T442" t="s">
        <v>45</v>
      </c>
      <c r="U442" t="s">
        <v>57</v>
      </c>
      <c r="V442" t="s">
        <v>47</v>
      </c>
      <c r="W442">
        <v>6929</v>
      </c>
      <c r="X442" s="6" t="str">
        <f t="shared" ref="X442" si="78">IF(H442&gt;15000,"HIGH",IF(H442&gt;80000,"MEDIUM","LOW"))</f>
        <v>HIGH</v>
      </c>
      <c r="Y442" s="8" t="str">
        <f t="shared" si="69"/>
        <v>Series</v>
      </c>
      <c r="Z442" s="10" t="str">
        <f t="shared" si="70"/>
        <v>Fantasy</v>
      </c>
      <c r="AA442" s="8" t="str">
        <f t="shared" si="71"/>
        <v>NO</v>
      </c>
      <c r="AB442" s="6" t="str">
        <f t="shared" si="72"/>
        <v>NO</v>
      </c>
    </row>
    <row r="443" spans="1:28" x14ac:dyDescent="0.3">
      <c r="A443">
        <v>443</v>
      </c>
      <c r="B443" t="s">
        <v>23</v>
      </c>
      <c r="C443" t="s">
        <v>24</v>
      </c>
      <c r="D443" s="1">
        <v>45531</v>
      </c>
      <c r="E443" s="2">
        <v>0.39374999999999999</v>
      </c>
      <c r="F443" t="s">
        <v>62</v>
      </c>
      <c r="G443">
        <v>97</v>
      </c>
      <c r="H443">
        <v>26816</v>
      </c>
      <c r="I443">
        <v>46</v>
      </c>
      <c r="J443" s="2">
        <v>0.1673611111111111</v>
      </c>
      <c r="K443" t="s">
        <v>36</v>
      </c>
      <c r="L443" t="s">
        <v>37</v>
      </c>
      <c r="M443" t="s">
        <v>28</v>
      </c>
      <c r="N443" t="s">
        <v>76</v>
      </c>
      <c r="O443">
        <v>2165</v>
      </c>
      <c r="P443">
        <v>1449</v>
      </c>
      <c r="Q443">
        <v>1405</v>
      </c>
      <c r="R443">
        <v>1.6</v>
      </c>
      <c r="S443" t="s">
        <v>60</v>
      </c>
      <c r="T443" t="s">
        <v>63</v>
      </c>
      <c r="U443" t="s">
        <v>70</v>
      </c>
      <c r="V443" t="s">
        <v>58</v>
      </c>
      <c r="W443">
        <v>3592</v>
      </c>
      <c r="X443" s="6" t="str">
        <f t="shared" si="68"/>
        <v>LOW</v>
      </c>
      <c r="Y443" s="8" t="str">
        <f t="shared" si="69"/>
        <v>Movie</v>
      </c>
      <c r="Z443" s="10" t="str">
        <f t="shared" si="70"/>
        <v>Thriller</v>
      </c>
      <c r="AA443" s="8" t="str">
        <f t="shared" si="71"/>
        <v>NO</v>
      </c>
      <c r="AB443" s="6" t="str">
        <f t="shared" si="72"/>
        <v>NO</v>
      </c>
    </row>
    <row r="444" spans="1:28" x14ac:dyDescent="0.3">
      <c r="A444">
        <v>444</v>
      </c>
      <c r="B444" t="s">
        <v>34</v>
      </c>
      <c r="C444" t="s">
        <v>64</v>
      </c>
      <c r="D444" s="1">
        <v>45537</v>
      </c>
      <c r="E444" s="2">
        <v>0.91249999999999998</v>
      </c>
      <c r="F444" t="s">
        <v>62</v>
      </c>
      <c r="G444">
        <v>262</v>
      </c>
      <c r="H444">
        <v>93700</v>
      </c>
      <c r="I444">
        <v>110</v>
      </c>
      <c r="J444" s="2">
        <v>0.9604166666666667</v>
      </c>
      <c r="K444" t="s">
        <v>44</v>
      </c>
      <c r="L444" t="s">
        <v>49</v>
      </c>
      <c r="M444" t="s">
        <v>28</v>
      </c>
      <c r="N444" t="s">
        <v>71</v>
      </c>
      <c r="O444">
        <v>500</v>
      </c>
      <c r="P444">
        <v>1728</v>
      </c>
      <c r="Q444">
        <v>287</v>
      </c>
      <c r="R444">
        <v>2.7</v>
      </c>
      <c r="S444" t="s">
        <v>60</v>
      </c>
      <c r="T444" t="s">
        <v>63</v>
      </c>
      <c r="U444" t="s">
        <v>74</v>
      </c>
      <c r="V444" t="s">
        <v>47</v>
      </c>
      <c r="W444">
        <v>7395</v>
      </c>
      <c r="X444" s="6" t="str">
        <f t="shared" si="68"/>
        <v>LOW</v>
      </c>
      <c r="Y444" s="8" t="str">
        <f t="shared" si="69"/>
        <v>Series</v>
      </c>
      <c r="Z444" s="10" t="str">
        <f t="shared" si="70"/>
        <v>Drama</v>
      </c>
      <c r="AA444" s="8" t="str">
        <f t="shared" si="71"/>
        <v>NO</v>
      </c>
      <c r="AB444" s="6" t="str">
        <f t="shared" si="72"/>
        <v>NO</v>
      </c>
    </row>
    <row r="445" spans="1:28" x14ac:dyDescent="0.3">
      <c r="A445">
        <v>445</v>
      </c>
      <c r="B445" t="s">
        <v>34</v>
      </c>
      <c r="C445" t="s">
        <v>35</v>
      </c>
      <c r="D445" s="1">
        <v>45520</v>
      </c>
      <c r="E445" s="2">
        <v>0.96805555555555556</v>
      </c>
      <c r="F445" t="s">
        <v>68</v>
      </c>
      <c r="G445">
        <v>365</v>
      </c>
      <c r="H445">
        <v>77736</v>
      </c>
      <c r="I445">
        <v>89</v>
      </c>
      <c r="J445" s="2">
        <v>0.1736111111111111</v>
      </c>
      <c r="K445" t="s">
        <v>62</v>
      </c>
      <c r="L445" t="s">
        <v>37</v>
      </c>
      <c r="M445" t="s">
        <v>28</v>
      </c>
      <c r="N445" t="s">
        <v>59</v>
      </c>
      <c r="O445">
        <v>293</v>
      </c>
      <c r="P445">
        <v>100</v>
      </c>
      <c r="Q445">
        <v>1052</v>
      </c>
      <c r="R445">
        <v>2.2999999999999998</v>
      </c>
      <c r="S445" t="s">
        <v>51</v>
      </c>
      <c r="T445" t="s">
        <v>31</v>
      </c>
      <c r="U445" t="s">
        <v>66</v>
      </c>
      <c r="V445" t="s">
        <v>42</v>
      </c>
      <c r="W445">
        <v>12635</v>
      </c>
      <c r="X445" s="6" t="str">
        <f t="shared" si="68"/>
        <v>LOW</v>
      </c>
      <c r="Y445" s="8" t="str">
        <f t="shared" si="69"/>
        <v>Series</v>
      </c>
      <c r="Z445" s="10" t="str">
        <f t="shared" si="70"/>
        <v>Comedy</v>
      </c>
      <c r="AA445" s="8" t="str">
        <f t="shared" si="71"/>
        <v>NO</v>
      </c>
      <c r="AB445" s="6" t="str">
        <f t="shared" si="72"/>
        <v>NO</v>
      </c>
    </row>
    <row r="446" spans="1:28" x14ac:dyDescent="0.3">
      <c r="A446">
        <v>446</v>
      </c>
      <c r="B446" t="s">
        <v>23</v>
      </c>
      <c r="C446" t="s">
        <v>61</v>
      </c>
      <c r="D446" s="1">
        <v>45505</v>
      </c>
      <c r="E446" s="2">
        <v>0.97986111111111107</v>
      </c>
      <c r="F446" t="s">
        <v>44</v>
      </c>
      <c r="G446">
        <v>181</v>
      </c>
      <c r="H446">
        <v>94358</v>
      </c>
      <c r="I446">
        <v>63</v>
      </c>
      <c r="J446" s="2">
        <v>2.0833333333333332E-2</v>
      </c>
      <c r="K446" t="s">
        <v>26</v>
      </c>
      <c r="L446" t="s">
        <v>27</v>
      </c>
      <c r="M446" t="s">
        <v>38</v>
      </c>
      <c r="N446" t="s">
        <v>71</v>
      </c>
      <c r="O446">
        <v>692</v>
      </c>
      <c r="P446">
        <v>380</v>
      </c>
      <c r="Q446">
        <v>1067</v>
      </c>
      <c r="R446">
        <v>1.1000000000000001</v>
      </c>
      <c r="S446" t="s">
        <v>40</v>
      </c>
      <c r="T446" t="s">
        <v>63</v>
      </c>
      <c r="U446" t="s">
        <v>66</v>
      </c>
      <c r="V446" t="s">
        <v>33</v>
      </c>
      <c r="W446">
        <v>18665</v>
      </c>
      <c r="X446" s="6" t="str">
        <f t="shared" si="68"/>
        <v>LOW</v>
      </c>
      <c r="Y446" s="8" t="str">
        <f t="shared" si="69"/>
        <v>Movie</v>
      </c>
      <c r="Z446" s="10" t="str">
        <f t="shared" si="70"/>
        <v>History</v>
      </c>
      <c r="AA446" s="8" t="str">
        <f t="shared" si="71"/>
        <v>NO</v>
      </c>
      <c r="AB446" s="6" t="str">
        <f t="shared" si="72"/>
        <v>NO</v>
      </c>
    </row>
    <row r="447" spans="1:28" x14ac:dyDescent="0.3">
      <c r="A447">
        <v>447</v>
      </c>
      <c r="B447" t="s">
        <v>54</v>
      </c>
      <c r="C447" t="s">
        <v>55</v>
      </c>
      <c r="D447" s="1">
        <v>45490</v>
      </c>
      <c r="E447" s="2">
        <v>0.58888888888888891</v>
      </c>
      <c r="F447" t="s">
        <v>62</v>
      </c>
      <c r="G447">
        <v>59</v>
      </c>
      <c r="H447">
        <v>79333</v>
      </c>
      <c r="I447">
        <v>32</v>
      </c>
      <c r="J447" s="2">
        <v>0.78333333333333333</v>
      </c>
      <c r="K447" t="s">
        <v>36</v>
      </c>
      <c r="L447" t="s">
        <v>56</v>
      </c>
      <c r="M447" t="s">
        <v>38</v>
      </c>
      <c r="N447" t="s">
        <v>29</v>
      </c>
      <c r="O447">
        <v>2928</v>
      </c>
      <c r="P447">
        <v>30</v>
      </c>
      <c r="Q447">
        <v>551</v>
      </c>
      <c r="R447">
        <v>3.9</v>
      </c>
      <c r="S447" t="s">
        <v>40</v>
      </c>
      <c r="T447" t="s">
        <v>63</v>
      </c>
      <c r="U447" t="s">
        <v>70</v>
      </c>
      <c r="V447" t="s">
        <v>33</v>
      </c>
      <c r="W447">
        <v>14595</v>
      </c>
      <c r="X447" s="6" t="str">
        <f t="shared" si="68"/>
        <v>LOW</v>
      </c>
      <c r="Y447" s="8" t="str">
        <f t="shared" si="69"/>
        <v>Documentary</v>
      </c>
      <c r="Z447" s="10" t="str">
        <f t="shared" si="70"/>
        <v>Fantasy</v>
      </c>
      <c r="AA447" s="8" t="str">
        <f t="shared" si="71"/>
        <v>NO</v>
      </c>
      <c r="AB447" s="6" t="str">
        <f t="shared" si="72"/>
        <v>YES</v>
      </c>
    </row>
    <row r="448" spans="1:28" x14ac:dyDescent="0.3">
      <c r="A448">
        <v>448</v>
      </c>
      <c r="B448" t="s">
        <v>34</v>
      </c>
      <c r="C448" t="s">
        <v>75</v>
      </c>
      <c r="D448" s="1">
        <v>45482</v>
      </c>
      <c r="E448" s="2">
        <v>0.99444444444444446</v>
      </c>
      <c r="F448" t="s">
        <v>25</v>
      </c>
      <c r="G448">
        <v>1099</v>
      </c>
      <c r="H448">
        <v>36542</v>
      </c>
      <c r="I448">
        <v>81</v>
      </c>
      <c r="J448" s="2">
        <v>0.7</v>
      </c>
      <c r="K448" t="s">
        <v>44</v>
      </c>
      <c r="L448" t="s">
        <v>56</v>
      </c>
      <c r="M448" t="s">
        <v>28</v>
      </c>
      <c r="N448" t="s">
        <v>39</v>
      </c>
      <c r="O448">
        <v>137</v>
      </c>
      <c r="P448">
        <v>1115</v>
      </c>
      <c r="Q448">
        <v>370</v>
      </c>
      <c r="R448">
        <v>4.9000000000000004</v>
      </c>
      <c r="S448" t="s">
        <v>40</v>
      </c>
      <c r="T448" t="s">
        <v>45</v>
      </c>
      <c r="U448" t="s">
        <v>41</v>
      </c>
      <c r="V448" t="s">
        <v>47</v>
      </c>
      <c r="W448">
        <v>9815</v>
      </c>
      <c r="X448" s="6" t="str">
        <f t="shared" si="68"/>
        <v>LOW</v>
      </c>
      <c r="Y448" s="8" t="str">
        <f t="shared" si="69"/>
        <v>Series</v>
      </c>
      <c r="Z448" s="10" t="str">
        <f t="shared" si="70"/>
        <v>Nature</v>
      </c>
      <c r="AA448" s="8" t="str">
        <f t="shared" si="71"/>
        <v>NO</v>
      </c>
      <c r="AB448" s="6" t="str">
        <f t="shared" si="72"/>
        <v>YES</v>
      </c>
    </row>
    <row r="449" spans="1:28" x14ac:dyDescent="0.3">
      <c r="A449">
        <v>449</v>
      </c>
      <c r="B449" t="s">
        <v>34</v>
      </c>
      <c r="C449" t="s">
        <v>61</v>
      </c>
      <c r="D449" s="1">
        <v>45516</v>
      </c>
      <c r="E449" s="2">
        <v>0.73958333333333337</v>
      </c>
      <c r="F449" t="s">
        <v>26</v>
      </c>
      <c r="G449">
        <v>130</v>
      </c>
      <c r="H449">
        <v>39343</v>
      </c>
      <c r="I449">
        <v>76</v>
      </c>
      <c r="J449" s="2">
        <v>0.44722222222222224</v>
      </c>
      <c r="K449" t="s">
        <v>26</v>
      </c>
      <c r="L449" t="s">
        <v>49</v>
      </c>
      <c r="M449" t="s">
        <v>28</v>
      </c>
      <c r="N449" t="s">
        <v>39</v>
      </c>
      <c r="O449">
        <v>808</v>
      </c>
      <c r="P449">
        <v>1692</v>
      </c>
      <c r="Q449">
        <v>1230</v>
      </c>
      <c r="R449">
        <v>1.9</v>
      </c>
      <c r="S449" t="s">
        <v>51</v>
      </c>
      <c r="T449" t="s">
        <v>63</v>
      </c>
      <c r="U449" t="s">
        <v>41</v>
      </c>
      <c r="V449" t="s">
        <v>47</v>
      </c>
      <c r="W449">
        <v>6121</v>
      </c>
      <c r="X449" s="6" t="str">
        <f t="shared" si="68"/>
        <v>LOW</v>
      </c>
      <c r="Y449" s="8" t="str">
        <f t="shared" si="69"/>
        <v>Series</v>
      </c>
      <c r="Z449" s="10" t="str">
        <f t="shared" si="70"/>
        <v>History</v>
      </c>
      <c r="AA449" s="8" t="str">
        <f t="shared" si="71"/>
        <v>NO</v>
      </c>
      <c r="AB449" s="6" t="str">
        <f t="shared" si="72"/>
        <v>NO</v>
      </c>
    </row>
    <row r="450" spans="1:28" x14ac:dyDescent="0.3">
      <c r="A450">
        <v>450</v>
      </c>
      <c r="B450" t="s">
        <v>23</v>
      </c>
      <c r="C450" t="s">
        <v>64</v>
      </c>
      <c r="D450" s="1">
        <v>45497</v>
      </c>
      <c r="E450" s="2">
        <v>0.26666666666666666</v>
      </c>
      <c r="F450" t="s">
        <v>62</v>
      </c>
      <c r="G450">
        <v>196</v>
      </c>
      <c r="H450">
        <v>55733</v>
      </c>
      <c r="I450">
        <v>45</v>
      </c>
      <c r="J450" s="2">
        <v>0.37430555555555556</v>
      </c>
      <c r="K450" t="s">
        <v>36</v>
      </c>
      <c r="L450" t="s">
        <v>27</v>
      </c>
      <c r="M450" t="s">
        <v>28</v>
      </c>
      <c r="N450" t="s">
        <v>71</v>
      </c>
      <c r="O450">
        <v>479</v>
      </c>
      <c r="P450">
        <v>1591</v>
      </c>
      <c r="Q450">
        <v>1366</v>
      </c>
      <c r="R450">
        <v>3.3</v>
      </c>
      <c r="S450" t="s">
        <v>40</v>
      </c>
      <c r="T450" t="s">
        <v>63</v>
      </c>
      <c r="U450" t="s">
        <v>66</v>
      </c>
      <c r="V450" t="s">
        <v>53</v>
      </c>
      <c r="W450">
        <v>18691</v>
      </c>
      <c r="X450" s="6" t="str">
        <f t="shared" si="68"/>
        <v>LOW</v>
      </c>
      <c r="Y450" s="8" t="str">
        <f t="shared" si="69"/>
        <v>Movie</v>
      </c>
      <c r="Z450" s="10" t="str">
        <f t="shared" si="70"/>
        <v>Drama</v>
      </c>
      <c r="AA450" s="8" t="str">
        <f t="shared" si="71"/>
        <v>NO</v>
      </c>
      <c r="AB450" s="6" t="str">
        <f t="shared" si="72"/>
        <v>YES</v>
      </c>
    </row>
    <row r="451" spans="1:28" x14ac:dyDescent="0.3">
      <c r="A451">
        <v>451</v>
      </c>
      <c r="B451" t="s">
        <v>54</v>
      </c>
      <c r="C451" t="s">
        <v>64</v>
      </c>
      <c r="D451" s="1">
        <v>45526</v>
      </c>
      <c r="E451" s="2">
        <v>0.68333333333333335</v>
      </c>
      <c r="F451" t="s">
        <v>26</v>
      </c>
      <c r="G451">
        <v>114</v>
      </c>
      <c r="H451">
        <v>43079</v>
      </c>
      <c r="I451">
        <v>61</v>
      </c>
      <c r="J451" s="2">
        <v>7.1527777777777773E-2</v>
      </c>
      <c r="K451" t="s">
        <v>36</v>
      </c>
      <c r="L451" t="s">
        <v>49</v>
      </c>
      <c r="M451" t="s">
        <v>28</v>
      </c>
      <c r="N451" t="s">
        <v>39</v>
      </c>
      <c r="O451">
        <v>2322</v>
      </c>
      <c r="P451">
        <v>411</v>
      </c>
      <c r="Q451">
        <v>421</v>
      </c>
      <c r="R451">
        <v>3.2</v>
      </c>
      <c r="S451" t="s">
        <v>60</v>
      </c>
      <c r="T451" t="s">
        <v>45</v>
      </c>
      <c r="U451" t="s">
        <v>41</v>
      </c>
      <c r="V451" t="s">
        <v>47</v>
      </c>
      <c r="W451">
        <v>16723</v>
      </c>
      <c r="X451" s="6" t="str">
        <f t="shared" ref="X451:X507" si="79">IF(H451&gt;100000,"HIGH","LOW")</f>
        <v>LOW</v>
      </c>
      <c r="Y451" s="8" t="str">
        <f t="shared" ref="Y451:Y507" si="80">VLOOKUP(A451,A:B,2,FALSE)</f>
        <v>Documentary</v>
      </c>
      <c r="Z451" s="10" t="str">
        <f t="shared" ref="Z451:Z507" si="81">INDEX(C:C,MATCH(A451,A:A,0))</f>
        <v>Drama</v>
      </c>
      <c r="AA451" s="8" t="str">
        <f t="shared" ref="AA451:AA507" si="82">IF(AND(H451&gt;1000,V451="YES"),"YES","NO")</f>
        <v>NO</v>
      </c>
      <c r="AB451" s="6" t="str">
        <f t="shared" ref="AB451:AB507" si="83">IF(R451&gt;AVERAGE(R:R),"YES","NO")</f>
        <v>YES</v>
      </c>
    </row>
    <row r="452" spans="1:28" x14ac:dyDescent="0.3">
      <c r="A452">
        <v>452</v>
      </c>
      <c r="B452" t="s">
        <v>34</v>
      </c>
      <c r="C452" t="s">
        <v>75</v>
      </c>
      <c r="D452" s="1">
        <v>45544</v>
      </c>
      <c r="E452" s="2">
        <v>0.38750000000000001</v>
      </c>
      <c r="F452" t="s">
        <v>62</v>
      </c>
      <c r="G452">
        <v>761</v>
      </c>
      <c r="H452">
        <v>57248</v>
      </c>
      <c r="I452">
        <v>91</v>
      </c>
      <c r="J452" s="2">
        <v>0.60833333333333328</v>
      </c>
      <c r="K452" t="s">
        <v>44</v>
      </c>
      <c r="L452" t="s">
        <v>49</v>
      </c>
      <c r="M452" t="s">
        <v>28</v>
      </c>
      <c r="N452" t="s">
        <v>76</v>
      </c>
      <c r="O452">
        <v>69</v>
      </c>
      <c r="P452">
        <v>573</v>
      </c>
      <c r="Q452">
        <v>579</v>
      </c>
      <c r="R452">
        <v>1</v>
      </c>
      <c r="S452" t="s">
        <v>30</v>
      </c>
      <c r="T452" t="s">
        <v>45</v>
      </c>
      <c r="U452" t="s">
        <v>41</v>
      </c>
      <c r="V452" t="s">
        <v>67</v>
      </c>
      <c r="W452">
        <v>19691</v>
      </c>
      <c r="X452" s="6" t="str">
        <f t="shared" ref="X452" si="84">IF(H452&gt;15000,"HIGH",IF(H452&gt;80000,"MEDIUM","LOW"))</f>
        <v>HIGH</v>
      </c>
      <c r="Y452" s="8" t="str">
        <f t="shared" si="80"/>
        <v>Series</v>
      </c>
      <c r="Z452" s="10" t="str">
        <f t="shared" si="81"/>
        <v>Nature</v>
      </c>
      <c r="AA452" s="8" t="str">
        <f t="shared" si="82"/>
        <v>NO</v>
      </c>
      <c r="AB452" s="6" t="str">
        <f t="shared" si="83"/>
        <v>NO</v>
      </c>
    </row>
    <row r="453" spans="1:28" x14ac:dyDescent="0.3">
      <c r="A453">
        <v>453</v>
      </c>
      <c r="B453" t="s">
        <v>54</v>
      </c>
      <c r="C453" t="s">
        <v>43</v>
      </c>
      <c r="D453" s="1">
        <v>45521</v>
      </c>
      <c r="E453" s="2">
        <v>0.59027777777777779</v>
      </c>
      <c r="F453" t="s">
        <v>44</v>
      </c>
      <c r="G453">
        <v>73</v>
      </c>
      <c r="H453">
        <v>72237</v>
      </c>
      <c r="I453">
        <v>40</v>
      </c>
      <c r="J453" s="2">
        <v>0.86388888888888893</v>
      </c>
      <c r="K453" t="s">
        <v>62</v>
      </c>
      <c r="L453" t="s">
        <v>56</v>
      </c>
      <c r="M453" t="s">
        <v>38</v>
      </c>
      <c r="N453" t="s">
        <v>71</v>
      </c>
      <c r="O453">
        <v>2298</v>
      </c>
      <c r="P453">
        <v>1416</v>
      </c>
      <c r="Q453">
        <v>565</v>
      </c>
      <c r="R453">
        <v>3.6</v>
      </c>
      <c r="S453" t="s">
        <v>30</v>
      </c>
      <c r="T453" t="s">
        <v>31</v>
      </c>
      <c r="U453" t="s">
        <v>74</v>
      </c>
      <c r="V453" t="s">
        <v>58</v>
      </c>
      <c r="W453">
        <v>18429</v>
      </c>
      <c r="X453" s="6" t="str">
        <f t="shared" si="79"/>
        <v>LOW</v>
      </c>
      <c r="Y453" s="8" t="str">
        <f t="shared" si="80"/>
        <v>Documentary</v>
      </c>
      <c r="Z453" s="10" t="str">
        <f t="shared" si="81"/>
        <v>Sci-Fi</v>
      </c>
      <c r="AA453" s="8" t="str">
        <f t="shared" si="82"/>
        <v>NO</v>
      </c>
      <c r="AB453" s="6" t="str">
        <f t="shared" si="83"/>
        <v>YES</v>
      </c>
    </row>
    <row r="454" spans="1:28" x14ac:dyDescent="0.3">
      <c r="A454">
        <v>454</v>
      </c>
      <c r="B454" t="s">
        <v>54</v>
      </c>
      <c r="C454" t="s">
        <v>43</v>
      </c>
      <c r="D454" s="1">
        <v>45504</v>
      </c>
      <c r="E454" s="2">
        <v>0.22152777777777777</v>
      </c>
      <c r="F454" t="s">
        <v>62</v>
      </c>
      <c r="G454">
        <v>95</v>
      </c>
      <c r="H454">
        <v>46449</v>
      </c>
      <c r="I454">
        <v>38</v>
      </c>
      <c r="J454" s="2">
        <v>0.12013888888888889</v>
      </c>
      <c r="K454" t="s">
        <v>26</v>
      </c>
      <c r="L454" t="s">
        <v>49</v>
      </c>
      <c r="M454" t="s">
        <v>28</v>
      </c>
      <c r="N454" t="s">
        <v>59</v>
      </c>
      <c r="O454">
        <v>1868</v>
      </c>
      <c r="P454">
        <v>1997</v>
      </c>
      <c r="Q454">
        <v>301</v>
      </c>
      <c r="R454">
        <v>1.5</v>
      </c>
      <c r="S454" t="s">
        <v>60</v>
      </c>
      <c r="T454" t="s">
        <v>63</v>
      </c>
      <c r="U454" t="s">
        <v>41</v>
      </c>
      <c r="V454" t="s">
        <v>58</v>
      </c>
      <c r="W454">
        <v>1253</v>
      </c>
      <c r="X454" s="6" t="str">
        <f t="shared" si="79"/>
        <v>LOW</v>
      </c>
      <c r="Y454" s="8" t="str">
        <f t="shared" si="80"/>
        <v>Documentary</v>
      </c>
      <c r="Z454" s="10" t="str">
        <f t="shared" si="81"/>
        <v>Sci-Fi</v>
      </c>
      <c r="AA454" s="8" t="str">
        <f t="shared" si="82"/>
        <v>NO</v>
      </c>
      <c r="AB454" s="6" t="str">
        <f t="shared" si="83"/>
        <v>NO</v>
      </c>
    </row>
    <row r="455" spans="1:28" x14ac:dyDescent="0.3">
      <c r="A455">
        <v>455</v>
      </c>
      <c r="B455" t="s">
        <v>34</v>
      </c>
      <c r="C455" t="s">
        <v>24</v>
      </c>
      <c r="D455" s="1">
        <v>45512</v>
      </c>
      <c r="E455" s="2">
        <v>0.32569444444444445</v>
      </c>
      <c r="F455" t="s">
        <v>62</v>
      </c>
      <c r="G455">
        <v>741</v>
      </c>
      <c r="H455">
        <v>78789</v>
      </c>
      <c r="I455">
        <v>92</v>
      </c>
      <c r="J455" s="2">
        <v>0.44166666666666665</v>
      </c>
      <c r="K455" t="s">
        <v>36</v>
      </c>
      <c r="L455" t="s">
        <v>56</v>
      </c>
      <c r="M455" t="s">
        <v>38</v>
      </c>
      <c r="N455" t="s">
        <v>71</v>
      </c>
      <c r="O455">
        <v>1025</v>
      </c>
      <c r="P455">
        <v>228</v>
      </c>
      <c r="Q455">
        <v>1015</v>
      </c>
      <c r="R455">
        <v>1</v>
      </c>
      <c r="S455" t="s">
        <v>51</v>
      </c>
      <c r="T455" t="s">
        <v>45</v>
      </c>
      <c r="U455" t="s">
        <v>74</v>
      </c>
      <c r="V455" t="s">
        <v>58</v>
      </c>
      <c r="W455">
        <v>3094</v>
      </c>
      <c r="X455" s="6" t="str">
        <f t="shared" si="79"/>
        <v>LOW</v>
      </c>
      <c r="Y455" s="8" t="str">
        <f t="shared" si="80"/>
        <v>Series</v>
      </c>
      <c r="Z455" s="10" t="str">
        <f t="shared" si="81"/>
        <v>Thriller</v>
      </c>
      <c r="AA455" s="8" t="str">
        <f t="shared" si="82"/>
        <v>NO</v>
      </c>
      <c r="AB455" s="6" t="str">
        <f t="shared" si="83"/>
        <v>NO</v>
      </c>
    </row>
    <row r="456" spans="1:28" x14ac:dyDescent="0.3">
      <c r="A456">
        <v>456</v>
      </c>
      <c r="B456" t="s">
        <v>54</v>
      </c>
      <c r="C456" t="s">
        <v>61</v>
      </c>
      <c r="D456" s="1">
        <v>45517</v>
      </c>
      <c r="E456" s="2">
        <v>0.88611111111111107</v>
      </c>
      <c r="F456" t="s">
        <v>36</v>
      </c>
      <c r="G456">
        <v>68</v>
      </c>
      <c r="H456">
        <v>69990</v>
      </c>
      <c r="I456">
        <v>42</v>
      </c>
      <c r="J456" s="2">
        <v>0.33055555555555555</v>
      </c>
      <c r="K456" t="s">
        <v>44</v>
      </c>
      <c r="L456" t="s">
        <v>27</v>
      </c>
      <c r="M456" t="s">
        <v>38</v>
      </c>
      <c r="N456" t="s">
        <v>69</v>
      </c>
      <c r="O456">
        <v>2076</v>
      </c>
      <c r="P456">
        <v>1622</v>
      </c>
      <c r="Q456">
        <v>977</v>
      </c>
      <c r="R456">
        <v>3.6</v>
      </c>
      <c r="S456" t="s">
        <v>40</v>
      </c>
      <c r="T456" t="s">
        <v>63</v>
      </c>
      <c r="U456" t="s">
        <v>70</v>
      </c>
      <c r="V456" t="s">
        <v>53</v>
      </c>
      <c r="W456">
        <v>19788</v>
      </c>
      <c r="X456" s="6" t="str">
        <f t="shared" si="79"/>
        <v>LOW</v>
      </c>
      <c r="Y456" s="8" t="str">
        <f t="shared" si="80"/>
        <v>Documentary</v>
      </c>
      <c r="Z456" s="10" t="str">
        <f t="shared" si="81"/>
        <v>History</v>
      </c>
      <c r="AA456" s="8" t="str">
        <f t="shared" si="82"/>
        <v>NO</v>
      </c>
      <c r="AB456" s="6" t="str">
        <f t="shared" si="83"/>
        <v>YES</v>
      </c>
    </row>
    <row r="457" spans="1:28" x14ac:dyDescent="0.3">
      <c r="A457">
        <v>457</v>
      </c>
      <c r="B457" t="s">
        <v>54</v>
      </c>
      <c r="C457" t="s">
        <v>61</v>
      </c>
      <c r="D457" s="1">
        <v>45512</v>
      </c>
      <c r="E457" s="2">
        <v>0.51388888888888884</v>
      </c>
      <c r="F457" t="s">
        <v>44</v>
      </c>
      <c r="G457">
        <v>115</v>
      </c>
      <c r="H457">
        <v>79996</v>
      </c>
      <c r="I457">
        <v>45</v>
      </c>
      <c r="J457" s="2">
        <v>0.41805555555555557</v>
      </c>
      <c r="K457" t="s">
        <v>26</v>
      </c>
      <c r="L457" t="s">
        <v>27</v>
      </c>
      <c r="M457" t="s">
        <v>38</v>
      </c>
      <c r="N457" t="s">
        <v>59</v>
      </c>
      <c r="O457">
        <v>2189</v>
      </c>
      <c r="P457">
        <v>135</v>
      </c>
      <c r="Q457">
        <v>688</v>
      </c>
      <c r="R457">
        <v>1</v>
      </c>
      <c r="S457" t="s">
        <v>40</v>
      </c>
      <c r="T457" t="s">
        <v>31</v>
      </c>
      <c r="U457" t="s">
        <v>66</v>
      </c>
      <c r="V457" t="s">
        <v>33</v>
      </c>
      <c r="W457">
        <v>10829</v>
      </c>
      <c r="X457" s="6" t="str">
        <f t="shared" si="79"/>
        <v>LOW</v>
      </c>
      <c r="Y457" s="8" t="str">
        <f t="shared" si="80"/>
        <v>Documentary</v>
      </c>
      <c r="Z457" s="10" t="str">
        <f t="shared" si="81"/>
        <v>History</v>
      </c>
      <c r="AA457" s="8" t="str">
        <f t="shared" si="82"/>
        <v>NO</v>
      </c>
      <c r="AB457" s="6" t="str">
        <f t="shared" si="83"/>
        <v>NO</v>
      </c>
    </row>
    <row r="458" spans="1:28" x14ac:dyDescent="0.3">
      <c r="A458">
        <v>458</v>
      </c>
      <c r="B458" t="s">
        <v>34</v>
      </c>
      <c r="C458" t="s">
        <v>61</v>
      </c>
      <c r="D458" s="1">
        <v>45542</v>
      </c>
      <c r="E458" s="2">
        <v>0.7416666666666667</v>
      </c>
      <c r="F458" t="s">
        <v>68</v>
      </c>
      <c r="G458">
        <v>786</v>
      </c>
      <c r="H458">
        <v>67492</v>
      </c>
      <c r="I458">
        <v>98</v>
      </c>
      <c r="J458" s="2">
        <v>0.4236111111111111</v>
      </c>
      <c r="K458" t="s">
        <v>36</v>
      </c>
      <c r="L458" t="s">
        <v>37</v>
      </c>
      <c r="M458" t="s">
        <v>28</v>
      </c>
      <c r="N458" t="s">
        <v>39</v>
      </c>
      <c r="O458">
        <v>2470</v>
      </c>
      <c r="P458">
        <v>1673</v>
      </c>
      <c r="Q458">
        <v>92</v>
      </c>
      <c r="R458">
        <v>4.0999999999999996</v>
      </c>
      <c r="S458" t="s">
        <v>51</v>
      </c>
      <c r="T458" t="s">
        <v>63</v>
      </c>
      <c r="U458" t="s">
        <v>46</v>
      </c>
      <c r="V458" t="s">
        <v>47</v>
      </c>
      <c r="W458">
        <v>2125</v>
      </c>
      <c r="X458" s="6" t="str">
        <f t="shared" si="79"/>
        <v>LOW</v>
      </c>
      <c r="Y458" s="8" t="str">
        <f t="shared" si="80"/>
        <v>Series</v>
      </c>
      <c r="Z458" s="10" t="str">
        <f t="shared" si="81"/>
        <v>History</v>
      </c>
      <c r="AA458" s="8" t="str">
        <f t="shared" si="82"/>
        <v>NO</v>
      </c>
      <c r="AB458" s="6" t="str">
        <f t="shared" si="83"/>
        <v>YES</v>
      </c>
    </row>
    <row r="459" spans="1:28" x14ac:dyDescent="0.3">
      <c r="A459">
        <v>459</v>
      </c>
      <c r="B459" t="s">
        <v>23</v>
      </c>
      <c r="C459" t="s">
        <v>72</v>
      </c>
      <c r="D459" s="1">
        <v>45531</v>
      </c>
      <c r="E459" s="2">
        <v>0.48125000000000001</v>
      </c>
      <c r="F459" t="s">
        <v>68</v>
      </c>
      <c r="G459">
        <v>141</v>
      </c>
      <c r="H459">
        <v>45699</v>
      </c>
      <c r="I459">
        <v>63</v>
      </c>
      <c r="J459" s="2">
        <v>0.12847222222222221</v>
      </c>
      <c r="K459" t="s">
        <v>44</v>
      </c>
      <c r="L459" t="s">
        <v>27</v>
      </c>
      <c r="M459" t="s">
        <v>38</v>
      </c>
      <c r="N459" t="s">
        <v>39</v>
      </c>
      <c r="O459">
        <v>756</v>
      </c>
      <c r="P459">
        <v>119</v>
      </c>
      <c r="Q459">
        <v>1133</v>
      </c>
      <c r="R459">
        <v>3.7</v>
      </c>
      <c r="S459" t="s">
        <v>40</v>
      </c>
      <c r="T459" t="s">
        <v>45</v>
      </c>
      <c r="U459" t="s">
        <v>66</v>
      </c>
      <c r="V459" t="s">
        <v>33</v>
      </c>
      <c r="W459">
        <v>11676</v>
      </c>
      <c r="X459" s="6" t="str">
        <f t="shared" si="79"/>
        <v>LOW</v>
      </c>
      <c r="Y459" s="8" t="str">
        <f t="shared" si="80"/>
        <v>Movie</v>
      </c>
      <c r="Z459" s="10" t="str">
        <f t="shared" si="81"/>
        <v>Action</v>
      </c>
      <c r="AA459" s="8" t="str">
        <f t="shared" si="82"/>
        <v>NO</v>
      </c>
      <c r="AB459" s="6" t="str">
        <f t="shared" si="83"/>
        <v>YES</v>
      </c>
    </row>
    <row r="460" spans="1:28" x14ac:dyDescent="0.3">
      <c r="A460">
        <v>460</v>
      </c>
      <c r="B460" t="s">
        <v>34</v>
      </c>
      <c r="C460" t="s">
        <v>48</v>
      </c>
      <c r="D460" s="1">
        <v>45510</v>
      </c>
      <c r="E460" s="2">
        <v>0.5493055555555556</v>
      </c>
      <c r="F460" t="s">
        <v>36</v>
      </c>
      <c r="G460">
        <v>294</v>
      </c>
      <c r="H460">
        <v>19965</v>
      </c>
      <c r="I460">
        <v>123</v>
      </c>
      <c r="J460" s="2">
        <v>0.82847222222222228</v>
      </c>
      <c r="K460" t="s">
        <v>26</v>
      </c>
      <c r="L460" t="s">
        <v>37</v>
      </c>
      <c r="M460" t="s">
        <v>38</v>
      </c>
      <c r="N460" t="s">
        <v>59</v>
      </c>
      <c r="O460">
        <v>2533</v>
      </c>
      <c r="P460">
        <v>1124</v>
      </c>
      <c r="Q460">
        <v>315</v>
      </c>
      <c r="R460">
        <v>1.1000000000000001</v>
      </c>
      <c r="S460" t="s">
        <v>51</v>
      </c>
      <c r="T460" t="s">
        <v>45</v>
      </c>
      <c r="U460" t="s">
        <v>74</v>
      </c>
      <c r="V460" t="s">
        <v>47</v>
      </c>
      <c r="W460">
        <v>18130</v>
      </c>
      <c r="X460" s="6" t="str">
        <f t="shared" si="79"/>
        <v>LOW</v>
      </c>
      <c r="Y460" s="8" t="str">
        <f t="shared" si="80"/>
        <v>Series</v>
      </c>
      <c r="Z460" s="10" t="str">
        <f t="shared" si="81"/>
        <v>Romance</v>
      </c>
      <c r="AA460" s="8" t="str">
        <f t="shared" si="82"/>
        <v>NO</v>
      </c>
      <c r="AB460" s="6" t="str">
        <f t="shared" si="83"/>
        <v>NO</v>
      </c>
    </row>
    <row r="461" spans="1:28" x14ac:dyDescent="0.3">
      <c r="A461">
        <v>461</v>
      </c>
      <c r="B461" t="s">
        <v>23</v>
      </c>
      <c r="C461" t="s">
        <v>55</v>
      </c>
      <c r="D461" s="1">
        <v>45527</v>
      </c>
      <c r="E461" s="2">
        <v>0.19930555555555557</v>
      </c>
      <c r="F461" t="s">
        <v>44</v>
      </c>
      <c r="G461">
        <v>121</v>
      </c>
      <c r="H461">
        <v>79183</v>
      </c>
      <c r="I461">
        <v>47</v>
      </c>
      <c r="J461" s="2">
        <v>0.79652777777777772</v>
      </c>
      <c r="K461" t="s">
        <v>36</v>
      </c>
      <c r="L461" t="s">
        <v>27</v>
      </c>
      <c r="M461" t="s">
        <v>28</v>
      </c>
      <c r="N461" t="s">
        <v>29</v>
      </c>
      <c r="O461">
        <v>730</v>
      </c>
      <c r="P461">
        <v>1701</v>
      </c>
      <c r="Q461">
        <v>2</v>
      </c>
      <c r="R461">
        <v>2.8</v>
      </c>
      <c r="S461" t="s">
        <v>40</v>
      </c>
      <c r="T461" t="s">
        <v>31</v>
      </c>
      <c r="U461" t="s">
        <v>46</v>
      </c>
      <c r="V461" t="s">
        <v>33</v>
      </c>
      <c r="W461">
        <v>6093</v>
      </c>
      <c r="X461" s="6" t="str">
        <f t="shared" si="79"/>
        <v>LOW</v>
      </c>
      <c r="Y461" s="8" t="str">
        <f t="shared" si="80"/>
        <v>Movie</v>
      </c>
      <c r="Z461" s="10" t="str">
        <f t="shared" si="81"/>
        <v>Fantasy</v>
      </c>
      <c r="AA461" s="8" t="str">
        <f t="shared" si="82"/>
        <v>NO</v>
      </c>
      <c r="AB461" s="6" t="str">
        <f t="shared" si="83"/>
        <v>YES</v>
      </c>
    </row>
    <row r="462" spans="1:28" x14ac:dyDescent="0.3">
      <c r="A462">
        <v>462</v>
      </c>
      <c r="B462" t="s">
        <v>54</v>
      </c>
      <c r="C462" t="s">
        <v>43</v>
      </c>
      <c r="D462" s="1">
        <v>45479</v>
      </c>
      <c r="E462" s="2">
        <v>0.62777777777777777</v>
      </c>
      <c r="F462" t="s">
        <v>25</v>
      </c>
      <c r="G462">
        <v>104</v>
      </c>
      <c r="H462">
        <v>17119</v>
      </c>
      <c r="I462">
        <v>38</v>
      </c>
      <c r="J462" s="2">
        <v>0.61458333333333337</v>
      </c>
      <c r="K462" t="s">
        <v>36</v>
      </c>
      <c r="L462" t="s">
        <v>27</v>
      </c>
      <c r="M462" t="s">
        <v>28</v>
      </c>
      <c r="N462" t="s">
        <v>59</v>
      </c>
      <c r="O462">
        <v>1246</v>
      </c>
      <c r="P462">
        <v>821</v>
      </c>
      <c r="Q462">
        <v>1080</v>
      </c>
      <c r="R462">
        <v>3.8</v>
      </c>
      <c r="S462" t="s">
        <v>60</v>
      </c>
      <c r="T462" t="s">
        <v>45</v>
      </c>
      <c r="U462" t="s">
        <v>74</v>
      </c>
      <c r="V462" t="s">
        <v>33</v>
      </c>
      <c r="W462">
        <v>5242</v>
      </c>
      <c r="X462" s="6" t="str">
        <f t="shared" ref="X462" si="85">IF(H462&gt;15000,"HIGH",IF(H462&gt;80000,"MEDIUM","LOW"))</f>
        <v>HIGH</v>
      </c>
      <c r="Y462" s="8" t="str">
        <f t="shared" si="80"/>
        <v>Documentary</v>
      </c>
      <c r="Z462" s="10" t="str">
        <f t="shared" si="81"/>
        <v>Sci-Fi</v>
      </c>
      <c r="AA462" s="8" t="str">
        <f t="shared" si="82"/>
        <v>NO</v>
      </c>
      <c r="AB462" s="6" t="str">
        <f t="shared" si="83"/>
        <v>YES</v>
      </c>
    </row>
    <row r="463" spans="1:28" x14ac:dyDescent="0.3">
      <c r="A463">
        <v>463</v>
      </c>
      <c r="B463" t="s">
        <v>54</v>
      </c>
      <c r="C463" t="s">
        <v>24</v>
      </c>
      <c r="D463" s="1">
        <v>45480</v>
      </c>
      <c r="E463" s="2">
        <v>9.583333333333334E-2</v>
      </c>
      <c r="F463" t="s">
        <v>26</v>
      </c>
      <c r="G463">
        <v>60</v>
      </c>
      <c r="H463">
        <v>82067</v>
      </c>
      <c r="I463">
        <v>28</v>
      </c>
      <c r="J463" s="2">
        <v>0.23194444444444445</v>
      </c>
      <c r="K463" t="s">
        <v>44</v>
      </c>
      <c r="L463" t="s">
        <v>56</v>
      </c>
      <c r="M463" t="s">
        <v>38</v>
      </c>
      <c r="N463" t="s">
        <v>69</v>
      </c>
      <c r="O463">
        <v>1711</v>
      </c>
      <c r="P463">
        <v>1399</v>
      </c>
      <c r="Q463">
        <v>1445</v>
      </c>
      <c r="R463">
        <v>4</v>
      </c>
      <c r="S463" t="s">
        <v>60</v>
      </c>
      <c r="T463" t="s">
        <v>45</v>
      </c>
      <c r="U463" t="s">
        <v>32</v>
      </c>
      <c r="V463" t="s">
        <v>53</v>
      </c>
      <c r="W463">
        <v>4388</v>
      </c>
      <c r="X463" s="6" t="str">
        <f t="shared" si="79"/>
        <v>LOW</v>
      </c>
      <c r="Y463" s="8" t="str">
        <f t="shared" si="80"/>
        <v>Documentary</v>
      </c>
      <c r="Z463" s="10" t="str">
        <f t="shared" si="81"/>
        <v>Thriller</v>
      </c>
      <c r="AA463" s="8" t="str">
        <f t="shared" si="82"/>
        <v>NO</v>
      </c>
      <c r="AB463" s="6" t="str">
        <f t="shared" si="83"/>
        <v>YES</v>
      </c>
    </row>
    <row r="464" spans="1:28" x14ac:dyDescent="0.3">
      <c r="A464">
        <v>464</v>
      </c>
      <c r="B464" t="s">
        <v>34</v>
      </c>
      <c r="C464" t="s">
        <v>75</v>
      </c>
      <c r="D464" s="1">
        <v>45499</v>
      </c>
      <c r="E464" s="2">
        <v>0.38472222222222224</v>
      </c>
      <c r="F464" t="s">
        <v>44</v>
      </c>
      <c r="G464">
        <v>303</v>
      </c>
      <c r="H464">
        <v>7824</v>
      </c>
      <c r="I464">
        <v>114</v>
      </c>
      <c r="J464" s="2">
        <v>0.6</v>
      </c>
      <c r="K464" t="s">
        <v>62</v>
      </c>
      <c r="L464" t="s">
        <v>49</v>
      </c>
      <c r="M464" t="s">
        <v>38</v>
      </c>
      <c r="N464" t="s">
        <v>65</v>
      </c>
      <c r="O464">
        <v>237</v>
      </c>
      <c r="P464">
        <v>1021</v>
      </c>
      <c r="Q464">
        <v>1148</v>
      </c>
      <c r="R464">
        <v>2.2000000000000002</v>
      </c>
      <c r="S464" t="s">
        <v>51</v>
      </c>
      <c r="T464" t="s">
        <v>31</v>
      </c>
      <c r="U464" t="s">
        <v>52</v>
      </c>
      <c r="V464" t="s">
        <v>58</v>
      </c>
      <c r="W464">
        <v>16135</v>
      </c>
      <c r="X464" s="6" t="str">
        <f t="shared" si="79"/>
        <v>LOW</v>
      </c>
      <c r="Y464" s="8" t="str">
        <f t="shared" si="80"/>
        <v>Series</v>
      </c>
      <c r="Z464" s="10" t="str">
        <f t="shared" si="81"/>
        <v>Nature</v>
      </c>
      <c r="AA464" s="8" t="str">
        <f t="shared" si="82"/>
        <v>NO</v>
      </c>
      <c r="AB464" s="6" t="str">
        <f t="shared" si="83"/>
        <v>NO</v>
      </c>
    </row>
    <row r="465" spans="1:28" x14ac:dyDescent="0.3">
      <c r="A465">
        <v>465</v>
      </c>
      <c r="B465" t="s">
        <v>54</v>
      </c>
      <c r="C465" t="s">
        <v>64</v>
      </c>
      <c r="D465" s="1">
        <v>45499</v>
      </c>
      <c r="E465" s="2">
        <v>0.85347222222222219</v>
      </c>
      <c r="F465" t="s">
        <v>73</v>
      </c>
      <c r="G465">
        <v>124</v>
      </c>
      <c r="H465">
        <v>23449</v>
      </c>
      <c r="I465">
        <v>62</v>
      </c>
      <c r="J465" s="2">
        <v>0.75763888888888886</v>
      </c>
      <c r="K465" t="s">
        <v>26</v>
      </c>
      <c r="L465" t="s">
        <v>49</v>
      </c>
      <c r="M465" t="s">
        <v>28</v>
      </c>
      <c r="N465" t="s">
        <v>50</v>
      </c>
      <c r="O465">
        <v>2896</v>
      </c>
      <c r="P465">
        <v>1051</v>
      </c>
      <c r="Q465">
        <v>628</v>
      </c>
      <c r="R465">
        <v>3.8</v>
      </c>
      <c r="S465" t="s">
        <v>40</v>
      </c>
      <c r="T465" t="s">
        <v>45</v>
      </c>
      <c r="U465" t="s">
        <v>74</v>
      </c>
      <c r="V465" t="s">
        <v>58</v>
      </c>
      <c r="W465">
        <v>10964</v>
      </c>
      <c r="X465" s="6" t="str">
        <f t="shared" si="79"/>
        <v>LOW</v>
      </c>
      <c r="Y465" s="8" t="str">
        <f t="shared" si="80"/>
        <v>Documentary</v>
      </c>
      <c r="Z465" s="10" t="str">
        <f t="shared" si="81"/>
        <v>Drama</v>
      </c>
      <c r="AA465" s="8" t="str">
        <f t="shared" si="82"/>
        <v>NO</v>
      </c>
      <c r="AB465" s="6" t="str">
        <f t="shared" si="83"/>
        <v>YES</v>
      </c>
    </row>
    <row r="466" spans="1:28" x14ac:dyDescent="0.3">
      <c r="A466">
        <v>466</v>
      </c>
      <c r="B466" t="s">
        <v>23</v>
      </c>
      <c r="C466" t="s">
        <v>48</v>
      </c>
      <c r="D466" s="1">
        <v>45490</v>
      </c>
      <c r="E466" s="2">
        <v>0.18611111111111112</v>
      </c>
      <c r="F466" t="s">
        <v>44</v>
      </c>
      <c r="G466">
        <v>116</v>
      </c>
      <c r="H466">
        <v>56379</v>
      </c>
      <c r="I466">
        <v>67</v>
      </c>
      <c r="J466" s="2">
        <v>2.5000000000000001E-2</v>
      </c>
      <c r="K466" t="s">
        <v>36</v>
      </c>
      <c r="L466" t="s">
        <v>49</v>
      </c>
      <c r="M466" t="s">
        <v>38</v>
      </c>
      <c r="N466" t="s">
        <v>65</v>
      </c>
      <c r="O466">
        <v>1637</v>
      </c>
      <c r="P466">
        <v>842</v>
      </c>
      <c r="Q466">
        <v>1171</v>
      </c>
      <c r="R466">
        <v>3.2</v>
      </c>
      <c r="S466" t="s">
        <v>30</v>
      </c>
      <c r="T466" t="s">
        <v>63</v>
      </c>
      <c r="U466" t="s">
        <v>46</v>
      </c>
      <c r="V466" t="s">
        <v>67</v>
      </c>
      <c r="W466">
        <v>8505</v>
      </c>
      <c r="X466" s="6" t="str">
        <f t="shared" si="79"/>
        <v>LOW</v>
      </c>
      <c r="Y466" s="8" t="str">
        <f t="shared" si="80"/>
        <v>Movie</v>
      </c>
      <c r="Z466" s="10" t="str">
        <f t="shared" si="81"/>
        <v>Romance</v>
      </c>
      <c r="AA466" s="8" t="str">
        <f t="shared" si="82"/>
        <v>NO</v>
      </c>
      <c r="AB466" s="6" t="str">
        <f t="shared" si="83"/>
        <v>YES</v>
      </c>
    </row>
    <row r="467" spans="1:28" x14ac:dyDescent="0.3">
      <c r="A467">
        <v>467</v>
      </c>
      <c r="B467" t="s">
        <v>23</v>
      </c>
      <c r="C467" t="s">
        <v>61</v>
      </c>
      <c r="D467" s="1">
        <v>45489</v>
      </c>
      <c r="E467" s="2">
        <v>0.40416666666666667</v>
      </c>
      <c r="F467" t="s">
        <v>36</v>
      </c>
      <c r="G467">
        <v>116</v>
      </c>
      <c r="H467">
        <v>31493</v>
      </c>
      <c r="I467">
        <v>77</v>
      </c>
      <c r="J467" s="2">
        <v>5.5555555555555558E-3</v>
      </c>
      <c r="K467" t="s">
        <v>44</v>
      </c>
      <c r="L467" t="s">
        <v>37</v>
      </c>
      <c r="M467" t="s">
        <v>28</v>
      </c>
      <c r="N467" t="s">
        <v>65</v>
      </c>
      <c r="O467">
        <v>1530</v>
      </c>
      <c r="P467">
        <v>1641</v>
      </c>
      <c r="Q467">
        <v>78</v>
      </c>
      <c r="R467">
        <v>2.1</v>
      </c>
      <c r="S467" t="s">
        <v>51</v>
      </c>
      <c r="T467" t="s">
        <v>45</v>
      </c>
      <c r="U467" t="s">
        <v>66</v>
      </c>
      <c r="V467" t="s">
        <v>47</v>
      </c>
      <c r="W467">
        <v>6465</v>
      </c>
      <c r="X467" s="6" t="str">
        <f t="shared" si="79"/>
        <v>LOW</v>
      </c>
      <c r="Y467" s="8" t="str">
        <f t="shared" si="80"/>
        <v>Movie</v>
      </c>
      <c r="Z467" s="10" t="str">
        <f t="shared" si="81"/>
        <v>History</v>
      </c>
      <c r="AA467" s="8" t="str">
        <f t="shared" si="82"/>
        <v>NO</v>
      </c>
      <c r="AB467" s="6" t="str">
        <f t="shared" si="83"/>
        <v>NO</v>
      </c>
    </row>
    <row r="468" spans="1:28" x14ac:dyDescent="0.3">
      <c r="A468">
        <v>468</v>
      </c>
      <c r="B468" t="s">
        <v>54</v>
      </c>
      <c r="C468" t="s">
        <v>24</v>
      </c>
      <c r="D468" s="1">
        <v>45540</v>
      </c>
      <c r="E468" s="2">
        <v>0.83472222222222225</v>
      </c>
      <c r="F468" t="s">
        <v>36</v>
      </c>
      <c r="G468">
        <v>99</v>
      </c>
      <c r="H468">
        <v>25246</v>
      </c>
      <c r="I468">
        <v>28</v>
      </c>
      <c r="J468" s="2">
        <v>7.9166666666666663E-2</v>
      </c>
      <c r="K468" t="s">
        <v>26</v>
      </c>
      <c r="L468" t="s">
        <v>56</v>
      </c>
      <c r="M468" t="s">
        <v>38</v>
      </c>
      <c r="N468" t="s">
        <v>50</v>
      </c>
      <c r="O468">
        <v>1841</v>
      </c>
      <c r="P468">
        <v>1776</v>
      </c>
      <c r="Q468">
        <v>830</v>
      </c>
      <c r="R468">
        <v>4</v>
      </c>
      <c r="S468" t="s">
        <v>30</v>
      </c>
      <c r="T468" t="s">
        <v>63</v>
      </c>
      <c r="U468" t="s">
        <v>52</v>
      </c>
      <c r="V468" t="s">
        <v>58</v>
      </c>
      <c r="W468">
        <v>18034</v>
      </c>
      <c r="X468" s="6" t="str">
        <f t="shared" si="79"/>
        <v>LOW</v>
      </c>
      <c r="Y468" s="8" t="str">
        <f t="shared" si="80"/>
        <v>Documentary</v>
      </c>
      <c r="Z468" s="10" t="str">
        <f t="shared" si="81"/>
        <v>Thriller</v>
      </c>
      <c r="AA468" s="8" t="str">
        <f t="shared" si="82"/>
        <v>NO</v>
      </c>
      <c r="AB468" s="6" t="str">
        <f t="shared" si="83"/>
        <v>YES</v>
      </c>
    </row>
    <row r="469" spans="1:28" x14ac:dyDescent="0.3">
      <c r="A469">
        <v>469</v>
      </c>
      <c r="B469" t="s">
        <v>23</v>
      </c>
      <c r="C469" t="s">
        <v>55</v>
      </c>
      <c r="D469" s="1">
        <v>45544</v>
      </c>
      <c r="E469" s="2">
        <v>0.51527777777777772</v>
      </c>
      <c r="F469" t="s">
        <v>25</v>
      </c>
      <c r="G469">
        <v>170</v>
      </c>
      <c r="H469">
        <v>67515</v>
      </c>
      <c r="I469">
        <v>82</v>
      </c>
      <c r="J469" s="2">
        <v>0.61319444444444449</v>
      </c>
      <c r="K469" t="s">
        <v>36</v>
      </c>
      <c r="L469" t="s">
        <v>49</v>
      </c>
      <c r="M469" t="s">
        <v>38</v>
      </c>
      <c r="N469" t="s">
        <v>59</v>
      </c>
      <c r="O469">
        <v>2991</v>
      </c>
      <c r="P469">
        <v>644</v>
      </c>
      <c r="Q469">
        <v>1063</v>
      </c>
      <c r="R469">
        <v>1.8</v>
      </c>
      <c r="S469" t="s">
        <v>51</v>
      </c>
      <c r="T469" t="s">
        <v>63</v>
      </c>
      <c r="U469" t="s">
        <v>32</v>
      </c>
      <c r="V469" t="s">
        <v>58</v>
      </c>
      <c r="W469">
        <v>19827</v>
      </c>
      <c r="X469" s="6" t="str">
        <f t="shared" si="79"/>
        <v>LOW</v>
      </c>
      <c r="Y469" s="8" t="str">
        <f t="shared" si="80"/>
        <v>Movie</v>
      </c>
      <c r="Z469" s="10" t="str">
        <f t="shared" si="81"/>
        <v>Fantasy</v>
      </c>
      <c r="AA469" s="8" t="str">
        <f t="shared" si="82"/>
        <v>NO</v>
      </c>
      <c r="AB469" s="6" t="str">
        <f t="shared" si="83"/>
        <v>NO</v>
      </c>
    </row>
    <row r="470" spans="1:28" x14ac:dyDescent="0.3">
      <c r="A470">
        <v>470</v>
      </c>
      <c r="B470" t="s">
        <v>23</v>
      </c>
      <c r="C470" t="s">
        <v>48</v>
      </c>
      <c r="D470" s="1">
        <v>45492</v>
      </c>
      <c r="E470" s="2">
        <v>0.13194444444444445</v>
      </c>
      <c r="F470" t="s">
        <v>73</v>
      </c>
      <c r="G470">
        <v>169</v>
      </c>
      <c r="H470">
        <v>28437</v>
      </c>
      <c r="I470">
        <v>53</v>
      </c>
      <c r="J470" s="2">
        <v>0.4909722222222222</v>
      </c>
      <c r="K470" t="s">
        <v>36</v>
      </c>
      <c r="L470" t="s">
        <v>27</v>
      </c>
      <c r="M470" t="s">
        <v>28</v>
      </c>
      <c r="N470" t="s">
        <v>50</v>
      </c>
      <c r="O470">
        <v>1722</v>
      </c>
      <c r="P470">
        <v>265</v>
      </c>
      <c r="Q470">
        <v>371</v>
      </c>
      <c r="R470">
        <v>2</v>
      </c>
      <c r="S470" t="s">
        <v>60</v>
      </c>
      <c r="T470" t="s">
        <v>63</v>
      </c>
      <c r="U470" t="s">
        <v>52</v>
      </c>
      <c r="V470" t="s">
        <v>42</v>
      </c>
      <c r="W470">
        <v>4358</v>
      </c>
      <c r="X470" s="6" t="str">
        <f t="shared" si="79"/>
        <v>LOW</v>
      </c>
      <c r="Y470" s="8" t="str">
        <f t="shared" si="80"/>
        <v>Movie</v>
      </c>
      <c r="Z470" s="10" t="str">
        <f t="shared" si="81"/>
        <v>Romance</v>
      </c>
      <c r="AA470" s="8" t="str">
        <f t="shared" si="82"/>
        <v>NO</v>
      </c>
      <c r="AB470" s="6" t="str">
        <f t="shared" si="83"/>
        <v>NO</v>
      </c>
    </row>
    <row r="471" spans="1:28" x14ac:dyDescent="0.3">
      <c r="A471">
        <v>471</v>
      </c>
      <c r="B471" t="s">
        <v>34</v>
      </c>
      <c r="C471" t="s">
        <v>48</v>
      </c>
      <c r="D471" s="1">
        <v>45477</v>
      </c>
      <c r="E471" s="2">
        <v>0.29444444444444445</v>
      </c>
      <c r="F471" t="s">
        <v>44</v>
      </c>
      <c r="G471">
        <v>418</v>
      </c>
      <c r="H471">
        <v>71553</v>
      </c>
      <c r="I471">
        <v>30</v>
      </c>
      <c r="J471" s="2">
        <v>0.94027777777777777</v>
      </c>
      <c r="K471" t="s">
        <v>44</v>
      </c>
      <c r="L471" t="s">
        <v>27</v>
      </c>
      <c r="M471" t="s">
        <v>38</v>
      </c>
      <c r="N471" t="s">
        <v>39</v>
      </c>
      <c r="O471">
        <v>338</v>
      </c>
      <c r="P471">
        <v>1105</v>
      </c>
      <c r="Q471">
        <v>1485</v>
      </c>
      <c r="R471">
        <v>3</v>
      </c>
      <c r="S471" t="s">
        <v>51</v>
      </c>
      <c r="T471" t="s">
        <v>63</v>
      </c>
      <c r="U471" t="s">
        <v>74</v>
      </c>
      <c r="V471" t="s">
        <v>58</v>
      </c>
      <c r="W471">
        <v>1294</v>
      </c>
      <c r="X471" s="6" t="str">
        <f t="shared" si="79"/>
        <v>LOW</v>
      </c>
      <c r="Y471" s="8" t="str">
        <f t="shared" si="80"/>
        <v>Series</v>
      </c>
      <c r="Z471" s="10" t="str">
        <f t="shared" si="81"/>
        <v>Romance</v>
      </c>
      <c r="AA471" s="8" t="str">
        <f t="shared" si="82"/>
        <v>NO</v>
      </c>
      <c r="AB471" s="6" t="str">
        <f t="shared" si="83"/>
        <v>YES</v>
      </c>
    </row>
    <row r="472" spans="1:28" x14ac:dyDescent="0.3">
      <c r="A472">
        <v>472</v>
      </c>
      <c r="B472" t="s">
        <v>34</v>
      </c>
      <c r="C472" t="s">
        <v>24</v>
      </c>
      <c r="D472" s="1">
        <v>45507</v>
      </c>
      <c r="E472" s="2">
        <v>7.2916666666666671E-2</v>
      </c>
      <c r="F472" t="s">
        <v>36</v>
      </c>
      <c r="G472">
        <v>128</v>
      </c>
      <c r="H472">
        <v>64057</v>
      </c>
      <c r="I472">
        <v>52</v>
      </c>
      <c r="J472" s="2">
        <v>0.66666666666666663</v>
      </c>
      <c r="K472" t="s">
        <v>62</v>
      </c>
      <c r="L472" t="s">
        <v>49</v>
      </c>
      <c r="M472" t="s">
        <v>28</v>
      </c>
      <c r="N472" t="s">
        <v>59</v>
      </c>
      <c r="O472">
        <v>52</v>
      </c>
      <c r="P472">
        <v>1823</v>
      </c>
      <c r="Q472">
        <v>19</v>
      </c>
      <c r="R472">
        <v>1.2</v>
      </c>
      <c r="S472" t="s">
        <v>60</v>
      </c>
      <c r="T472" t="s">
        <v>31</v>
      </c>
      <c r="U472" t="s">
        <v>52</v>
      </c>
      <c r="V472" t="s">
        <v>42</v>
      </c>
      <c r="W472">
        <v>4736</v>
      </c>
      <c r="X472" s="6" t="str">
        <f t="shared" ref="X472" si="86">IF(H472&gt;15000,"HIGH",IF(H472&gt;80000,"MEDIUM","LOW"))</f>
        <v>HIGH</v>
      </c>
      <c r="Y472" s="8" t="str">
        <f t="shared" si="80"/>
        <v>Series</v>
      </c>
      <c r="Z472" s="10" t="str">
        <f t="shared" si="81"/>
        <v>Thriller</v>
      </c>
      <c r="AA472" s="8" t="str">
        <f t="shared" si="82"/>
        <v>NO</v>
      </c>
      <c r="AB472" s="6" t="str">
        <f t="shared" si="83"/>
        <v>NO</v>
      </c>
    </row>
    <row r="473" spans="1:28" x14ac:dyDescent="0.3">
      <c r="A473">
        <v>473</v>
      </c>
      <c r="B473" t="s">
        <v>23</v>
      </c>
      <c r="C473" t="s">
        <v>64</v>
      </c>
      <c r="D473" s="1">
        <v>45533</v>
      </c>
      <c r="E473" s="2">
        <v>0.27291666666666664</v>
      </c>
      <c r="F473" t="s">
        <v>26</v>
      </c>
      <c r="G473">
        <v>120</v>
      </c>
      <c r="H473">
        <v>43303</v>
      </c>
      <c r="I473">
        <v>65</v>
      </c>
      <c r="J473" s="2">
        <v>0.15486111111111112</v>
      </c>
      <c r="K473" t="s">
        <v>26</v>
      </c>
      <c r="L473" t="s">
        <v>37</v>
      </c>
      <c r="M473" t="s">
        <v>38</v>
      </c>
      <c r="N473" t="s">
        <v>50</v>
      </c>
      <c r="O473">
        <v>603</v>
      </c>
      <c r="P473">
        <v>1551</v>
      </c>
      <c r="Q473">
        <v>407</v>
      </c>
      <c r="R473">
        <v>4.0999999999999996</v>
      </c>
      <c r="S473" t="s">
        <v>60</v>
      </c>
      <c r="T473" t="s">
        <v>63</v>
      </c>
      <c r="U473" t="s">
        <v>32</v>
      </c>
      <c r="V473" t="s">
        <v>53</v>
      </c>
      <c r="W473">
        <v>18006</v>
      </c>
      <c r="X473" s="6" t="str">
        <f t="shared" si="79"/>
        <v>LOW</v>
      </c>
      <c r="Y473" s="8" t="str">
        <f t="shared" si="80"/>
        <v>Movie</v>
      </c>
      <c r="Z473" s="10" t="str">
        <f t="shared" si="81"/>
        <v>Drama</v>
      </c>
      <c r="AA473" s="8" t="str">
        <f t="shared" si="82"/>
        <v>NO</v>
      </c>
      <c r="AB473" s="6" t="str">
        <f t="shared" si="83"/>
        <v>YES</v>
      </c>
    </row>
    <row r="474" spans="1:28" x14ac:dyDescent="0.3">
      <c r="A474">
        <v>474</v>
      </c>
      <c r="B474" t="s">
        <v>54</v>
      </c>
      <c r="C474" t="s">
        <v>24</v>
      </c>
      <c r="D474" s="1">
        <v>45537</v>
      </c>
      <c r="E474" s="2">
        <v>0.88402777777777775</v>
      </c>
      <c r="F474" t="s">
        <v>26</v>
      </c>
      <c r="G474">
        <v>117</v>
      </c>
      <c r="H474">
        <v>82412</v>
      </c>
      <c r="I474">
        <v>84</v>
      </c>
      <c r="J474" s="2">
        <v>3.4722222222222224E-2</v>
      </c>
      <c r="K474" t="s">
        <v>36</v>
      </c>
      <c r="L474" t="s">
        <v>49</v>
      </c>
      <c r="M474" t="s">
        <v>28</v>
      </c>
      <c r="N474" t="s">
        <v>69</v>
      </c>
      <c r="O474">
        <v>2750</v>
      </c>
      <c r="P474">
        <v>735</v>
      </c>
      <c r="Q474">
        <v>240</v>
      </c>
      <c r="R474">
        <v>4.8</v>
      </c>
      <c r="S474" t="s">
        <v>51</v>
      </c>
      <c r="T474" t="s">
        <v>31</v>
      </c>
      <c r="U474" t="s">
        <v>74</v>
      </c>
      <c r="V474" t="s">
        <v>33</v>
      </c>
      <c r="W474">
        <v>10860</v>
      </c>
      <c r="X474" s="6" t="str">
        <f t="shared" si="79"/>
        <v>LOW</v>
      </c>
      <c r="Y474" s="8" t="str">
        <f t="shared" si="80"/>
        <v>Documentary</v>
      </c>
      <c r="Z474" s="10" t="str">
        <f t="shared" si="81"/>
        <v>Thriller</v>
      </c>
      <c r="AA474" s="8" t="str">
        <f t="shared" si="82"/>
        <v>NO</v>
      </c>
      <c r="AB474" s="6" t="str">
        <f t="shared" si="83"/>
        <v>YES</v>
      </c>
    </row>
    <row r="475" spans="1:28" x14ac:dyDescent="0.3">
      <c r="A475">
        <v>475</v>
      </c>
      <c r="B475" t="s">
        <v>34</v>
      </c>
      <c r="C475" t="s">
        <v>43</v>
      </c>
      <c r="D475" s="1">
        <v>45476</v>
      </c>
      <c r="E475" s="2">
        <v>0.60972222222222228</v>
      </c>
      <c r="F475" t="s">
        <v>73</v>
      </c>
      <c r="G475">
        <v>187</v>
      </c>
      <c r="H475">
        <v>22556</v>
      </c>
      <c r="I475">
        <v>66</v>
      </c>
      <c r="J475" s="2">
        <v>0.21041666666666667</v>
      </c>
      <c r="K475" t="s">
        <v>44</v>
      </c>
      <c r="L475" t="s">
        <v>27</v>
      </c>
      <c r="M475" t="s">
        <v>38</v>
      </c>
      <c r="N475" t="s">
        <v>76</v>
      </c>
      <c r="O475">
        <v>1690</v>
      </c>
      <c r="P475">
        <v>706</v>
      </c>
      <c r="Q475">
        <v>1382</v>
      </c>
      <c r="R475">
        <v>2.2000000000000002</v>
      </c>
      <c r="S475" t="s">
        <v>30</v>
      </c>
      <c r="T475" t="s">
        <v>31</v>
      </c>
      <c r="U475" t="s">
        <v>52</v>
      </c>
      <c r="V475" t="s">
        <v>67</v>
      </c>
      <c r="W475">
        <v>13577</v>
      </c>
      <c r="X475" s="6" t="str">
        <f t="shared" si="79"/>
        <v>LOW</v>
      </c>
      <c r="Y475" s="8" t="str">
        <f t="shared" si="80"/>
        <v>Series</v>
      </c>
      <c r="Z475" s="10" t="str">
        <f t="shared" si="81"/>
        <v>Sci-Fi</v>
      </c>
      <c r="AA475" s="8" t="str">
        <f t="shared" si="82"/>
        <v>NO</v>
      </c>
      <c r="AB475" s="6" t="str">
        <f t="shared" si="83"/>
        <v>NO</v>
      </c>
    </row>
    <row r="476" spans="1:28" x14ac:dyDescent="0.3">
      <c r="A476">
        <v>476</v>
      </c>
      <c r="B476" t="s">
        <v>23</v>
      </c>
      <c r="C476" t="s">
        <v>64</v>
      </c>
      <c r="D476" s="1">
        <v>45519</v>
      </c>
      <c r="E476" s="2">
        <v>2.2222222222222223E-2</v>
      </c>
      <c r="F476" t="s">
        <v>73</v>
      </c>
      <c r="G476">
        <v>116</v>
      </c>
      <c r="H476">
        <v>31997</v>
      </c>
      <c r="I476">
        <v>59</v>
      </c>
      <c r="J476" s="2">
        <v>0.38750000000000001</v>
      </c>
      <c r="K476" t="s">
        <v>26</v>
      </c>
      <c r="L476" t="s">
        <v>27</v>
      </c>
      <c r="M476" t="s">
        <v>38</v>
      </c>
      <c r="N476" t="s">
        <v>50</v>
      </c>
      <c r="O476">
        <v>1499</v>
      </c>
      <c r="P476">
        <v>470</v>
      </c>
      <c r="Q476">
        <v>806</v>
      </c>
      <c r="R476">
        <v>4.0999999999999996</v>
      </c>
      <c r="S476" t="s">
        <v>51</v>
      </c>
      <c r="T476" t="s">
        <v>63</v>
      </c>
      <c r="U476" t="s">
        <v>66</v>
      </c>
      <c r="V476" t="s">
        <v>67</v>
      </c>
      <c r="W476">
        <v>12480</v>
      </c>
      <c r="X476" s="6" t="str">
        <f t="shared" si="79"/>
        <v>LOW</v>
      </c>
      <c r="Y476" s="8" t="str">
        <f t="shared" si="80"/>
        <v>Movie</v>
      </c>
      <c r="Z476" s="10" t="str">
        <f t="shared" si="81"/>
        <v>Drama</v>
      </c>
      <c r="AA476" s="8" t="str">
        <f t="shared" si="82"/>
        <v>NO</v>
      </c>
      <c r="AB476" s="6" t="str">
        <f t="shared" si="83"/>
        <v>YES</v>
      </c>
    </row>
    <row r="477" spans="1:28" x14ac:dyDescent="0.3">
      <c r="A477">
        <v>477</v>
      </c>
      <c r="B477" t="s">
        <v>23</v>
      </c>
      <c r="C477" t="s">
        <v>72</v>
      </c>
      <c r="D477" s="1">
        <v>45537</v>
      </c>
      <c r="E477" s="2">
        <v>0.23333333333333334</v>
      </c>
      <c r="F477" t="s">
        <v>73</v>
      </c>
      <c r="G477">
        <v>95</v>
      </c>
      <c r="H477">
        <v>93107</v>
      </c>
      <c r="I477">
        <v>33</v>
      </c>
      <c r="J477" s="2">
        <v>0.62013888888888891</v>
      </c>
      <c r="K477" t="s">
        <v>36</v>
      </c>
      <c r="L477" t="s">
        <v>37</v>
      </c>
      <c r="M477" t="s">
        <v>38</v>
      </c>
      <c r="N477" t="s">
        <v>76</v>
      </c>
      <c r="O477">
        <v>304</v>
      </c>
      <c r="P477">
        <v>67</v>
      </c>
      <c r="Q477">
        <v>1338</v>
      </c>
      <c r="R477">
        <v>2.2999999999999998</v>
      </c>
      <c r="S477" t="s">
        <v>40</v>
      </c>
      <c r="T477" t="s">
        <v>63</v>
      </c>
      <c r="U477" t="s">
        <v>66</v>
      </c>
      <c r="V477" t="s">
        <v>33</v>
      </c>
      <c r="W477">
        <v>645</v>
      </c>
      <c r="X477" s="6" t="str">
        <f t="shared" si="79"/>
        <v>LOW</v>
      </c>
      <c r="Y477" s="8" t="str">
        <f t="shared" si="80"/>
        <v>Movie</v>
      </c>
      <c r="Z477" s="10" t="str">
        <f t="shared" si="81"/>
        <v>Action</v>
      </c>
      <c r="AA477" s="8" t="str">
        <f t="shared" si="82"/>
        <v>NO</v>
      </c>
      <c r="AB477" s="6" t="str">
        <f t="shared" si="83"/>
        <v>NO</v>
      </c>
    </row>
    <row r="478" spans="1:28" x14ac:dyDescent="0.3">
      <c r="A478">
        <v>478</v>
      </c>
      <c r="B478" t="s">
        <v>34</v>
      </c>
      <c r="C478" t="s">
        <v>43</v>
      </c>
      <c r="D478" s="1">
        <v>45545</v>
      </c>
      <c r="E478" s="2">
        <v>0.44722222222222224</v>
      </c>
      <c r="F478" t="s">
        <v>73</v>
      </c>
      <c r="G478">
        <v>693</v>
      </c>
      <c r="H478">
        <v>46957</v>
      </c>
      <c r="I478">
        <v>89</v>
      </c>
      <c r="J478" s="2">
        <v>0.55000000000000004</v>
      </c>
      <c r="K478" t="s">
        <v>44</v>
      </c>
      <c r="L478" t="s">
        <v>56</v>
      </c>
      <c r="M478" t="s">
        <v>38</v>
      </c>
      <c r="N478" t="s">
        <v>76</v>
      </c>
      <c r="O478">
        <v>1747</v>
      </c>
      <c r="P478">
        <v>755</v>
      </c>
      <c r="Q478">
        <v>477</v>
      </c>
      <c r="R478">
        <v>1</v>
      </c>
      <c r="S478" t="s">
        <v>51</v>
      </c>
      <c r="T478" t="s">
        <v>31</v>
      </c>
      <c r="U478" t="s">
        <v>74</v>
      </c>
      <c r="V478" t="s">
        <v>58</v>
      </c>
      <c r="W478">
        <v>19608</v>
      </c>
      <c r="X478" s="6" t="str">
        <f t="shared" si="79"/>
        <v>LOW</v>
      </c>
      <c r="Y478" s="8" t="str">
        <f t="shared" si="80"/>
        <v>Series</v>
      </c>
      <c r="Z478" s="10" t="str">
        <f t="shared" si="81"/>
        <v>Sci-Fi</v>
      </c>
      <c r="AA478" s="8" t="str">
        <f t="shared" si="82"/>
        <v>NO</v>
      </c>
      <c r="AB478" s="6" t="str">
        <f t="shared" si="83"/>
        <v>NO</v>
      </c>
    </row>
    <row r="479" spans="1:28" x14ac:dyDescent="0.3">
      <c r="A479">
        <v>479</v>
      </c>
      <c r="B479" t="s">
        <v>34</v>
      </c>
      <c r="C479" t="s">
        <v>35</v>
      </c>
      <c r="D479" s="1">
        <v>45538</v>
      </c>
      <c r="E479" s="2">
        <v>0.15763888888888888</v>
      </c>
      <c r="F479" t="s">
        <v>73</v>
      </c>
      <c r="G479">
        <v>892</v>
      </c>
      <c r="H479">
        <v>84441</v>
      </c>
      <c r="I479">
        <v>106</v>
      </c>
      <c r="J479" s="2">
        <v>0.65555555555555556</v>
      </c>
      <c r="K479" t="s">
        <v>26</v>
      </c>
      <c r="L479" t="s">
        <v>49</v>
      </c>
      <c r="M479" t="s">
        <v>38</v>
      </c>
      <c r="N479" t="s">
        <v>65</v>
      </c>
      <c r="O479">
        <v>2267</v>
      </c>
      <c r="P479">
        <v>290</v>
      </c>
      <c r="Q479">
        <v>1461</v>
      </c>
      <c r="R479">
        <v>2.2000000000000002</v>
      </c>
      <c r="S479" t="s">
        <v>60</v>
      </c>
      <c r="T479" t="s">
        <v>63</v>
      </c>
      <c r="U479" t="s">
        <v>74</v>
      </c>
      <c r="V479" t="s">
        <v>67</v>
      </c>
      <c r="W479">
        <v>3168</v>
      </c>
      <c r="X479" s="6" t="str">
        <f t="shared" si="79"/>
        <v>LOW</v>
      </c>
      <c r="Y479" s="8" t="str">
        <f t="shared" si="80"/>
        <v>Series</v>
      </c>
      <c r="Z479" s="10" t="str">
        <f t="shared" si="81"/>
        <v>Comedy</v>
      </c>
      <c r="AA479" s="8" t="str">
        <f t="shared" si="82"/>
        <v>NO</v>
      </c>
      <c r="AB479" s="6" t="str">
        <f t="shared" si="83"/>
        <v>NO</v>
      </c>
    </row>
    <row r="480" spans="1:28" x14ac:dyDescent="0.3">
      <c r="A480">
        <v>480</v>
      </c>
      <c r="B480" t="s">
        <v>34</v>
      </c>
      <c r="C480" t="s">
        <v>61</v>
      </c>
      <c r="D480" s="1">
        <v>45534</v>
      </c>
      <c r="E480" s="2">
        <v>0.27777777777777779</v>
      </c>
      <c r="F480" t="s">
        <v>36</v>
      </c>
      <c r="G480">
        <v>867</v>
      </c>
      <c r="H480">
        <v>49202</v>
      </c>
      <c r="I480">
        <v>108</v>
      </c>
      <c r="J480" s="2">
        <v>0.42291666666666666</v>
      </c>
      <c r="K480" t="s">
        <v>36</v>
      </c>
      <c r="L480" t="s">
        <v>27</v>
      </c>
      <c r="M480" t="s">
        <v>28</v>
      </c>
      <c r="N480" t="s">
        <v>76</v>
      </c>
      <c r="O480">
        <v>352</v>
      </c>
      <c r="P480">
        <v>103</v>
      </c>
      <c r="Q480">
        <v>298</v>
      </c>
      <c r="R480">
        <v>1.9</v>
      </c>
      <c r="S480" t="s">
        <v>60</v>
      </c>
      <c r="T480" t="s">
        <v>31</v>
      </c>
      <c r="U480" t="s">
        <v>32</v>
      </c>
      <c r="V480" t="s">
        <v>47</v>
      </c>
      <c r="W480">
        <v>2656</v>
      </c>
      <c r="X480" s="6" t="str">
        <f t="shared" si="79"/>
        <v>LOW</v>
      </c>
      <c r="Y480" s="8" t="str">
        <f t="shared" si="80"/>
        <v>Series</v>
      </c>
      <c r="Z480" s="10" t="str">
        <f t="shared" si="81"/>
        <v>History</v>
      </c>
      <c r="AA480" s="8" t="str">
        <f t="shared" si="82"/>
        <v>NO</v>
      </c>
      <c r="AB480" s="6" t="str">
        <f t="shared" si="83"/>
        <v>NO</v>
      </c>
    </row>
    <row r="481" spans="1:28" x14ac:dyDescent="0.3">
      <c r="A481">
        <v>481</v>
      </c>
      <c r="B481" t="s">
        <v>23</v>
      </c>
      <c r="C481" t="s">
        <v>48</v>
      </c>
      <c r="D481" s="1">
        <v>45504</v>
      </c>
      <c r="E481" s="2">
        <v>0.45208333333333334</v>
      </c>
      <c r="F481" t="s">
        <v>36</v>
      </c>
      <c r="G481">
        <v>163</v>
      </c>
      <c r="H481">
        <v>88440</v>
      </c>
      <c r="I481">
        <v>108</v>
      </c>
      <c r="J481" s="2">
        <v>0.73263888888888884</v>
      </c>
      <c r="K481" t="s">
        <v>36</v>
      </c>
      <c r="L481" t="s">
        <v>49</v>
      </c>
      <c r="M481" t="s">
        <v>38</v>
      </c>
      <c r="N481" t="s">
        <v>50</v>
      </c>
      <c r="O481">
        <v>2630</v>
      </c>
      <c r="P481">
        <v>1275</v>
      </c>
      <c r="Q481">
        <v>1306</v>
      </c>
      <c r="R481">
        <v>1.5</v>
      </c>
      <c r="S481" t="s">
        <v>51</v>
      </c>
      <c r="T481" t="s">
        <v>45</v>
      </c>
      <c r="U481" t="s">
        <v>32</v>
      </c>
      <c r="V481" t="s">
        <v>53</v>
      </c>
      <c r="W481">
        <v>10319</v>
      </c>
      <c r="X481" s="6" t="str">
        <f t="shared" si="79"/>
        <v>LOW</v>
      </c>
      <c r="Y481" s="8" t="str">
        <f t="shared" si="80"/>
        <v>Movie</v>
      </c>
      <c r="Z481" s="10" t="str">
        <f t="shared" si="81"/>
        <v>Romance</v>
      </c>
      <c r="AA481" s="8" t="str">
        <f t="shared" si="82"/>
        <v>NO</v>
      </c>
      <c r="AB481" s="6" t="str">
        <f t="shared" si="83"/>
        <v>NO</v>
      </c>
    </row>
    <row r="482" spans="1:28" x14ac:dyDescent="0.3">
      <c r="A482">
        <v>482</v>
      </c>
      <c r="B482" t="s">
        <v>34</v>
      </c>
      <c r="C482" t="s">
        <v>75</v>
      </c>
      <c r="D482" s="1">
        <v>45479</v>
      </c>
      <c r="E482" s="2">
        <v>0.18333333333333332</v>
      </c>
      <c r="F482" t="s">
        <v>62</v>
      </c>
      <c r="G482">
        <v>1117</v>
      </c>
      <c r="H482">
        <v>78725</v>
      </c>
      <c r="I482">
        <v>89</v>
      </c>
      <c r="J482" s="2">
        <v>0.40347222222222223</v>
      </c>
      <c r="K482" t="s">
        <v>44</v>
      </c>
      <c r="L482" t="s">
        <v>37</v>
      </c>
      <c r="M482" t="s">
        <v>38</v>
      </c>
      <c r="N482" t="s">
        <v>69</v>
      </c>
      <c r="O482">
        <v>2844</v>
      </c>
      <c r="P482">
        <v>80</v>
      </c>
      <c r="Q482">
        <v>360</v>
      </c>
      <c r="R482">
        <v>2.4</v>
      </c>
      <c r="S482" t="s">
        <v>60</v>
      </c>
      <c r="T482" t="s">
        <v>31</v>
      </c>
      <c r="U482" t="s">
        <v>57</v>
      </c>
      <c r="V482" t="s">
        <v>33</v>
      </c>
      <c r="W482">
        <v>13209</v>
      </c>
      <c r="X482" s="6" t="str">
        <f t="shared" ref="X482" si="87">IF(H482&gt;15000,"HIGH",IF(H482&gt;80000,"MEDIUM","LOW"))</f>
        <v>HIGH</v>
      </c>
      <c r="Y482" s="8" t="str">
        <f t="shared" si="80"/>
        <v>Series</v>
      </c>
      <c r="Z482" s="10" t="str">
        <f t="shared" si="81"/>
        <v>Nature</v>
      </c>
      <c r="AA482" s="8" t="str">
        <f t="shared" si="82"/>
        <v>NO</v>
      </c>
      <c r="AB482" s="6" t="str">
        <f t="shared" si="83"/>
        <v>NO</v>
      </c>
    </row>
    <row r="483" spans="1:28" x14ac:dyDescent="0.3">
      <c r="A483">
        <v>483</v>
      </c>
      <c r="B483" t="s">
        <v>34</v>
      </c>
      <c r="C483" t="s">
        <v>35</v>
      </c>
      <c r="D483" s="1">
        <v>45485</v>
      </c>
      <c r="E483" s="2">
        <v>0.3215277777777778</v>
      </c>
      <c r="F483" t="s">
        <v>73</v>
      </c>
      <c r="G483">
        <v>894</v>
      </c>
      <c r="H483">
        <v>3420</v>
      </c>
      <c r="I483">
        <v>25</v>
      </c>
      <c r="J483" s="2">
        <v>0.84305555555555556</v>
      </c>
      <c r="K483" t="s">
        <v>62</v>
      </c>
      <c r="L483" t="s">
        <v>37</v>
      </c>
      <c r="M483" t="s">
        <v>28</v>
      </c>
      <c r="N483" t="s">
        <v>59</v>
      </c>
      <c r="O483">
        <v>1455</v>
      </c>
      <c r="P483">
        <v>1205</v>
      </c>
      <c r="Q483">
        <v>1152</v>
      </c>
      <c r="R483">
        <v>3.6</v>
      </c>
      <c r="S483" t="s">
        <v>51</v>
      </c>
      <c r="T483" t="s">
        <v>31</v>
      </c>
      <c r="U483" t="s">
        <v>70</v>
      </c>
      <c r="V483" t="s">
        <v>47</v>
      </c>
      <c r="W483">
        <v>18517</v>
      </c>
      <c r="X483" s="6" t="str">
        <f t="shared" si="79"/>
        <v>LOW</v>
      </c>
      <c r="Y483" s="8" t="str">
        <f t="shared" si="80"/>
        <v>Series</v>
      </c>
      <c r="Z483" s="10" t="str">
        <f t="shared" si="81"/>
        <v>Comedy</v>
      </c>
      <c r="AA483" s="8" t="str">
        <f t="shared" si="82"/>
        <v>NO</v>
      </c>
      <c r="AB483" s="6" t="str">
        <f t="shared" si="83"/>
        <v>YES</v>
      </c>
    </row>
    <row r="484" spans="1:28" x14ac:dyDescent="0.3">
      <c r="A484">
        <v>484</v>
      </c>
      <c r="B484" t="s">
        <v>34</v>
      </c>
      <c r="C484" t="s">
        <v>43</v>
      </c>
      <c r="D484" s="1">
        <v>45474</v>
      </c>
      <c r="E484" s="2">
        <v>0.84722222222222221</v>
      </c>
      <c r="F484" t="s">
        <v>36</v>
      </c>
      <c r="G484">
        <v>600</v>
      </c>
      <c r="H484">
        <v>73562</v>
      </c>
      <c r="I484">
        <v>83</v>
      </c>
      <c r="J484" s="2">
        <v>0.26250000000000001</v>
      </c>
      <c r="K484" t="s">
        <v>26</v>
      </c>
      <c r="L484" t="s">
        <v>56</v>
      </c>
      <c r="M484" t="s">
        <v>28</v>
      </c>
      <c r="N484" t="s">
        <v>76</v>
      </c>
      <c r="O484">
        <v>2720</v>
      </c>
      <c r="P484">
        <v>445</v>
      </c>
      <c r="Q484">
        <v>1299</v>
      </c>
      <c r="R484">
        <v>1.2</v>
      </c>
      <c r="S484" t="s">
        <v>60</v>
      </c>
      <c r="T484" t="s">
        <v>31</v>
      </c>
      <c r="U484" t="s">
        <v>46</v>
      </c>
      <c r="V484" t="s">
        <v>53</v>
      </c>
      <c r="W484">
        <v>10212</v>
      </c>
      <c r="X484" s="6" t="str">
        <f t="shared" si="79"/>
        <v>LOW</v>
      </c>
      <c r="Y484" s="8" t="str">
        <f t="shared" si="80"/>
        <v>Series</v>
      </c>
      <c r="Z484" s="10" t="str">
        <f t="shared" si="81"/>
        <v>Sci-Fi</v>
      </c>
      <c r="AA484" s="8" t="str">
        <f t="shared" si="82"/>
        <v>NO</v>
      </c>
      <c r="AB484" s="6" t="str">
        <f t="shared" si="83"/>
        <v>NO</v>
      </c>
    </row>
    <row r="485" spans="1:28" x14ac:dyDescent="0.3">
      <c r="A485">
        <v>485</v>
      </c>
      <c r="B485" t="s">
        <v>23</v>
      </c>
      <c r="C485" t="s">
        <v>64</v>
      </c>
      <c r="D485" s="1">
        <v>45529</v>
      </c>
      <c r="E485" s="2">
        <v>0.85277777777777775</v>
      </c>
      <c r="F485" t="s">
        <v>36</v>
      </c>
      <c r="G485">
        <v>175</v>
      </c>
      <c r="H485">
        <v>98140</v>
      </c>
      <c r="I485">
        <v>33</v>
      </c>
      <c r="J485" s="2">
        <v>5.6250000000000001E-2</v>
      </c>
      <c r="K485" t="s">
        <v>36</v>
      </c>
      <c r="L485" t="s">
        <v>37</v>
      </c>
      <c r="M485" t="s">
        <v>28</v>
      </c>
      <c r="N485" t="s">
        <v>71</v>
      </c>
      <c r="O485">
        <v>675</v>
      </c>
      <c r="P485">
        <v>705</v>
      </c>
      <c r="Q485">
        <v>587</v>
      </c>
      <c r="R485">
        <v>1.5</v>
      </c>
      <c r="S485" t="s">
        <v>51</v>
      </c>
      <c r="T485" t="s">
        <v>31</v>
      </c>
      <c r="U485" t="s">
        <v>57</v>
      </c>
      <c r="V485" t="s">
        <v>42</v>
      </c>
      <c r="W485">
        <v>10759</v>
      </c>
      <c r="X485" s="6" t="str">
        <f t="shared" si="79"/>
        <v>LOW</v>
      </c>
      <c r="Y485" s="8" t="str">
        <f t="shared" si="80"/>
        <v>Movie</v>
      </c>
      <c r="Z485" s="10" t="str">
        <f t="shared" si="81"/>
        <v>Drama</v>
      </c>
      <c r="AA485" s="8" t="str">
        <f t="shared" si="82"/>
        <v>NO</v>
      </c>
      <c r="AB485" s="6" t="str">
        <f t="shared" si="83"/>
        <v>NO</v>
      </c>
    </row>
    <row r="486" spans="1:28" x14ac:dyDescent="0.3">
      <c r="A486">
        <v>486</v>
      </c>
      <c r="B486" t="s">
        <v>54</v>
      </c>
      <c r="C486" t="s">
        <v>55</v>
      </c>
      <c r="D486" s="1">
        <v>45534</v>
      </c>
      <c r="E486" s="2">
        <v>0.94652777777777775</v>
      </c>
      <c r="F486" t="s">
        <v>25</v>
      </c>
      <c r="G486">
        <v>70</v>
      </c>
      <c r="H486">
        <v>2173</v>
      </c>
      <c r="I486">
        <v>53</v>
      </c>
      <c r="J486" s="2">
        <v>0.94444444444444442</v>
      </c>
      <c r="K486" t="s">
        <v>44</v>
      </c>
      <c r="L486" t="s">
        <v>37</v>
      </c>
      <c r="M486" t="s">
        <v>38</v>
      </c>
      <c r="N486" t="s">
        <v>50</v>
      </c>
      <c r="O486">
        <v>1764</v>
      </c>
      <c r="P486">
        <v>21</v>
      </c>
      <c r="Q486">
        <v>1073</v>
      </c>
      <c r="R486">
        <v>3.9</v>
      </c>
      <c r="S486" t="s">
        <v>51</v>
      </c>
      <c r="T486" t="s">
        <v>45</v>
      </c>
      <c r="U486" t="s">
        <v>41</v>
      </c>
      <c r="V486" t="s">
        <v>67</v>
      </c>
      <c r="W486">
        <v>13334</v>
      </c>
      <c r="X486" s="6" t="str">
        <f t="shared" si="79"/>
        <v>LOW</v>
      </c>
      <c r="Y486" s="8" t="str">
        <f t="shared" si="80"/>
        <v>Documentary</v>
      </c>
      <c r="Z486" s="10" t="str">
        <f t="shared" si="81"/>
        <v>Fantasy</v>
      </c>
      <c r="AA486" s="8" t="str">
        <f t="shared" si="82"/>
        <v>NO</v>
      </c>
      <c r="AB486" s="6" t="str">
        <f t="shared" si="83"/>
        <v>YES</v>
      </c>
    </row>
    <row r="487" spans="1:28" x14ac:dyDescent="0.3">
      <c r="A487">
        <v>487</v>
      </c>
      <c r="B487" t="s">
        <v>23</v>
      </c>
      <c r="C487" t="s">
        <v>48</v>
      </c>
      <c r="D487" s="1">
        <v>45501</v>
      </c>
      <c r="E487" s="2">
        <v>9.7222222222222224E-2</v>
      </c>
      <c r="F487" t="s">
        <v>73</v>
      </c>
      <c r="G487">
        <v>145</v>
      </c>
      <c r="H487">
        <v>38383</v>
      </c>
      <c r="I487">
        <v>68</v>
      </c>
      <c r="J487" s="2">
        <v>0.31319444444444444</v>
      </c>
      <c r="K487" t="s">
        <v>26</v>
      </c>
      <c r="L487" t="s">
        <v>56</v>
      </c>
      <c r="M487" t="s">
        <v>28</v>
      </c>
      <c r="N487" t="s">
        <v>65</v>
      </c>
      <c r="O487">
        <v>595</v>
      </c>
      <c r="P487">
        <v>1184</v>
      </c>
      <c r="Q487">
        <v>609</v>
      </c>
      <c r="R487">
        <v>2.2999999999999998</v>
      </c>
      <c r="S487" t="s">
        <v>30</v>
      </c>
      <c r="T487" t="s">
        <v>31</v>
      </c>
      <c r="U487" t="s">
        <v>57</v>
      </c>
      <c r="V487" t="s">
        <v>53</v>
      </c>
      <c r="W487">
        <v>11460</v>
      </c>
      <c r="X487" s="6" t="str">
        <f t="shared" si="79"/>
        <v>LOW</v>
      </c>
      <c r="Y487" s="8" t="str">
        <f t="shared" si="80"/>
        <v>Movie</v>
      </c>
      <c r="Z487" s="10" t="str">
        <f t="shared" si="81"/>
        <v>Romance</v>
      </c>
      <c r="AA487" s="8" t="str">
        <f t="shared" si="82"/>
        <v>NO</v>
      </c>
      <c r="AB487" s="6" t="str">
        <f t="shared" si="83"/>
        <v>NO</v>
      </c>
    </row>
    <row r="488" spans="1:28" x14ac:dyDescent="0.3">
      <c r="A488">
        <v>488</v>
      </c>
      <c r="B488" t="s">
        <v>23</v>
      </c>
      <c r="C488" t="s">
        <v>24</v>
      </c>
      <c r="D488" s="1">
        <v>45506</v>
      </c>
      <c r="E488" s="2">
        <v>0.71250000000000002</v>
      </c>
      <c r="F488" t="s">
        <v>36</v>
      </c>
      <c r="G488">
        <v>119</v>
      </c>
      <c r="H488">
        <v>81635</v>
      </c>
      <c r="I488">
        <v>31</v>
      </c>
      <c r="J488" s="2">
        <v>0.36527777777777776</v>
      </c>
      <c r="K488" t="s">
        <v>36</v>
      </c>
      <c r="L488" t="s">
        <v>49</v>
      </c>
      <c r="M488" t="s">
        <v>28</v>
      </c>
      <c r="N488" t="s">
        <v>71</v>
      </c>
      <c r="O488">
        <v>1059</v>
      </c>
      <c r="P488">
        <v>1612</v>
      </c>
      <c r="Q488">
        <v>1156</v>
      </c>
      <c r="R488">
        <v>3.1</v>
      </c>
      <c r="S488" t="s">
        <v>30</v>
      </c>
      <c r="T488" t="s">
        <v>31</v>
      </c>
      <c r="U488" t="s">
        <v>52</v>
      </c>
      <c r="V488" t="s">
        <v>47</v>
      </c>
      <c r="W488">
        <v>15786</v>
      </c>
      <c r="X488" s="6" t="str">
        <f t="shared" si="79"/>
        <v>LOW</v>
      </c>
      <c r="Y488" s="8" t="str">
        <f t="shared" si="80"/>
        <v>Movie</v>
      </c>
      <c r="Z488" s="10" t="str">
        <f t="shared" si="81"/>
        <v>Thriller</v>
      </c>
      <c r="AA488" s="8" t="str">
        <f t="shared" si="82"/>
        <v>NO</v>
      </c>
      <c r="AB488" s="6" t="str">
        <f t="shared" si="83"/>
        <v>YES</v>
      </c>
    </row>
    <row r="489" spans="1:28" x14ac:dyDescent="0.3">
      <c r="A489">
        <v>489</v>
      </c>
      <c r="B489" t="s">
        <v>23</v>
      </c>
      <c r="C489" t="s">
        <v>24</v>
      </c>
      <c r="D489" s="1">
        <v>45513</v>
      </c>
      <c r="E489" s="2">
        <v>0.72430555555555554</v>
      </c>
      <c r="F489" t="s">
        <v>26</v>
      </c>
      <c r="G489">
        <v>187</v>
      </c>
      <c r="H489">
        <v>9808</v>
      </c>
      <c r="I489">
        <v>79</v>
      </c>
      <c r="J489" s="2">
        <v>0.46527777777777779</v>
      </c>
      <c r="K489" t="s">
        <v>36</v>
      </c>
      <c r="L489" t="s">
        <v>49</v>
      </c>
      <c r="M489" t="s">
        <v>28</v>
      </c>
      <c r="N489" t="s">
        <v>29</v>
      </c>
      <c r="O489">
        <v>148</v>
      </c>
      <c r="P489">
        <v>1953</v>
      </c>
      <c r="Q489">
        <v>1102</v>
      </c>
      <c r="R489">
        <v>1</v>
      </c>
      <c r="S489" t="s">
        <v>30</v>
      </c>
      <c r="T489" t="s">
        <v>63</v>
      </c>
      <c r="U489" t="s">
        <v>74</v>
      </c>
      <c r="V489" t="s">
        <v>33</v>
      </c>
      <c r="W489">
        <v>15987</v>
      </c>
      <c r="X489" s="6" t="str">
        <f t="shared" si="79"/>
        <v>LOW</v>
      </c>
      <c r="Y489" s="8" t="str">
        <f t="shared" si="80"/>
        <v>Movie</v>
      </c>
      <c r="Z489" s="10" t="str">
        <f t="shared" si="81"/>
        <v>Thriller</v>
      </c>
      <c r="AA489" s="8" t="str">
        <f t="shared" si="82"/>
        <v>NO</v>
      </c>
      <c r="AB489" s="6" t="str">
        <f t="shared" si="83"/>
        <v>NO</v>
      </c>
    </row>
    <row r="490" spans="1:28" x14ac:dyDescent="0.3">
      <c r="A490">
        <v>490</v>
      </c>
      <c r="B490" t="s">
        <v>34</v>
      </c>
      <c r="C490" t="s">
        <v>43</v>
      </c>
      <c r="D490" s="1">
        <v>45489</v>
      </c>
      <c r="E490" s="2">
        <v>0.27569444444444446</v>
      </c>
      <c r="F490" t="s">
        <v>73</v>
      </c>
      <c r="G490">
        <v>865</v>
      </c>
      <c r="H490">
        <v>58767</v>
      </c>
      <c r="I490">
        <v>34</v>
      </c>
      <c r="J490" s="2">
        <v>0.50763888888888886</v>
      </c>
      <c r="K490" t="s">
        <v>44</v>
      </c>
      <c r="L490" t="s">
        <v>27</v>
      </c>
      <c r="M490" t="s">
        <v>38</v>
      </c>
      <c r="N490" t="s">
        <v>69</v>
      </c>
      <c r="O490">
        <v>606</v>
      </c>
      <c r="P490">
        <v>952</v>
      </c>
      <c r="Q490">
        <v>440</v>
      </c>
      <c r="R490">
        <v>3.6</v>
      </c>
      <c r="S490" t="s">
        <v>30</v>
      </c>
      <c r="T490" t="s">
        <v>63</v>
      </c>
      <c r="U490" t="s">
        <v>41</v>
      </c>
      <c r="V490" t="s">
        <v>33</v>
      </c>
      <c r="W490">
        <v>370</v>
      </c>
      <c r="X490" s="6" t="str">
        <f t="shared" si="79"/>
        <v>LOW</v>
      </c>
      <c r="Y490" s="8" t="str">
        <f t="shared" si="80"/>
        <v>Series</v>
      </c>
      <c r="Z490" s="10" t="str">
        <f t="shared" si="81"/>
        <v>Sci-Fi</v>
      </c>
      <c r="AA490" s="8" t="str">
        <f t="shared" si="82"/>
        <v>NO</v>
      </c>
      <c r="AB490" s="6" t="str">
        <f t="shared" si="83"/>
        <v>YES</v>
      </c>
    </row>
    <row r="491" spans="1:28" x14ac:dyDescent="0.3">
      <c r="A491">
        <v>491</v>
      </c>
      <c r="B491" t="s">
        <v>23</v>
      </c>
      <c r="C491" t="s">
        <v>72</v>
      </c>
      <c r="D491" s="1">
        <v>45547</v>
      </c>
      <c r="E491" s="2">
        <v>0.65069444444444446</v>
      </c>
      <c r="F491" t="s">
        <v>68</v>
      </c>
      <c r="G491">
        <v>196</v>
      </c>
      <c r="H491">
        <v>66074</v>
      </c>
      <c r="I491">
        <v>37</v>
      </c>
      <c r="J491" s="2">
        <v>0.70138888888888884</v>
      </c>
      <c r="K491" t="s">
        <v>62</v>
      </c>
      <c r="L491" t="s">
        <v>56</v>
      </c>
      <c r="M491" t="s">
        <v>38</v>
      </c>
      <c r="N491" t="s">
        <v>50</v>
      </c>
      <c r="O491">
        <v>1662</v>
      </c>
      <c r="P491">
        <v>1945</v>
      </c>
      <c r="Q491">
        <v>63</v>
      </c>
      <c r="R491">
        <v>1.7</v>
      </c>
      <c r="S491" t="s">
        <v>40</v>
      </c>
      <c r="T491" t="s">
        <v>45</v>
      </c>
      <c r="U491" t="s">
        <v>74</v>
      </c>
      <c r="V491" t="s">
        <v>47</v>
      </c>
      <c r="W491">
        <v>16369</v>
      </c>
      <c r="X491" s="6" t="str">
        <f t="shared" si="79"/>
        <v>LOW</v>
      </c>
      <c r="Y491" s="8" t="str">
        <f t="shared" si="80"/>
        <v>Movie</v>
      </c>
      <c r="Z491" s="10" t="str">
        <f t="shared" si="81"/>
        <v>Action</v>
      </c>
      <c r="AA491" s="8" t="str">
        <f t="shared" si="82"/>
        <v>NO</v>
      </c>
      <c r="AB491" s="6" t="str">
        <f t="shared" si="83"/>
        <v>NO</v>
      </c>
    </row>
    <row r="492" spans="1:28" x14ac:dyDescent="0.3">
      <c r="A492">
        <v>492</v>
      </c>
      <c r="B492" t="s">
        <v>23</v>
      </c>
      <c r="C492" t="s">
        <v>64</v>
      </c>
      <c r="D492" s="1">
        <v>45502</v>
      </c>
      <c r="E492" s="2">
        <v>0.46388888888888891</v>
      </c>
      <c r="F492" t="s">
        <v>25</v>
      </c>
      <c r="G492">
        <v>96</v>
      </c>
      <c r="H492">
        <v>98717</v>
      </c>
      <c r="I492">
        <v>45</v>
      </c>
      <c r="J492" s="2">
        <v>0.45763888888888887</v>
      </c>
      <c r="K492" t="s">
        <v>26</v>
      </c>
      <c r="L492" t="s">
        <v>49</v>
      </c>
      <c r="M492" t="s">
        <v>38</v>
      </c>
      <c r="N492" t="s">
        <v>65</v>
      </c>
      <c r="O492">
        <v>1870</v>
      </c>
      <c r="P492">
        <v>737</v>
      </c>
      <c r="Q492">
        <v>910</v>
      </c>
      <c r="R492">
        <v>4.5999999999999996</v>
      </c>
      <c r="S492" t="s">
        <v>40</v>
      </c>
      <c r="T492" t="s">
        <v>45</v>
      </c>
      <c r="U492" t="s">
        <v>52</v>
      </c>
      <c r="V492" t="s">
        <v>53</v>
      </c>
      <c r="W492">
        <v>14804</v>
      </c>
      <c r="X492" s="6" t="str">
        <f t="shared" ref="X492" si="88">IF(H492&gt;15000,"HIGH",IF(H492&gt;80000,"MEDIUM","LOW"))</f>
        <v>HIGH</v>
      </c>
      <c r="Y492" s="8" t="str">
        <f t="shared" si="80"/>
        <v>Movie</v>
      </c>
      <c r="Z492" s="10" t="str">
        <f t="shared" si="81"/>
        <v>Drama</v>
      </c>
      <c r="AA492" s="8" t="str">
        <f t="shared" si="82"/>
        <v>NO</v>
      </c>
      <c r="AB492" s="6" t="str">
        <f t="shared" si="83"/>
        <v>YES</v>
      </c>
    </row>
    <row r="493" spans="1:28" x14ac:dyDescent="0.3">
      <c r="A493">
        <v>493</v>
      </c>
      <c r="B493" t="s">
        <v>23</v>
      </c>
      <c r="C493" t="s">
        <v>43</v>
      </c>
      <c r="D493" s="1">
        <v>45498</v>
      </c>
      <c r="E493" s="2">
        <v>0.46736111111111112</v>
      </c>
      <c r="F493" t="s">
        <v>26</v>
      </c>
      <c r="G493">
        <v>184</v>
      </c>
      <c r="H493">
        <v>23559</v>
      </c>
      <c r="I493">
        <v>43</v>
      </c>
      <c r="J493" s="2">
        <v>0.64583333333333337</v>
      </c>
      <c r="K493" t="s">
        <v>36</v>
      </c>
      <c r="L493" t="s">
        <v>56</v>
      </c>
      <c r="M493" t="s">
        <v>38</v>
      </c>
      <c r="N493" t="s">
        <v>65</v>
      </c>
      <c r="O493">
        <v>1269</v>
      </c>
      <c r="P493">
        <v>264</v>
      </c>
      <c r="Q493">
        <v>770</v>
      </c>
      <c r="R493">
        <v>2</v>
      </c>
      <c r="S493" t="s">
        <v>30</v>
      </c>
      <c r="T493" t="s">
        <v>31</v>
      </c>
      <c r="U493" t="s">
        <v>57</v>
      </c>
      <c r="V493" t="s">
        <v>33</v>
      </c>
      <c r="W493">
        <v>10418</v>
      </c>
      <c r="X493" s="6" t="str">
        <f t="shared" si="79"/>
        <v>LOW</v>
      </c>
      <c r="Y493" s="8" t="str">
        <f t="shared" si="80"/>
        <v>Movie</v>
      </c>
      <c r="Z493" s="10" t="str">
        <f t="shared" si="81"/>
        <v>Sci-Fi</v>
      </c>
      <c r="AA493" s="8" t="str">
        <f t="shared" si="82"/>
        <v>NO</v>
      </c>
      <c r="AB493" s="6" t="str">
        <f t="shared" si="83"/>
        <v>NO</v>
      </c>
    </row>
    <row r="494" spans="1:28" x14ac:dyDescent="0.3">
      <c r="A494">
        <v>494</v>
      </c>
      <c r="B494" t="s">
        <v>23</v>
      </c>
      <c r="C494" t="s">
        <v>48</v>
      </c>
      <c r="D494" s="1">
        <v>45496</v>
      </c>
      <c r="E494" s="2">
        <v>0.75</v>
      </c>
      <c r="F494" t="s">
        <v>26</v>
      </c>
      <c r="G494">
        <v>146</v>
      </c>
      <c r="H494">
        <v>11400</v>
      </c>
      <c r="I494">
        <v>51</v>
      </c>
      <c r="J494" s="2">
        <v>0.87291666666666667</v>
      </c>
      <c r="K494" t="s">
        <v>44</v>
      </c>
      <c r="L494" t="s">
        <v>37</v>
      </c>
      <c r="M494" t="s">
        <v>28</v>
      </c>
      <c r="N494" t="s">
        <v>71</v>
      </c>
      <c r="O494">
        <v>2035</v>
      </c>
      <c r="P494">
        <v>666</v>
      </c>
      <c r="Q494">
        <v>960</v>
      </c>
      <c r="R494">
        <v>3.5</v>
      </c>
      <c r="S494" t="s">
        <v>60</v>
      </c>
      <c r="T494" t="s">
        <v>63</v>
      </c>
      <c r="U494" t="s">
        <v>57</v>
      </c>
      <c r="V494" t="s">
        <v>67</v>
      </c>
      <c r="W494">
        <v>12045</v>
      </c>
      <c r="X494" s="6" t="str">
        <f t="shared" si="79"/>
        <v>LOW</v>
      </c>
      <c r="Y494" s="8" t="str">
        <f t="shared" si="80"/>
        <v>Movie</v>
      </c>
      <c r="Z494" s="10" t="str">
        <f t="shared" si="81"/>
        <v>Romance</v>
      </c>
      <c r="AA494" s="8" t="str">
        <f t="shared" si="82"/>
        <v>NO</v>
      </c>
      <c r="AB494" s="6" t="str">
        <f t="shared" si="83"/>
        <v>YES</v>
      </c>
    </row>
    <row r="495" spans="1:28" x14ac:dyDescent="0.3">
      <c r="A495">
        <v>495</v>
      </c>
      <c r="B495" t="s">
        <v>34</v>
      </c>
      <c r="C495" t="s">
        <v>61</v>
      </c>
      <c r="D495" s="1">
        <v>45521</v>
      </c>
      <c r="E495" s="2">
        <v>0.80972222222222223</v>
      </c>
      <c r="F495" t="s">
        <v>68</v>
      </c>
      <c r="G495">
        <v>759</v>
      </c>
      <c r="H495">
        <v>31321</v>
      </c>
      <c r="I495">
        <v>41</v>
      </c>
      <c r="J495" s="2">
        <v>0.83194444444444449</v>
      </c>
      <c r="K495" t="s">
        <v>26</v>
      </c>
      <c r="L495" t="s">
        <v>56</v>
      </c>
      <c r="M495" t="s">
        <v>28</v>
      </c>
      <c r="N495" t="s">
        <v>59</v>
      </c>
      <c r="O495">
        <v>1591</v>
      </c>
      <c r="P495">
        <v>435</v>
      </c>
      <c r="Q495">
        <v>646</v>
      </c>
      <c r="R495">
        <v>3</v>
      </c>
      <c r="S495" t="s">
        <v>51</v>
      </c>
      <c r="T495" t="s">
        <v>63</v>
      </c>
      <c r="U495" t="s">
        <v>52</v>
      </c>
      <c r="V495" t="s">
        <v>42</v>
      </c>
      <c r="W495">
        <v>9730</v>
      </c>
      <c r="X495" s="6" t="str">
        <f t="shared" si="79"/>
        <v>LOW</v>
      </c>
      <c r="Y495" s="8" t="str">
        <f t="shared" si="80"/>
        <v>Series</v>
      </c>
      <c r="Z495" s="10" t="str">
        <f t="shared" si="81"/>
        <v>History</v>
      </c>
      <c r="AA495" s="8" t="str">
        <f t="shared" si="82"/>
        <v>NO</v>
      </c>
      <c r="AB495" s="6" t="str">
        <f t="shared" si="83"/>
        <v>YES</v>
      </c>
    </row>
    <row r="496" spans="1:28" x14ac:dyDescent="0.3">
      <c r="A496">
        <v>496</v>
      </c>
      <c r="B496" t="s">
        <v>54</v>
      </c>
      <c r="C496" t="s">
        <v>75</v>
      </c>
      <c r="D496" s="1">
        <v>45534</v>
      </c>
      <c r="E496" s="2">
        <v>0.72083333333333333</v>
      </c>
      <c r="F496" t="s">
        <v>25</v>
      </c>
      <c r="G496">
        <v>50</v>
      </c>
      <c r="H496">
        <v>39276</v>
      </c>
      <c r="I496">
        <v>27</v>
      </c>
      <c r="J496" s="2">
        <v>5.6944444444444443E-2</v>
      </c>
      <c r="K496" t="s">
        <v>36</v>
      </c>
      <c r="L496" t="s">
        <v>56</v>
      </c>
      <c r="M496" t="s">
        <v>38</v>
      </c>
      <c r="N496" t="s">
        <v>59</v>
      </c>
      <c r="O496">
        <v>1524</v>
      </c>
      <c r="P496">
        <v>944</v>
      </c>
      <c r="Q496">
        <v>259</v>
      </c>
      <c r="R496">
        <v>4.8</v>
      </c>
      <c r="S496" t="s">
        <v>51</v>
      </c>
      <c r="T496" t="s">
        <v>63</v>
      </c>
      <c r="U496" t="s">
        <v>70</v>
      </c>
      <c r="V496" t="s">
        <v>67</v>
      </c>
      <c r="W496">
        <v>3670</v>
      </c>
      <c r="X496" s="6" t="str">
        <f t="shared" si="79"/>
        <v>LOW</v>
      </c>
      <c r="Y496" s="8" t="str">
        <f t="shared" si="80"/>
        <v>Documentary</v>
      </c>
      <c r="Z496" s="10" t="str">
        <f t="shared" si="81"/>
        <v>Nature</v>
      </c>
      <c r="AA496" s="8" t="str">
        <f t="shared" si="82"/>
        <v>NO</v>
      </c>
      <c r="AB496" s="6" t="str">
        <f t="shared" si="83"/>
        <v>YES</v>
      </c>
    </row>
    <row r="497" spans="1:28" x14ac:dyDescent="0.3">
      <c r="A497">
        <v>497</v>
      </c>
      <c r="B497" t="s">
        <v>54</v>
      </c>
      <c r="C497" t="s">
        <v>48</v>
      </c>
      <c r="D497" s="1">
        <v>45481</v>
      </c>
      <c r="E497" s="2">
        <v>0.53402777777777777</v>
      </c>
      <c r="F497" t="s">
        <v>68</v>
      </c>
      <c r="G497">
        <v>81</v>
      </c>
      <c r="H497">
        <v>88173</v>
      </c>
      <c r="I497">
        <v>35</v>
      </c>
      <c r="J497" s="2">
        <v>5.0694444444444445E-2</v>
      </c>
      <c r="K497" t="s">
        <v>44</v>
      </c>
      <c r="L497" t="s">
        <v>37</v>
      </c>
      <c r="M497" t="s">
        <v>28</v>
      </c>
      <c r="N497" t="s">
        <v>71</v>
      </c>
      <c r="O497">
        <v>1336</v>
      </c>
      <c r="P497">
        <v>1424</v>
      </c>
      <c r="Q497">
        <v>1278</v>
      </c>
      <c r="R497">
        <v>3.6</v>
      </c>
      <c r="S497" t="s">
        <v>60</v>
      </c>
      <c r="T497" t="s">
        <v>31</v>
      </c>
      <c r="U497" t="s">
        <v>52</v>
      </c>
      <c r="V497" t="s">
        <v>58</v>
      </c>
      <c r="W497">
        <v>1322</v>
      </c>
      <c r="X497" s="6" t="str">
        <f t="shared" si="79"/>
        <v>LOW</v>
      </c>
      <c r="Y497" s="8" t="str">
        <f t="shared" si="80"/>
        <v>Documentary</v>
      </c>
      <c r="Z497" s="10" t="str">
        <f t="shared" si="81"/>
        <v>Romance</v>
      </c>
      <c r="AA497" s="8" t="str">
        <f t="shared" si="82"/>
        <v>NO</v>
      </c>
      <c r="AB497" s="6" t="str">
        <f t="shared" si="83"/>
        <v>YES</v>
      </c>
    </row>
    <row r="498" spans="1:28" x14ac:dyDescent="0.3">
      <c r="A498">
        <v>498</v>
      </c>
      <c r="B498" t="s">
        <v>54</v>
      </c>
      <c r="C498" t="s">
        <v>35</v>
      </c>
      <c r="D498" s="1">
        <v>45521</v>
      </c>
      <c r="E498" s="2">
        <v>0.45763888888888887</v>
      </c>
      <c r="F498" t="s">
        <v>68</v>
      </c>
      <c r="G498">
        <v>47</v>
      </c>
      <c r="H498">
        <v>31438</v>
      </c>
      <c r="I498">
        <v>54</v>
      </c>
      <c r="J498" s="2">
        <v>0.17708333333333334</v>
      </c>
      <c r="K498" t="s">
        <v>26</v>
      </c>
      <c r="L498" t="s">
        <v>27</v>
      </c>
      <c r="M498" t="s">
        <v>38</v>
      </c>
      <c r="N498" t="s">
        <v>39</v>
      </c>
      <c r="O498">
        <v>1795</v>
      </c>
      <c r="P498">
        <v>976</v>
      </c>
      <c r="Q498">
        <v>616</v>
      </c>
      <c r="R498">
        <v>4.2</v>
      </c>
      <c r="S498" t="s">
        <v>40</v>
      </c>
      <c r="T498" t="s">
        <v>63</v>
      </c>
      <c r="U498" t="s">
        <v>32</v>
      </c>
      <c r="V498" t="s">
        <v>33</v>
      </c>
      <c r="W498">
        <v>8187</v>
      </c>
      <c r="X498" s="6" t="str">
        <f t="shared" si="79"/>
        <v>LOW</v>
      </c>
      <c r="Y498" s="8" t="str">
        <f t="shared" si="80"/>
        <v>Documentary</v>
      </c>
      <c r="Z498" s="10" t="str">
        <f t="shared" si="81"/>
        <v>Comedy</v>
      </c>
      <c r="AA498" s="8" t="str">
        <f t="shared" si="82"/>
        <v>NO</v>
      </c>
      <c r="AB498" s="6" t="str">
        <f t="shared" si="83"/>
        <v>YES</v>
      </c>
    </row>
    <row r="499" spans="1:28" x14ac:dyDescent="0.3">
      <c r="A499">
        <v>499</v>
      </c>
      <c r="B499" t="s">
        <v>23</v>
      </c>
      <c r="C499" t="s">
        <v>43</v>
      </c>
      <c r="D499" s="1">
        <v>45549</v>
      </c>
      <c r="E499" s="2">
        <v>0.72013888888888888</v>
      </c>
      <c r="F499" t="s">
        <v>68</v>
      </c>
      <c r="G499">
        <v>141</v>
      </c>
      <c r="H499">
        <v>32083</v>
      </c>
      <c r="I499">
        <v>41</v>
      </c>
      <c r="J499" s="2">
        <v>0.12430555555555556</v>
      </c>
      <c r="K499" t="s">
        <v>36</v>
      </c>
      <c r="L499" t="s">
        <v>27</v>
      </c>
      <c r="M499" t="s">
        <v>28</v>
      </c>
      <c r="N499" t="s">
        <v>76</v>
      </c>
      <c r="O499">
        <v>246</v>
      </c>
      <c r="P499">
        <v>694</v>
      </c>
      <c r="Q499">
        <v>139</v>
      </c>
      <c r="R499">
        <v>3.5</v>
      </c>
      <c r="S499" t="s">
        <v>40</v>
      </c>
      <c r="T499" t="s">
        <v>45</v>
      </c>
      <c r="U499" t="s">
        <v>41</v>
      </c>
      <c r="V499" t="s">
        <v>58</v>
      </c>
      <c r="W499">
        <v>14673</v>
      </c>
      <c r="X499" s="6" t="str">
        <f t="shared" si="79"/>
        <v>LOW</v>
      </c>
      <c r="Y499" s="8" t="str">
        <f t="shared" si="80"/>
        <v>Movie</v>
      </c>
      <c r="Z499" s="10" t="str">
        <f t="shared" si="81"/>
        <v>Sci-Fi</v>
      </c>
      <c r="AA499" s="8" t="str">
        <f t="shared" si="82"/>
        <v>NO</v>
      </c>
      <c r="AB499" s="6" t="str">
        <f t="shared" si="83"/>
        <v>YES</v>
      </c>
    </row>
    <row r="500" spans="1:28" x14ac:dyDescent="0.3">
      <c r="A500">
        <v>500</v>
      </c>
      <c r="B500" t="s">
        <v>34</v>
      </c>
      <c r="C500" t="s">
        <v>72</v>
      </c>
      <c r="D500" s="1">
        <v>45518</v>
      </c>
      <c r="E500" s="2">
        <v>0.5083333333333333</v>
      </c>
      <c r="F500" t="s">
        <v>36</v>
      </c>
      <c r="G500">
        <v>1225</v>
      </c>
      <c r="H500">
        <v>92798</v>
      </c>
      <c r="I500">
        <v>111</v>
      </c>
      <c r="J500" s="2">
        <v>4.4444444444444446E-2</v>
      </c>
      <c r="K500" t="s">
        <v>36</v>
      </c>
      <c r="L500" t="s">
        <v>27</v>
      </c>
      <c r="M500" t="s">
        <v>28</v>
      </c>
      <c r="N500" t="s">
        <v>69</v>
      </c>
      <c r="O500">
        <v>1418</v>
      </c>
      <c r="P500">
        <v>1652</v>
      </c>
      <c r="Q500">
        <v>184</v>
      </c>
      <c r="R500">
        <v>1.8</v>
      </c>
      <c r="S500" t="s">
        <v>30</v>
      </c>
      <c r="T500" t="s">
        <v>45</v>
      </c>
      <c r="U500" t="s">
        <v>57</v>
      </c>
      <c r="V500" t="s">
        <v>47</v>
      </c>
      <c r="W500">
        <v>9482</v>
      </c>
      <c r="X500" s="6" t="str">
        <f t="shared" si="79"/>
        <v>LOW</v>
      </c>
      <c r="Y500" s="8" t="str">
        <f t="shared" si="80"/>
        <v>Series</v>
      </c>
      <c r="Z500" s="10" t="str">
        <f t="shared" si="81"/>
        <v>Action</v>
      </c>
      <c r="AA500" s="8" t="str">
        <f t="shared" si="82"/>
        <v>NO</v>
      </c>
      <c r="AB500" s="6" t="str">
        <f t="shared" si="83"/>
        <v>NO</v>
      </c>
    </row>
    <row r="501" spans="1:28" x14ac:dyDescent="0.3">
      <c r="A501">
        <v>501</v>
      </c>
      <c r="B501" t="s">
        <v>34</v>
      </c>
      <c r="C501" t="s">
        <v>64</v>
      </c>
      <c r="D501" s="1">
        <v>45502</v>
      </c>
      <c r="E501" s="2">
        <v>0.68194444444444446</v>
      </c>
      <c r="F501" t="s">
        <v>36</v>
      </c>
      <c r="G501">
        <v>877</v>
      </c>
      <c r="H501">
        <v>79882</v>
      </c>
      <c r="I501">
        <v>56</v>
      </c>
      <c r="J501" s="2">
        <v>0.2638888888888889</v>
      </c>
      <c r="K501" t="s">
        <v>44</v>
      </c>
      <c r="L501" t="s">
        <v>37</v>
      </c>
      <c r="M501" t="s">
        <v>28</v>
      </c>
      <c r="N501" t="s">
        <v>69</v>
      </c>
      <c r="O501">
        <v>222</v>
      </c>
      <c r="P501">
        <v>1411</v>
      </c>
      <c r="Q501">
        <v>499</v>
      </c>
      <c r="R501">
        <v>3.5</v>
      </c>
      <c r="S501" t="s">
        <v>60</v>
      </c>
      <c r="T501" t="s">
        <v>63</v>
      </c>
      <c r="U501" t="s">
        <v>70</v>
      </c>
      <c r="V501" t="s">
        <v>53</v>
      </c>
      <c r="W501">
        <v>6535</v>
      </c>
      <c r="X501" s="6" t="str">
        <f t="shared" si="79"/>
        <v>LOW</v>
      </c>
      <c r="Y501" s="8" t="str">
        <f t="shared" si="80"/>
        <v>Series</v>
      </c>
      <c r="Z501" s="10" t="str">
        <f t="shared" si="81"/>
        <v>Drama</v>
      </c>
      <c r="AA501" s="8" t="str">
        <f t="shared" si="82"/>
        <v>NO</v>
      </c>
      <c r="AB501" s="6" t="str">
        <f t="shared" si="83"/>
        <v>YES</v>
      </c>
    </row>
    <row r="502" spans="1:28" x14ac:dyDescent="0.3">
      <c r="A502">
        <v>502</v>
      </c>
      <c r="B502" t="s">
        <v>34</v>
      </c>
      <c r="C502" t="s">
        <v>35</v>
      </c>
      <c r="D502" s="1">
        <v>45548</v>
      </c>
      <c r="E502" s="2">
        <v>0.30555555555555558</v>
      </c>
      <c r="F502" t="s">
        <v>68</v>
      </c>
      <c r="G502">
        <v>557</v>
      </c>
      <c r="H502">
        <v>19672</v>
      </c>
      <c r="I502">
        <v>87</v>
      </c>
      <c r="J502" s="2">
        <v>0.2722222222222222</v>
      </c>
      <c r="K502" t="s">
        <v>62</v>
      </c>
      <c r="L502" t="s">
        <v>56</v>
      </c>
      <c r="M502" t="s">
        <v>38</v>
      </c>
      <c r="N502" t="s">
        <v>59</v>
      </c>
      <c r="O502">
        <v>2595</v>
      </c>
      <c r="P502">
        <v>796</v>
      </c>
      <c r="Q502">
        <v>741</v>
      </c>
      <c r="R502">
        <v>1.9</v>
      </c>
      <c r="S502" t="s">
        <v>40</v>
      </c>
      <c r="T502" t="s">
        <v>63</v>
      </c>
      <c r="U502" t="s">
        <v>46</v>
      </c>
      <c r="V502" t="s">
        <v>58</v>
      </c>
      <c r="W502">
        <v>13012</v>
      </c>
      <c r="X502" s="6" t="str">
        <f t="shared" ref="X502" si="89">IF(H502&gt;15000,"HIGH",IF(H502&gt;80000,"MEDIUM","LOW"))</f>
        <v>HIGH</v>
      </c>
      <c r="Y502" s="8" t="str">
        <f t="shared" si="80"/>
        <v>Series</v>
      </c>
      <c r="Z502" s="10" t="str">
        <f t="shared" si="81"/>
        <v>Comedy</v>
      </c>
      <c r="AA502" s="8" t="str">
        <f t="shared" si="82"/>
        <v>NO</v>
      </c>
      <c r="AB502" s="6" t="str">
        <f t="shared" si="83"/>
        <v>NO</v>
      </c>
    </row>
    <row r="503" spans="1:28" x14ac:dyDescent="0.3">
      <c r="A503">
        <v>503</v>
      </c>
      <c r="B503" t="s">
        <v>34</v>
      </c>
      <c r="C503" t="s">
        <v>72</v>
      </c>
      <c r="D503" s="1">
        <v>45507</v>
      </c>
      <c r="E503" s="2">
        <v>0.38958333333333334</v>
      </c>
      <c r="F503" t="s">
        <v>44</v>
      </c>
      <c r="G503">
        <v>528</v>
      </c>
      <c r="H503">
        <v>64359</v>
      </c>
      <c r="I503">
        <v>83</v>
      </c>
      <c r="J503" s="2">
        <v>0.1701388888888889</v>
      </c>
      <c r="K503" t="s">
        <v>26</v>
      </c>
      <c r="L503" t="s">
        <v>37</v>
      </c>
      <c r="M503" t="s">
        <v>28</v>
      </c>
      <c r="N503" t="s">
        <v>29</v>
      </c>
      <c r="O503">
        <v>1706</v>
      </c>
      <c r="P503">
        <v>796</v>
      </c>
      <c r="Q503">
        <v>1411</v>
      </c>
      <c r="R503">
        <v>2</v>
      </c>
      <c r="S503" t="s">
        <v>60</v>
      </c>
      <c r="T503" t="s">
        <v>63</v>
      </c>
      <c r="U503" t="s">
        <v>52</v>
      </c>
      <c r="V503" t="s">
        <v>42</v>
      </c>
      <c r="W503">
        <v>6858</v>
      </c>
      <c r="X503" s="6" t="str">
        <f t="shared" si="79"/>
        <v>LOW</v>
      </c>
      <c r="Y503" s="8" t="str">
        <f t="shared" si="80"/>
        <v>Series</v>
      </c>
      <c r="Z503" s="10" t="str">
        <f t="shared" si="81"/>
        <v>Action</v>
      </c>
      <c r="AA503" s="8" t="str">
        <f t="shared" si="82"/>
        <v>NO</v>
      </c>
      <c r="AB503" s="6" t="str">
        <f t="shared" si="83"/>
        <v>NO</v>
      </c>
    </row>
    <row r="504" spans="1:28" x14ac:dyDescent="0.3">
      <c r="A504">
        <v>504</v>
      </c>
      <c r="B504" t="s">
        <v>23</v>
      </c>
      <c r="C504" t="s">
        <v>55</v>
      </c>
      <c r="D504" s="1">
        <v>45515</v>
      </c>
      <c r="E504" s="2">
        <v>4.7222222222222221E-2</v>
      </c>
      <c r="F504" t="s">
        <v>26</v>
      </c>
      <c r="G504">
        <v>194</v>
      </c>
      <c r="H504">
        <v>45259</v>
      </c>
      <c r="I504">
        <v>91</v>
      </c>
      <c r="J504" s="2">
        <v>0.4201388888888889</v>
      </c>
      <c r="K504" t="s">
        <v>36</v>
      </c>
      <c r="L504" t="s">
        <v>27</v>
      </c>
      <c r="M504" t="s">
        <v>38</v>
      </c>
      <c r="N504" t="s">
        <v>29</v>
      </c>
      <c r="O504">
        <v>99</v>
      </c>
      <c r="P504">
        <v>1872</v>
      </c>
      <c r="Q504">
        <v>1171</v>
      </c>
      <c r="R504">
        <v>2</v>
      </c>
      <c r="S504" t="s">
        <v>30</v>
      </c>
      <c r="T504" t="s">
        <v>45</v>
      </c>
      <c r="U504" t="s">
        <v>46</v>
      </c>
      <c r="V504" t="s">
        <v>53</v>
      </c>
      <c r="W504">
        <v>6793</v>
      </c>
      <c r="X504" s="6" t="str">
        <f t="shared" si="79"/>
        <v>LOW</v>
      </c>
      <c r="Y504" s="8" t="str">
        <f t="shared" si="80"/>
        <v>Movie</v>
      </c>
      <c r="Z504" s="10" t="str">
        <f t="shared" si="81"/>
        <v>Fantasy</v>
      </c>
      <c r="AA504" s="8" t="str">
        <f t="shared" si="82"/>
        <v>NO</v>
      </c>
      <c r="AB504" s="6" t="str">
        <f t="shared" si="83"/>
        <v>NO</v>
      </c>
    </row>
    <row r="505" spans="1:28" x14ac:dyDescent="0.3">
      <c r="A505">
        <v>505</v>
      </c>
      <c r="B505" t="s">
        <v>34</v>
      </c>
      <c r="C505" t="s">
        <v>64</v>
      </c>
      <c r="D505" s="1">
        <v>45477</v>
      </c>
      <c r="E505" s="2">
        <v>0.57986111111111116</v>
      </c>
      <c r="F505" t="s">
        <v>36</v>
      </c>
      <c r="G505">
        <v>1221</v>
      </c>
      <c r="H505">
        <v>90175</v>
      </c>
      <c r="I505">
        <v>108</v>
      </c>
      <c r="J505" s="2">
        <v>0.14027777777777778</v>
      </c>
      <c r="K505" t="s">
        <v>44</v>
      </c>
      <c r="L505" t="s">
        <v>37</v>
      </c>
      <c r="M505" t="s">
        <v>38</v>
      </c>
      <c r="N505" t="s">
        <v>50</v>
      </c>
      <c r="O505">
        <v>2494</v>
      </c>
      <c r="P505">
        <v>1441</v>
      </c>
      <c r="Q505">
        <v>626</v>
      </c>
      <c r="R505">
        <v>4.8</v>
      </c>
      <c r="S505" t="s">
        <v>30</v>
      </c>
      <c r="T505" t="s">
        <v>45</v>
      </c>
      <c r="U505" t="s">
        <v>66</v>
      </c>
      <c r="V505" t="s">
        <v>58</v>
      </c>
      <c r="W505">
        <v>5260</v>
      </c>
      <c r="X505" s="6" t="str">
        <f t="shared" si="79"/>
        <v>LOW</v>
      </c>
      <c r="Y505" s="8" t="str">
        <f t="shared" si="80"/>
        <v>Series</v>
      </c>
      <c r="Z505" s="10" t="str">
        <f t="shared" si="81"/>
        <v>Drama</v>
      </c>
      <c r="AA505" s="8" t="str">
        <f t="shared" si="82"/>
        <v>NO</v>
      </c>
      <c r="AB505" s="6" t="str">
        <f t="shared" si="83"/>
        <v>YES</v>
      </c>
    </row>
    <row r="506" spans="1:28" x14ac:dyDescent="0.3">
      <c r="A506">
        <v>506</v>
      </c>
      <c r="B506" t="s">
        <v>54</v>
      </c>
      <c r="C506" t="s">
        <v>48</v>
      </c>
      <c r="D506" s="1">
        <v>45538</v>
      </c>
      <c r="E506" s="2">
        <v>0.2951388888888889</v>
      </c>
      <c r="F506" t="s">
        <v>73</v>
      </c>
      <c r="G506">
        <v>104</v>
      </c>
      <c r="H506">
        <v>12730</v>
      </c>
      <c r="I506">
        <v>25</v>
      </c>
      <c r="J506" s="2">
        <v>0.14444444444444443</v>
      </c>
      <c r="K506" t="s">
        <v>26</v>
      </c>
      <c r="L506" t="s">
        <v>56</v>
      </c>
      <c r="M506" t="s">
        <v>38</v>
      </c>
      <c r="N506" t="s">
        <v>50</v>
      </c>
      <c r="O506">
        <v>1544</v>
      </c>
      <c r="P506">
        <v>808</v>
      </c>
      <c r="Q506">
        <v>1439</v>
      </c>
      <c r="R506">
        <v>3.7</v>
      </c>
      <c r="S506" t="s">
        <v>51</v>
      </c>
      <c r="T506" t="s">
        <v>45</v>
      </c>
      <c r="U506" t="s">
        <v>66</v>
      </c>
      <c r="V506" t="s">
        <v>33</v>
      </c>
      <c r="W506">
        <v>18957</v>
      </c>
      <c r="X506" s="6" t="str">
        <f t="shared" si="79"/>
        <v>LOW</v>
      </c>
      <c r="Y506" s="8" t="str">
        <f t="shared" si="80"/>
        <v>Documentary</v>
      </c>
      <c r="Z506" s="10" t="str">
        <f t="shared" si="81"/>
        <v>Romance</v>
      </c>
      <c r="AA506" s="8" t="str">
        <f t="shared" si="82"/>
        <v>NO</v>
      </c>
      <c r="AB506" s="6" t="str">
        <f t="shared" si="83"/>
        <v>YES</v>
      </c>
    </row>
    <row r="507" spans="1:28" x14ac:dyDescent="0.3">
      <c r="A507">
        <v>507</v>
      </c>
      <c r="B507" t="s">
        <v>23</v>
      </c>
      <c r="C507" t="s">
        <v>48</v>
      </c>
      <c r="D507" s="1">
        <v>45500</v>
      </c>
      <c r="E507" s="2">
        <v>0.94861111111111107</v>
      </c>
      <c r="F507" t="s">
        <v>44</v>
      </c>
      <c r="G507">
        <v>127</v>
      </c>
      <c r="H507">
        <v>15677</v>
      </c>
      <c r="I507">
        <v>29</v>
      </c>
      <c r="J507" s="2">
        <v>0.375</v>
      </c>
      <c r="K507" t="s">
        <v>36</v>
      </c>
      <c r="L507" t="s">
        <v>27</v>
      </c>
      <c r="M507" t="s">
        <v>28</v>
      </c>
      <c r="N507" t="s">
        <v>39</v>
      </c>
      <c r="O507">
        <v>2970</v>
      </c>
      <c r="P507">
        <v>1465</v>
      </c>
      <c r="Q507">
        <v>479</v>
      </c>
      <c r="R507">
        <v>4.5999999999999996</v>
      </c>
      <c r="S507" t="s">
        <v>40</v>
      </c>
      <c r="T507" t="s">
        <v>31</v>
      </c>
      <c r="U507" t="s">
        <v>57</v>
      </c>
      <c r="V507" t="s">
        <v>33</v>
      </c>
      <c r="W507">
        <v>6222</v>
      </c>
      <c r="X507" s="6" t="str">
        <f t="shared" si="79"/>
        <v>LOW</v>
      </c>
      <c r="Y507" s="8" t="str">
        <f t="shared" si="80"/>
        <v>Movie</v>
      </c>
      <c r="Z507" s="10" t="str">
        <f t="shared" si="81"/>
        <v>Romance</v>
      </c>
      <c r="AA507" s="8" t="str">
        <f t="shared" si="82"/>
        <v>NO</v>
      </c>
      <c r="AB507" s="6" t="str">
        <f t="shared" si="83"/>
        <v>YES</v>
      </c>
    </row>
    <row r="508" spans="1:28" x14ac:dyDescent="0.3">
      <c r="A508" s="5"/>
      <c r="B508" s="5"/>
      <c r="C508" s="5"/>
      <c r="D508" s="5"/>
      <c r="E508" s="5"/>
      <c r="F508" s="5"/>
      <c r="G508" s="5"/>
      <c r="H508" s="5"/>
      <c r="I508" s="5"/>
      <c r="J508" s="5"/>
      <c r="K508" s="5"/>
      <c r="L508" s="5"/>
      <c r="M508" s="5"/>
      <c r="N508" s="5"/>
      <c r="O508" s="5"/>
      <c r="P508" s="5"/>
      <c r="Q508" s="5"/>
      <c r="R508" s="5"/>
      <c r="S508" s="5"/>
      <c r="T508" s="5"/>
      <c r="U508" s="5"/>
      <c r="V508" s="5"/>
      <c r="W508" s="5"/>
    </row>
    <row r="509" spans="1:28" x14ac:dyDescent="0.3">
      <c r="A509" s="5"/>
      <c r="B509" s="5"/>
      <c r="C509" s="5"/>
      <c r="D509" s="5"/>
      <c r="E509" s="5"/>
      <c r="F509" s="5"/>
      <c r="G509" s="5"/>
      <c r="H509" s="5"/>
      <c r="I509" s="5"/>
      <c r="J509" s="5"/>
      <c r="K509" s="5"/>
      <c r="L509" s="5"/>
      <c r="M509" s="5"/>
      <c r="N509" s="5"/>
      <c r="O509" s="5"/>
      <c r="P509" s="5"/>
      <c r="Q509" s="5"/>
      <c r="R509" s="5"/>
      <c r="S509" s="5"/>
      <c r="T509" s="5"/>
      <c r="U509" s="5"/>
      <c r="V509" s="5"/>
      <c r="W509" s="5"/>
    </row>
    <row r="510" spans="1:28" x14ac:dyDescent="0.3">
      <c r="A510" s="5"/>
      <c r="B510" s="5"/>
      <c r="C510" s="5"/>
      <c r="D510" s="5"/>
      <c r="E510" s="5"/>
      <c r="F510" s="5"/>
      <c r="G510" s="5"/>
      <c r="H510" s="5"/>
      <c r="I510" s="5"/>
      <c r="J510" s="5"/>
      <c r="K510" s="5"/>
      <c r="L510" s="5"/>
      <c r="M510" s="5"/>
      <c r="N510" s="5"/>
      <c r="O510" s="5"/>
      <c r="P510" s="5"/>
      <c r="Q510" s="5"/>
      <c r="R510" s="5"/>
      <c r="S510" s="5"/>
      <c r="T510" s="5"/>
      <c r="U510" s="5"/>
      <c r="V510" s="5"/>
      <c r="W510" s="5"/>
    </row>
    <row r="511" spans="1:28" x14ac:dyDescent="0.3">
      <c r="A511" s="5"/>
      <c r="B511" s="5"/>
      <c r="C511" s="5"/>
      <c r="D511" s="5"/>
      <c r="E511" s="5"/>
      <c r="F511" s="5"/>
      <c r="G511" s="5"/>
      <c r="H511" s="5"/>
      <c r="I511" s="5"/>
      <c r="J511" s="5"/>
      <c r="K511" s="5"/>
      <c r="L511" s="5"/>
      <c r="M511" s="5"/>
      <c r="N511" s="5"/>
      <c r="O511" s="5"/>
      <c r="P511" s="5"/>
      <c r="Q511" s="5"/>
      <c r="R511" s="5"/>
      <c r="S511" s="5"/>
      <c r="T511" s="5"/>
      <c r="U511" s="5"/>
      <c r="V511" s="5"/>
      <c r="W511" s="5"/>
    </row>
    <row r="512" spans="1:28" x14ac:dyDescent="0.3">
      <c r="A512" s="5"/>
      <c r="B512" s="5"/>
      <c r="C512" s="5"/>
      <c r="D512" s="5"/>
      <c r="E512" s="5"/>
      <c r="F512" s="5"/>
      <c r="G512" s="5"/>
      <c r="H512" s="5"/>
      <c r="I512" s="5"/>
      <c r="J512" s="5"/>
      <c r="K512" s="5"/>
      <c r="L512" s="5"/>
      <c r="M512" s="5"/>
      <c r="N512" s="5"/>
      <c r="O512" s="5"/>
      <c r="P512" s="5"/>
      <c r="Q512" s="5"/>
      <c r="R512" s="5"/>
      <c r="S512" s="5"/>
      <c r="T512" s="5"/>
      <c r="U512" s="5"/>
      <c r="V512" s="5"/>
      <c r="W512" s="5"/>
    </row>
    <row r="513" spans="1:23" x14ac:dyDescent="0.3">
      <c r="A513" s="5"/>
      <c r="B513" s="5"/>
      <c r="C513" s="5"/>
      <c r="D513" s="5"/>
      <c r="E513" s="5"/>
      <c r="F513" s="5"/>
      <c r="G513" s="5"/>
      <c r="H513" s="5"/>
      <c r="I513" s="5"/>
      <c r="J513" s="5"/>
      <c r="K513" s="5"/>
      <c r="L513" s="5"/>
      <c r="M513" s="5"/>
      <c r="N513" s="5"/>
      <c r="O513" s="5"/>
      <c r="P513" s="5"/>
      <c r="Q513" s="5"/>
      <c r="R513" s="5"/>
      <c r="S513" s="5"/>
      <c r="T513" s="5"/>
      <c r="U513" s="5"/>
      <c r="V513" s="5"/>
      <c r="W513" s="5"/>
    </row>
    <row r="514" spans="1:23" x14ac:dyDescent="0.3">
      <c r="A514" s="5"/>
      <c r="B514" s="5"/>
      <c r="C514" s="5"/>
      <c r="D514" s="5"/>
      <c r="E514" s="5"/>
      <c r="F514" s="5"/>
      <c r="G514" s="5"/>
      <c r="H514" s="5"/>
      <c r="I514" s="5"/>
      <c r="J514" s="5"/>
      <c r="K514" s="5"/>
      <c r="L514" s="5"/>
      <c r="M514" s="5"/>
      <c r="N514" s="5"/>
      <c r="O514" s="5"/>
      <c r="P514" s="5"/>
      <c r="Q514" s="5"/>
      <c r="R514" s="5"/>
      <c r="S514" s="5"/>
      <c r="T514" s="5"/>
      <c r="U514" s="5"/>
      <c r="V514" s="5"/>
      <c r="W514" s="5"/>
    </row>
    <row r="515" spans="1:23" x14ac:dyDescent="0.3">
      <c r="A515" s="5"/>
      <c r="B515" s="5"/>
      <c r="C515" s="5"/>
      <c r="D515" s="5"/>
      <c r="E515" s="5"/>
      <c r="F515" s="5"/>
      <c r="G515" s="5"/>
      <c r="H515" s="5"/>
      <c r="I515" s="5"/>
      <c r="J515" s="5"/>
      <c r="K515" s="5"/>
      <c r="L515" s="5"/>
      <c r="M515" s="5"/>
      <c r="N515" s="5"/>
      <c r="O515" s="5"/>
      <c r="P515" s="5"/>
      <c r="Q515" s="5"/>
      <c r="R515" s="5"/>
      <c r="S515" s="5"/>
      <c r="T515" s="5"/>
      <c r="U515" s="5"/>
      <c r="V515" s="5"/>
      <c r="W515" s="5"/>
    </row>
    <row r="516" spans="1:23" x14ac:dyDescent="0.3">
      <c r="A516" s="5"/>
      <c r="B516" s="5"/>
      <c r="C516" s="5"/>
      <c r="D516" s="5"/>
      <c r="E516" s="5"/>
      <c r="F516" s="5"/>
      <c r="G516" s="5"/>
      <c r="H516" s="5"/>
      <c r="I516" s="5"/>
      <c r="J516" s="5"/>
      <c r="K516" s="5"/>
      <c r="L516" s="5"/>
      <c r="M516" s="5"/>
      <c r="N516" s="5"/>
      <c r="O516" s="5"/>
      <c r="P516" s="5"/>
      <c r="Q516" s="5"/>
      <c r="R516" s="5"/>
      <c r="S516" s="5"/>
      <c r="T516" s="5"/>
      <c r="U516" s="5"/>
      <c r="V516" s="5"/>
      <c r="W516" s="5"/>
    </row>
    <row r="517" spans="1:23" x14ac:dyDescent="0.3">
      <c r="A517" s="5"/>
      <c r="B517" s="5"/>
      <c r="C517" s="5"/>
      <c r="D517" s="5"/>
      <c r="E517" s="5"/>
      <c r="F517" s="5"/>
      <c r="G517" s="5"/>
      <c r="H517" s="5"/>
      <c r="I517" s="5"/>
      <c r="J517" s="5"/>
      <c r="K517" s="5"/>
      <c r="L517" s="5"/>
      <c r="M517" s="5"/>
      <c r="N517" s="5"/>
      <c r="O517" s="5"/>
      <c r="P517" s="5"/>
      <c r="Q517" s="5"/>
      <c r="R517" s="5"/>
      <c r="S517" s="5"/>
      <c r="T517" s="5"/>
      <c r="U517" s="5"/>
      <c r="V517" s="5"/>
      <c r="W517" s="5"/>
    </row>
    <row r="518" spans="1:23" x14ac:dyDescent="0.3">
      <c r="A518" s="5"/>
      <c r="B518" s="5"/>
      <c r="C518" s="5"/>
      <c r="D518" s="5"/>
      <c r="E518" s="5"/>
      <c r="F518" s="5"/>
      <c r="G518" s="5"/>
      <c r="H518" s="5"/>
      <c r="I518" s="5"/>
      <c r="J518" s="5"/>
      <c r="K518" s="5"/>
      <c r="L518" s="5"/>
      <c r="M518" s="5"/>
      <c r="N518" s="5"/>
      <c r="O518" s="5"/>
      <c r="P518" s="5"/>
      <c r="Q518" s="5"/>
      <c r="R518" s="5"/>
      <c r="S518" s="5"/>
      <c r="T518" s="5"/>
      <c r="U518" s="5"/>
      <c r="V518" s="5"/>
      <c r="W518" s="5"/>
    </row>
    <row r="519" spans="1:23" x14ac:dyDescent="0.3">
      <c r="A519" s="5"/>
      <c r="B519" s="5"/>
      <c r="C519" s="5"/>
      <c r="D519" s="5"/>
      <c r="E519" s="5"/>
      <c r="F519" s="5"/>
      <c r="G519" s="5"/>
      <c r="H519" s="5"/>
      <c r="I519" s="5"/>
      <c r="J519" s="5"/>
      <c r="K519" s="5"/>
      <c r="L519" s="5"/>
      <c r="M519" s="5"/>
      <c r="N519" s="5"/>
      <c r="O519" s="5"/>
      <c r="P519" s="5"/>
      <c r="Q519" s="5"/>
      <c r="R519" s="5"/>
      <c r="S519" s="5"/>
      <c r="T519" s="5"/>
      <c r="U519" s="5"/>
      <c r="V519" s="5"/>
      <c r="W519" s="5"/>
    </row>
    <row r="520" spans="1:23" x14ac:dyDescent="0.3">
      <c r="A520" s="5"/>
      <c r="B520" s="5"/>
      <c r="C520" s="5"/>
      <c r="D520" s="5"/>
      <c r="E520" s="5"/>
      <c r="F520" s="5"/>
      <c r="G520" s="5"/>
      <c r="H520" s="5"/>
      <c r="I520" s="5"/>
      <c r="J520" s="5"/>
      <c r="K520" s="5"/>
      <c r="L520" s="5"/>
      <c r="M520" s="5"/>
      <c r="N520" s="5"/>
      <c r="O520" s="5"/>
      <c r="P520" s="5"/>
      <c r="Q520" s="5"/>
      <c r="R520" s="5"/>
      <c r="S520" s="5"/>
      <c r="T520" s="5"/>
      <c r="U520" s="5"/>
      <c r="V520" s="5"/>
      <c r="W520" s="5"/>
    </row>
    <row r="521" spans="1:23" x14ac:dyDescent="0.3">
      <c r="A521" s="5"/>
      <c r="B521" s="5"/>
      <c r="C521" s="5"/>
      <c r="D521" s="5"/>
      <c r="E521" s="5"/>
      <c r="F521" s="5"/>
      <c r="G521" s="5"/>
      <c r="H521" s="5"/>
      <c r="I521" s="5"/>
      <c r="J521" s="5"/>
      <c r="K521" s="5"/>
      <c r="L521" s="5"/>
      <c r="M521" s="5"/>
      <c r="N521" s="5"/>
      <c r="O521" s="5"/>
      <c r="P521" s="5"/>
      <c r="Q521" s="5"/>
      <c r="R521" s="5"/>
      <c r="S521" s="5"/>
      <c r="T521" s="5"/>
      <c r="U521" s="5"/>
      <c r="V521" s="5"/>
      <c r="W521" s="5"/>
    </row>
    <row r="522" spans="1:23" x14ac:dyDescent="0.3">
      <c r="A522" s="5"/>
      <c r="B522" s="5"/>
      <c r="C522" s="5"/>
      <c r="D522" s="5"/>
      <c r="E522" s="5"/>
      <c r="F522" s="5"/>
      <c r="G522" s="5"/>
      <c r="H522" s="5"/>
      <c r="I522" s="5"/>
      <c r="J522" s="5"/>
      <c r="K522" s="5"/>
      <c r="L522" s="5"/>
      <c r="M522" s="5"/>
      <c r="N522" s="5"/>
      <c r="O522" s="5"/>
      <c r="P522" s="5"/>
      <c r="Q522" s="5"/>
      <c r="R522" s="5"/>
      <c r="S522" s="5"/>
      <c r="T522" s="5"/>
      <c r="U522" s="5"/>
      <c r="V522" s="5"/>
      <c r="W522" s="5"/>
    </row>
    <row r="523" spans="1:23" x14ac:dyDescent="0.3">
      <c r="A523" s="5"/>
      <c r="B523" s="5"/>
      <c r="C523" s="5"/>
      <c r="D523" s="5"/>
      <c r="E523" s="5"/>
      <c r="F523" s="5"/>
      <c r="G523" s="5"/>
      <c r="H523" s="5"/>
      <c r="I523" s="5"/>
      <c r="J523" s="5"/>
      <c r="K523" s="5"/>
      <c r="L523" s="5"/>
      <c r="M523" s="5"/>
      <c r="N523" s="5"/>
      <c r="O523" s="5"/>
      <c r="P523" s="5"/>
      <c r="Q523" s="5"/>
      <c r="R523" s="5"/>
      <c r="S523" s="5"/>
      <c r="T523" s="5"/>
      <c r="U523" s="5"/>
      <c r="V523" s="5"/>
      <c r="W523" s="5"/>
    </row>
    <row r="524" spans="1:23" x14ac:dyDescent="0.3">
      <c r="A524" s="5"/>
      <c r="B524" s="5"/>
      <c r="C524" s="5"/>
      <c r="D524" s="5"/>
      <c r="E524" s="5"/>
      <c r="F524" s="5"/>
      <c r="G524" s="5"/>
      <c r="H524" s="5"/>
      <c r="I524" s="5"/>
      <c r="J524" s="5"/>
      <c r="K524" s="5"/>
      <c r="L524" s="5"/>
      <c r="M524" s="5"/>
      <c r="N524" s="5"/>
      <c r="O524" s="5"/>
      <c r="P524" s="5"/>
      <c r="Q524" s="5"/>
      <c r="R524" s="5"/>
      <c r="S524" s="5"/>
      <c r="T524" s="5"/>
      <c r="U524" s="5"/>
      <c r="V524" s="5"/>
      <c r="W524" s="5"/>
    </row>
    <row r="525" spans="1:23" x14ac:dyDescent="0.3">
      <c r="A525" s="5"/>
      <c r="B525" s="5"/>
      <c r="C525" s="5"/>
      <c r="D525" s="5"/>
      <c r="E525" s="5"/>
      <c r="F525" s="5"/>
      <c r="G525" s="5"/>
      <c r="H525" s="5"/>
      <c r="I525" s="5"/>
      <c r="J525" s="5"/>
      <c r="K525" s="5"/>
      <c r="L525" s="5"/>
      <c r="M525" s="5"/>
      <c r="N525" s="5"/>
      <c r="O525" s="5"/>
      <c r="P525" s="5"/>
      <c r="Q525" s="5"/>
      <c r="R525" s="5"/>
      <c r="S525" s="5"/>
      <c r="T525" s="5"/>
      <c r="U525" s="5"/>
      <c r="V525" s="5"/>
      <c r="W525" s="5"/>
    </row>
    <row r="526" spans="1:23" x14ac:dyDescent="0.3">
      <c r="A526" s="5"/>
      <c r="B526" s="5"/>
      <c r="C526" s="5"/>
      <c r="D526" s="5"/>
      <c r="E526" s="5"/>
      <c r="F526" s="5"/>
      <c r="G526" s="5"/>
      <c r="H526" s="5"/>
      <c r="I526" s="5"/>
      <c r="J526" s="5"/>
      <c r="K526" s="5"/>
      <c r="L526" s="5"/>
      <c r="M526" s="5"/>
      <c r="N526" s="5"/>
      <c r="O526" s="5"/>
      <c r="P526" s="5"/>
      <c r="Q526" s="5"/>
      <c r="R526" s="5"/>
      <c r="S526" s="5"/>
      <c r="T526" s="5"/>
      <c r="U526" s="5"/>
      <c r="V526" s="5"/>
      <c r="W526" s="5"/>
    </row>
    <row r="527" spans="1:23" x14ac:dyDescent="0.3">
      <c r="A527" s="5"/>
      <c r="B527" s="5"/>
      <c r="C527" s="5"/>
      <c r="D527" s="5"/>
      <c r="E527" s="5"/>
      <c r="F527" s="5"/>
      <c r="G527" s="5"/>
      <c r="H527" s="5"/>
      <c r="I527" s="5"/>
      <c r="J527" s="5"/>
      <c r="K527" s="5"/>
      <c r="L527" s="5"/>
      <c r="M527" s="5"/>
      <c r="N527" s="5"/>
      <c r="O527" s="5"/>
      <c r="P527" s="5"/>
      <c r="Q527" s="5"/>
      <c r="R527" s="5"/>
      <c r="S527" s="5"/>
      <c r="T527" s="5"/>
      <c r="U527" s="5"/>
      <c r="V527" s="5"/>
      <c r="W527" s="5"/>
    </row>
    <row r="528" spans="1:23" x14ac:dyDescent="0.3">
      <c r="A528" s="5"/>
      <c r="B528" s="5"/>
      <c r="C528" s="5"/>
      <c r="D528" s="5"/>
      <c r="E528" s="5"/>
      <c r="F528" s="5"/>
      <c r="G528" s="5"/>
      <c r="H528" s="5"/>
      <c r="I528" s="5"/>
      <c r="J528" s="5"/>
      <c r="K528" s="5"/>
      <c r="L528" s="5"/>
      <c r="M528" s="5"/>
      <c r="N528" s="5"/>
      <c r="O528" s="5"/>
      <c r="P528" s="5"/>
      <c r="Q528" s="5"/>
      <c r="R528" s="5"/>
      <c r="S528" s="5"/>
      <c r="T528" s="5"/>
      <c r="U528" s="5"/>
      <c r="V528" s="5"/>
      <c r="W528" s="5"/>
    </row>
    <row r="529" spans="1:23" x14ac:dyDescent="0.3">
      <c r="A529" s="5"/>
      <c r="B529" s="5"/>
      <c r="C529" s="5"/>
      <c r="D529" s="5"/>
      <c r="E529" s="5"/>
      <c r="F529" s="5"/>
      <c r="G529" s="5"/>
      <c r="H529" s="5"/>
      <c r="I529" s="5"/>
      <c r="J529" s="5"/>
      <c r="K529" s="5"/>
      <c r="L529" s="5"/>
      <c r="M529" s="5"/>
      <c r="N529" s="5"/>
      <c r="O529" s="5"/>
      <c r="P529" s="5"/>
      <c r="Q529" s="5"/>
      <c r="R529" s="5"/>
      <c r="S529" s="5"/>
      <c r="T529" s="5"/>
      <c r="U529" s="5"/>
      <c r="V529" s="5"/>
      <c r="W529" s="5"/>
    </row>
    <row r="530" spans="1:23" x14ac:dyDescent="0.3">
      <c r="A530" s="5"/>
      <c r="B530" s="5"/>
      <c r="C530" s="5"/>
      <c r="D530" s="5"/>
      <c r="E530" s="5"/>
      <c r="F530" s="5"/>
      <c r="G530" s="5"/>
      <c r="H530" s="5"/>
      <c r="I530" s="5"/>
      <c r="J530" s="5"/>
      <c r="K530" s="5"/>
      <c r="L530" s="5"/>
      <c r="M530" s="5"/>
      <c r="N530" s="5"/>
      <c r="O530" s="5"/>
      <c r="P530" s="5"/>
      <c r="Q530" s="5"/>
      <c r="R530" s="5"/>
      <c r="S530" s="5"/>
      <c r="T530" s="5"/>
      <c r="U530" s="5"/>
      <c r="V530" s="5"/>
      <c r="W530" s="5"/>
    </row>
    <row r="531" spans="1:23" x14ac:dyDescent="0.3">
      <c r="A531" s="5"/>
      <c r="B531" s="5"/>
      <c r="C531" s="5"/>
      <c r="D531" s="5"/>
      <c r="E531" s="5"/>
      <c r="F531" s="5"/>
      <c r="G531" s="5"/>
      <c r="H531" s="5"/>
      <c r="I531" s="5"/>
      <c r="J531" s="5"/>
      <c r="K531" s="5"/>
      <c r="L531" s="5"/>
      <c r="M531" s="5"/>
      <c r="N531" s="5"/>
      <c r="O531" s="5"/>
      <c r="P531" s="5"/>
      <c r="Q531" s="5"/>
      <c r="R531" s="5"/>
      <c r="S531" s="5"/>
      <c r="T531" s="5"/>
      <c r="U531" s="5"/>
      <c r="V531" s="5"/>
      <c r="W531" s="5"/>
    </row>
    <row r="532" spans="1:23" x14ac:dyDescent="0.3">
      <c r="A532" s="5"/>
      <c r="B532" s="5"/>
      <c r="C532" s="5"/>
      <c r="D532" s="5"/>
      <c r="E532" s="5"/>
      <c r="F532" s="5"/>
      <c r="G532" s="5"/>
      <c r="H532" s="5"/>
      <c r="I532" s="5"/>
      <c r="J532" s="5"/>
      <c r="K532" s="5"/>
      <c r="L532" s="5"/>
      <c r="M532" s="5"/>
      <c r="N532" s="5"/>
      <c r="O532" s="5"/>
      <c r="P532" s="5"/>
      <c r="Q532" s="5"/>
      <c r="R532" s="5"/>
      <c r="S532" s="5"/>
      <c r="T532" s="5"/>
      <c r="U532" s="5"/>
      <c r="V532" s="5"/>
      <c r="W532" s="5"/>
    </row>
    <row r="533" spans="1:23" x14ac:dyDescent="0.3">
      <c r="A533" s="5"/>
      <c r="B533" s="5"/>
      <c r="C533" s="5"/>
      <c r="D533" s="5"/>
      <c r="E533" s="5"/>
      <c r="F533" s="5"/>
      <c r="G533" s="5"/>
      <c r="H533" s="5"/>
      <c r="I533" s="5"/>
      <c r="J533" s="5"/>
      <c r="K533" s="5"/>
      <c r="L533" s="5"/>
      <c r="M533" s="5"/>
      <c r="N533" s="5"/>
      <c r="O533" s="5"/>
      <c r="P533" s="5"/>
      <c r="Q533" s="5"/>
      <c r="R533" s="5"/>
      <c r="S533" s="5"/>
      <c r="T533" s="5"/>
      <c r="U533" s="5"/>
      <c r="V533" s="5"/>
      <c r="W533" s="5"/>
    </row>
    <row r="534" spans="1:23" x14ac:dyDescent="0.3">
      <c r="A534" s="5"/>
      <c r="B534" s="5"/>
      <c r="C534" s="5"/>
      <c r="D534" s="5"/>
      <c r="E534" s="5"/>
      <c r="F534" s="5"/>
      <c r="G534" s="5"/>
      <c r="H534" s="5"/>
      <c r="I534" s="5"/>
      <c r="J534" s="5"/>
      <c r="K534" s="5"/>
      <c r="L534" s="5"/>
      <c r="M534" s="5"/>
      <c r="N534" s="5"/>
      <c r="O534" s="5"/>
      <c r="P534" s="5"/>
      <c r="Q534" s="5"/>
      <c r="R534" s="5"/>
      <c r="S534" s="5"/>
      <c r="T534" s="5"/>
      <c r="U534" s="5"/>
      <c r="V534" s="5"/>
      <c r="W534" s="5"/>
    </row>
    <row r="535" spans="1:23" x14ac:dyDescent="0.3">
      <c r="A535" s="5"/>
      <c r="B535" s="5"/>
      <c r="C535" s="5"/>
      <c r="D535" s="5"/>
      <c r="E535" s="5"/>
      <c r="F535" s="5"/>
      <c r="G535" s="5"/>
      <c r="H535" s="5"/>
      <c r="I535" s="5"/>
      <c r="J535" s="5"/>
      <c r="K535" s="5"/>
      <c r="L535" s="5"/>
      <c r="M535" s="5"/>
      <c r="N535" s="5"/>
      <c r="O535" s="5"/>
      <c r="P535" s="5"/>
      <c r="Q535" s="5"/>
      <c r="R535" s="5"/>
      <c r="S535" s="5"/>
      <c r="T535" s="5"/>
      <c r="U535" s="5"/>
      <c r="V535" s="5"/>
      <c r="W535" s="5"/>
    </row>
    <row r="536" spans="1:23" x14ac:dyDescent="0.3">
      <c r="A536" s="5"/>
      <c r="B536" s="5"/>
      <c r="C536" s="5"/>
      <c r="D536" s="5"/>
      <c r="E536" s="5"/>
      <c r="F536" s="5"/>
      <c r="G536" s="5"/>
      <c r="H536" s="5"/>
      <c r="I536" s="5"/>
      <c r="J536" s="5"/>
      <c r="K536" s="5"/>
      <c r="L536" s="5"/>
      <c r="M536" s="5"/>
      <c r="N536" s="5"/>
      <c r="O536" s="5"/>
      <c r="P536" s="5"/>
      <c r="Q536" s="5"/>
      <c r="R536" s="5"/>
      <c r="S536" s="5"/>
      <c r="T536" s="5"/>
      <c r="U536" s="5"/>
      <c r="V536" s="5"/>
      <c r="W536" s="5"/>
    </row>
    <row r="537" spans="1:23" x14ac:dyDescent="0.3">
      <c r="A537" s="5"/>
      <c r="B537" s="5"/>
      <c r="C537" s="5"/>
      <c r="D537" s="5"/>
      <c r="E537" s="5"/>
      <c r="F537" s="5"/>
      <c r="G537" s="5"/>
      <c r="H537" s="5"/>
      <c r="I537" s="5"/>
      <c r="J537" s="5"/>
      <c r="K537" s="5"/>
      <c r="L537" s="5"/>
      <c r="M537" s="5"/>
      <c r="N537" s="5"/>
      <c r="O537" s="5"/>
      <c r="P537" s="5"/>
      <c r="Q537" s="5"/>
      <c r="R537" s="5"/>
      <c r="S537" s="5"/>
      <c r="T537" s="5"/>
      <c r="U537" s="5"/>
      <c r="V537" s="5"/>
      <c r="W537" s="5"/>
    </row>
    <row r="538" spans="1:23" x14ac:dyDescent="0.3">
      <c r="A538" s="5"/>
      <c r="B538" s="5"/>
      <c r="C538" s="5"/>
      <c r="D538" s="5"/>
      <c r="E538" s="5"/>
      <c r="F538" s="5"/>
      <c r="G538" s="5"/>
      <c r="H538" s="5"/>
      <c r="I538" s="5"/>
      <c r="J538" s="5"/>
      <c r="K538" s="5"/>
      <c r="L538" s="5"/>
      <c r="M538" s="5"/>
      <c r="N538" s="5"/>
      <c r="O538" s="5"/>
      <c r="P538" s="5"/>
      <c r="Q538" s="5"/>
      <c r="R538" s="5"/>
      <c r="S538" s="5"/>
      <c r="T538" s="5"/>
      <c r="U538" s="5"/>
      <c r="V538" s="5"/>
      <c r="W538" s="5"/>
    </row>
    <row r="539" spans="1:23" x14ac:dyDescent="0.3">
      <c r="A539" s="5"/>
      <c r="B539" s="5"/>
      <c r="C539" s="5"/>
      <c r="D539" s="5"/>
      <c r="E539" s="5"/>
      <c r="F539" s="5"/>
      <c r="G539" s="5"/>
      <c r="H539" s="5"/>
      <c r="I539" s="5"/>
      <c r="J539" s="5"/>
      <c r="K539" s="5"/>
      <c r="L539" s="5"/>
      <c r="M539" s="5"/>
      <c r="N539" s="5"/>
      <c r="O539" s="5"/>
      <c r="P539" s="5"/>
      <c r="Q539" s="5"/>
      <c r="R539" s="5"/>
      <c r="S539" s="5"/>
      <c r="T539" s="5"/>
      <c r="U539" s="5"/>
      <c r="V539" s="5"/>
      <c r="W539" s="5"/>
    </row>
    <row r="540" spans="1:23" x14ac:dyDescent="0.3">
      <c r="A540" s="5"/>
      <c r="B540" s="5"/>
      <c r="C540" s="5"/>
      <c r="D540" s="5"/>
      <c r="E540" s="5"/>
      <c r="F540" s="5"/>
      <c r="G540" s="5"/>
      <c r="H540" s="5"/>
      <c r="I540" s="5"/>
      <c r="J540" s="5"/>
      <c r="K540" s="5"/>
      <c r="L540" s="5"/>
      <c r="M540" s="5"/>
      <c r="N540" s="5"/>
      <c r="O540" s="5"/>
      <c r="P540" s="5"/>
      <c r="Q540" s="5"/>
      <c r="R540" s="5"/>
      <c r="S540" s="5"/>
      <c r="T540" s="5"/>
      <c r="U540" s="5"/>
      <c r="V540" s="5"/>
      <c r="W540" s="5"/>
    </row>
    <row r="541" spans="1:23" x14ac:dyDescent="0.3">
      <c r="A541" s="5"/>
      <c r="B541" s="5"/>
      <c r="C541" s="5"/>
      <c r="D541" s="5"/>
      <c r="E541" s="5"/>
      <c r="F541" s="5"/>
      <c r="G541" s="5"/>
      <c r="H541" s="5"/>
      <c r="I541" s="5"/>
      <c r="J541" s="5"/>
      <c r="K541" s="5"/>
      <c r="L541" s="5"/>
      <c r="M541" s="5"/>
      <c r="N541" s="5"/>
      <c r="O541" s="5"/>
      <c r="P541" s="5"/>
      <c r="Q541" s="5"/>
      <c r="R541" s="5"/>
      <c r="S541" s="5"/>
      <c r="T541" s="5"/>
      <c r="U541" s="5"/>
      <c r="V541" s="5"/>
      <c r="W541" s="5"/>
    </row>
    <row r="542" spans="1:23" x14ac:dyDescent="0.3">
      <c r="A542" s="5"/>
      <c r="B542" s="5"/>
      <c r="C542" s="5"/>
      <c r="D542" s="5"/>
      <c r="E542" s="5"/>
      <c r="F542" s="5"/>
      <c r="G542" s="5"/>
      <c r="H542" s="5"/>
      <c r="I542" s="5"/>
      <c r="J542" s="5"/>
      <c r="K542" s="5"/>
      <c r="L542" s="5"/>
      <c r="M542" s="5"/>
      <c r="N542" s="5"/>
      <c r="O542" s="5"/>
      <c r="P542" s="5"/>
      <c r="Q542" s="5"/>
      <c r="R542" s="5"/>
      <c r="S542" s="5"/>
      <c r="T542" s="5"/>
      <c r="U542" s="5"/>
      <c r="V542" s="5"/>
      <c r="W542" s="5"/>
    </row>
    <row r="543" spans="1:23" x14ac:dyDescent="0.3">
      <c r="A543" s="5"/>
      <c r="B543" s="5"/>
      <c r="C543" s="5"/>
      <c r="D543" s="5"/>
      <c r="E543" s="5"/>
      <c r="F543" s="5"/>
      <c r="G543" s="5"/>
      <c r="H543" s="5"/>
      <c r="I543" s="5"/>
      <c r="J543" s="5"/>
      <c r="K543" s="5"/>
      <c r="L543" s="5"/>
      <c r="M543" s="5"/>
      <c r="N543" s="5"/>
      <c r="O543" s="5"/>
      <c r="P543" s="5"/>
      <c r="Q543" s="5"/>
      <c r="R543" s="5"/>
      <c r="S543" s="5"/>
      <c r="T543" s="5"/>
      <c r="U543" s="5"/>
      <c r="V543" s="5"/>
      <c r="W543" s="5"/>
    </row>
    <row r="544" spans="1:23" x14ac:dyDescent="0.3">
      <c r="A544" s="5"/>
      <c r="B544" s="5"/>
      <c r="C544" s="5"/>
      <c r="D544" s="5"/>
      <c r="E544" s="5"/>
      <c r="F544" s="5"/>
      <c r="G544" s="5"/>
      <c r="H544" s="5"/>
      <c r="I544" s="5"/>
      <c r="J544" s="5"/>
      <c r="K544" s="5"/>
      <c r="L544" s="5"/>
      <c r="M544" s="5"/>
      <c r="N544" s="5"/>
      <c r="O544" s="5"/>
      <c r="P544" s="5"/>
      <c r="Q544" s="5"/>
      <c r="R544" s="5"/>
      <c r="S544" s="5"/>
      <c r="T544" s="5"/>
      <c r="U544" s="5"/>
      <c r="V544" s="5"/>
      <c r="W544" s="5"/>
    </row>
    <row r="545" spans="1:23" x14ac:dyDescent="0.3">
      <c r="A545" s="5"/>
      <c r="B545" s="5"/>
      <c r="C545" s="5"/>
      <c r="D545" s="5"/>
      <c r="E545" s="5"/>
      <c r="F545" s="5"/>
      <c r="G545" s="5"/>
      <c r="H545" s="5"/>
      <c r="I545" s="5"/>
      <c r="J545" s="5"/>
      <c r="K545" s="5"/>
      <c r="L545" s="5"/>
      <c r="M545" s="5"/>
      <c r="N545" s="5"/>
      <c r="O545" s="5"/>
      <c r="P545" s="5"/>
      <c r="Q545" s="5"/>
      <c r="R545" s="5"/>
      <c r="S545" s="5"/>
      <c r="T545" s="5"/>
      <c r="U545" s="5"/>
      <c r="V545" s="5"/>
      <c r="W545" s="5"/>
    </row>
    <row r="546" spans="1:23" x14ac:dyDescent="0.3">
      <c r="A546" s="5"/>
      <c r="B546" s="5"/>
      <c r="C546" s="5"/>
      <c r="D546" s="5"/>
      <c r="E546" s="5"/>
      <c r="F546" s="5"/>
      <c r="G546" s="5"/>
      <c r="H546" s="5"/>
      <c r="I546" s="5"/>
      <c r="J546" s="5"/>
      <c r="K546" s="5"/>
      <c r="L546" s="5"/>
      <c r="M546" s="5"/>
      <c r="N546" s="5"/>
      <c r="O546" s="5"/>
      <c r="P546" s="5"/>
      <c r="Q546" s="5"/>
      <c r="R546" s="5"/>
      <c r="S546" s="5"/>
      <c r="T546" s="5"/>
      <c r="U546" s="5"/>
      <c r="V546" s="5"/>
      <c r="W546" s="5"/>
    </row>
    <row r="547" spans="1:23" x14ac:dyDescent="0.3">
      <c r="A547" s="5"/>
      <c r="B547" s="5"/>
      <c r="C547" s="5"/>
      <c r="D547" s="5"/>
      <c r="E547" s="5"/>
      <c r="F547" s="5"/>
      <c r="G547" s="5"/>
      <c r="H547" s="5"/>
      <c r="I547" s="5"/>
      <c r="J547" s="5"/>
      <c r="K547" s="5"/>
      <c r="L547" s="5"/>
      <c r="M547" s="5"/>
      <c r="N547" s="5"/>
      <c r="O547" s="5"/>
      <c r="P547" s="5"/>
      <c r="Q547" s="5"/>
      <c r="R547" s="5"/>
      <c r="S547" s="5"/>
      <c r="T547" s="5"/>
      <c r="U547" s="5"/>
      <c r="V547" s="5"/>
      <c r="W547" s="5"/>
    </row>
    <row r="548" spans="1:23" x14ac:dyDescent="0.3">
      <c r="A548" s="5"/>
      <c r="B548" s="5"/>
      <c r="C548" s="5"/>
      <c r="D548" s="5"/>
      <c r="E548" s="5"/>
      <c r="F548" s="5"/>
      <c r="G548" s="5"/>
      <c r="H548" s="5"/>
      <c r="I548" s="5"/>
      <c r="J548" s="5"/>
      <c r="K548" s="5"/>
      <c r="L548" s="5"/>
      <c r="M548" s="5"/>
      <c r="N548" s="5"/>
      <c r="O548" s="5"/>
      <c r="P548" s="5"/>
      <c r="Q548" s="5"/>
      <c r="R548" s="5"/>
      <c r="S548" s="5"/>
      <c r="T548" s="5"/>
      <c r="U548" s="5"/>
      <c r="V548" s="5"/>
      <c r="W548" s="5"/>
    </row>
    <row r="549" spans="1:23" x14ac:dyDescent="0.3">
      <c r="A549" s="5"/>
      <c r="B549" s="5"/>
      <c r="C549" s="5"/>
      <c r="D549" s="5"/>
      <c r="E549" s="5"/>
      <c r="F549" s="5"/>
      <c r="G549" s="5"/>
      <c r="H549" s="5"/>
      <c r="I549" s="5"/>
      <c r="J549" s="5"/>
      <c r="K549" s="5"/>
      <c r="L549" s="5"/>
      <c r="M549" s="5"/>
      <c r="N549" s="5"/>
      <c r="O549" s="5"/>
      <c r="P549" s="5"/>
      <c r="Q549" s="5"/>
      <c r="R549" s="5"/>
      <c r="S549" s="5"/>
      <c r="T549" s="5"/>
      <c r="U549" s="5"/>
      <c r="V549" s="5"/>
      <c r="W549" s="5"/>
    </row>
    <row r="550" spans="1:23" x14ac:dyDescent="0.3">
      <c r="A550" s="5"/>
      <c r="B550" s="5"/>
      <c r="C550" s="5"/>
      <c r="D550" s="5"/>
      <c r="E550" s="5"/>
      <c r="F550" s="5"/>
      <c r="G550" s="5"/>
      <c r="H550" s="5"/>
      <c r="I550" s="5"/>
      <c r="J550" s="5"/>
      <c r="K550" s="5"/>
      <c r="L550" s="5"/>
      <c r="M550" s="5"/>
      <c r="N550" s="5"/>
      <c r="O550" s="5"/>
      <c r="P550" s="5"/>
      <c r="Q550" s="5"/>
      <c r="R550" s="5"/>
      <c r="S550" s="5"/>
      <c r="T550" s="5"/>
      <c r="U550" s="5"/>
      <c r="V550" s="5"/>
      <c r="W550" s="5"/>
    </row>
    <row r="551" spans="1:23" x14ac:dyDescent="0.3">
      <c r="A551" s="5"/>
      <c r="B551" s="5"/>
      <c r="C551" s="5"/>
      <c r="D551" s="5"/>
      <c r="E551" s="5"/>
      <c r="F551" s="5"/>
      <c r="G551" s="5"/>
      <c r="H551" s="5"/>
      <c r="I551" s="5"/>
      <c r="J551" s="5"/>
      <c r="K551" s="5"/>
      <c r="L551" s="5"/>
      <c r="M551" s="5"/>
      <c r="N551" s="5"/>
      <c r="O551" s="5"/>
      <c r="P551" s="5"/>
      <c r="Q551" s="5"/>
      <c r="R551" s="5"/>
      <c r="S551" s="5"/>
      <c r="T551" s="5"/>
      <c r="U551" s="5"/>
      <c r="V551" s="5"/>
      <c r="W551" s="5"/>
    </row>
    <row r="552" spans="1:23" x14ac:dyDescent="0.3">
      <c r="A552" s="5"/>
      <c r="B552" s="5"/>
      <c r="C552" s="5"/>
      <c r="D552" s="5"/>
      <c r="E552" s="5"/>
      <c r="F552" s="5"/>
      <c r="G552" s="5"/>
      <c r="H552" s="5"/>
      <c r="I552" s="5"/>
      <c r="J552" s="5"/>
      <c r="K552" s="5"/>
      <c r="L552" s="5"/>
      <c r="M552" s="5"/>
      <c r="N552" s="5"/>
      <c r="O552" s="5"/>
      <c r="P552" s="5"/>
      <c r="Q552" s="5"/>
      <c r="R552" s="5"/>
      <c r="S552" s="5"/>
      <c r="T552" s="5"/>
      <c r="U552" s="5"/>
      <c r="V552" s="5"/>
      <c r="W552" s="5"/>
    </row>
    <row r="553" spans="1:23" x14ac:dyDescent="0.3">
      <c r="A553" s="5"/>
      <c r="B553" s="5"/>
      <c r="C553" s="5"/>
      <c r="D553" s="5"/>
      <c r="E553" s="5"/>
      <c r="F553" s="5"/>
      <c r="G553" s="5"/>
      <c r="H553" s="5"/>
      <c r="I553" s="5"/>
      <c r="J553" s="5"/>
      <c r="K553" s="5"/>
      <c r="L553" s="5"/>
      <c r="M553" s="5"/>
      <c r="N553" s="5"/>
      <c r="O553" s="5"/>
      <c r="P553" s="5"/>
      <c r="Q553" s="5"/>
      <c r="R553" s="5"/>
      <c r="S553" s="5"/>
      <c r="T553" s="5"/>
      <c r="U553" s="5"/>
      <c r="V553" s="5"/>
      <c r="W553" s="5"/>
    </row>
    <row r="554" spans="1:23" x14ac:dyDescent="0.3">
      <c r="A554" s="5"/>
      <c r="B554" s="5"/>
      <c r="C554" s="5"/>
      <c r="D554" s="5"/>
      <c r="E554" s="5"/>
      <c r="F554" s="5"/>
      <c r="G554" s="5"/>
      <c r="H554" s="5"/>
      <c r="I554" s="5"/>
      <c r="J554" s="5"/>
      <c r="K554" s="5"/>
      <c r="L554" s="5"/>
      <c r="M554" s="5"/>
      <c r="N554" s="5"/>
      <c r="O554" s="5"/>
      <c r="P554" s="5"/>
      <c r="Q554" s="5"/>
      <c r="R554" s="5"/>
      <c r="S554" s="5"/>
      <c r="T554" s="5"/>
      <c r="U554" s="5"/>
      <c r="V554" s="5"/>
      <c r="W554" s="5"/>
    </row>
    <row r="555" spans="1:23" x14ac:dyDescent="0.3">
      <c r="A555" s="5"/>
      <c r="B555" s="5"/>
      <c r="C555" s="5"/>
      <c r="D555" s="5"/>
      <c r="E555" s="5"/>
      <c r="F555" s="5"/>
      <c r="G555" s="5"/>
      <c r="H555" s="5"/>
      <c r="I555" s="5"/>
      <c r="J555" s="5"/>
      <c r="K555" s="5"/>
      <c r="L555" s="5"/>
      <c r="M555" s="5"/>
      <c r="N555" s="5"/>
      <c r="O555" s="5"/>
      <c r="P555" s="5"/>
      <c r="Q555" s="5"/>
      <c r="R555" s="5"/>
      <c r="S555" s="5"/>
      <c r="T555" s="5"/>
      <c r="U555" s="5"/>
      <c r="V555" s="5"/>
      <c r="W555" s="5"/>
    </row>
    <row r="556" spans="1:23" x14ac:dyDescent="0.3">
      <c r="A556" s="5"/>
      <c r="B556" s="5"/>
      <c r="C556" s="5"/>
      <c r="D556" s="5"/>
      <c r="E556" s="5"/>
      <c r="F556" s="5"/>
      <c r="G556" s="5"/>
      <c r="H556" s="5"/>
      <c r="I556" s="5"/>
      <c r="J556" s="5"/>
      <c r="K556" s="5"/>
      <c r="L556" s="5"/>
      <c r="M556" s="5"/>
      <c r="N556" s="5"/>
      <c r="O556" s="5"/>
      <c r="P556" s="5"/>
      <c r="Q556" s="5"/>
      <c r="R556" s="5"/>
      <c r="S556" s="5"/>
      <c r="T556" s="5"/>
      <c r="U556" s="5"/>
      <c r="V556" s="5"/>
      <c r="W556" s="5"/>
    </row>
    <row r="557" spans="1:23" x14ac:dyDescent="0.3">
      <c r="A557" s="5"/>
      <c r="B557" s="5"/>
      <c r="C557" s="5"/>
      <c r="D557" s="5"/>
      <c r="E557" s="5"/>
      <c r="F557" s="5"/>
      <c r="G557" s="5"/>
      <c r="H557" s="5"/>
      <c r="I557" s="5"/>
      <c r="J557" s="5"/>
      <c r="K557" s="5"/>
      <c r="L557" s="5"/>
      <c r="M557" s="5"/>
      <c r="N557" s="5"/>
      <c r="O557" s="5"/>
      <c r="P557" s="5"/>
      <c r="Q557" s="5"/>
      <c r="R557" s="5"/>
      <c r="S557" s="5"/>
      <c r="T557" s="5"/>
      <c r="U557" s="5"/>
      <c r="V557" s="5"/>
      <c r="W557" s="5"/>
    </row>
    <row r="558" spans="1:23" x14ac:dyDescent="0.3">
      <c r="A558" s="5"/>
      <c r="B558" s="5"/>
      <c r="C558" s="5"/>
      <c r="D558" s="5"/>
      <c r="E558" s="5"/>
      <c r="F558" s="5"/>
      <c r="G558" s="5"/>
      <c r="H558" s="5"/>
      <c r="I558" s="5"/>
      <c r="J558" s="5"/>
      <c r="K558" s="5"/>
      <c r="L558" s="5"/>
      <c r="M558" s="5"/>
      <c r="N558" s="5"/>
      <c r="O558" s="5"/>
      <c r="P558" s="5"/>
      <c r="Q558" s="5"/>
      <c r="R558" s="5"/>
      <c r="S558" s="5"/>
      <c r="T558" s="5"/>
      <c r="U558" s="5"/>
      <c r="V558" s="5"/>
      <c r="W558" s="5"/>
    </row>
    <row r="559" spans="1:23" x14ac:dyDescent="0.3">
      <c r="A559" s="5"/>
      <c r="B559" s="5"/>
      <c r="C559" s="5"/>
      <c r="D559" s="5"/>
      <c r="E559" s="5"/>
      <c r="F559" s="5"/>
      <c r="G559" s="5"/>
      <c r="H559" s="5"/>
      <c r="I559" s="5"/>
      <c r="J559" s="5"/>
      <c r="K559" s="5"/>
      <c r="L559" s="5"/>
      <c r="M559" s="5"/>
      <c r="N559" s="5"/>
      <c r="O559" s="5"/>
      <c r="P559" s="5"/>
      <c r="Q559" s="5"/>
      <c r="R559" s="5"/>
      <c r="S559" s="5"/>
      <c r="T559" s="5"/>
      <c r="U559" s="5"/>
      <c r="V559" s="5"/>
      <c r="W559" s="5"/>
    </row>
    <row r="560" spans="1:23" x14ac:dyDescent="0.3">
      <c r="A560" s="5"/>
      <c r="B560" s="5"/>
      <c r="C560" s="5"/>
      <c r="D560" s="5"/>
      <c r="E560" s="5"/>
      <c r="F560" s="5"/>
      <c r="G560" s="5"/>
      <c r="H560" s="5"/>
      <c r="I560" s="5"/>
      <c r="J560" s="5"/>
      <c r="K560" s="5"/>
      <c r="L560" s="5"/>
      <c r="M560" s="5"/>
      <c r="N560" s="5"/>
      <c r="O560" s="5"/>
      <c r="P560" s="5"/>
      <c r="Q560" s="5"/>
      <c r="R560" s="5"/>
      <c r="S560" s="5"/>
      <c r="T560" s="5"/>
      <c r="U560" s="5"/>
      <c r="V560" s="5"/>
      <c r="W560" s="5"/>
    </row>
    <row r="561" spans="1:23" x14ac:dyDescent="0.3">
      <c r="A561" s="5"/>
      <c r="B561" s="5"/>
      <c r="C561" s="5"/>
      <c r="D561" s="5"/>
      <c r="E561" s="5"/>
      <c r="F561" s="5"/>
      <c r="G561" s="5"/>
      <c r="H561" s="5"/>
      <c r="I561" s="5"/>
      <c r="J561" s="5"/>
      <c r="K561" s="5"/>
      <c r="L561" s="5"/>
      <c r="M561" s="5"/>
      <c r="N561" s="5"/>
      <c r="O561" s="5"/>
      <c r="P561" s="5"/>
      <c r="Q561" s="5"/>
      <c r="R561" s="5"/>
      <c r="S561" s="5"/>
      <c r="T561" s="5"/>
      <c r="U561" s="5"/>
      <c r="V561" s="5"/>
      <c r="W561" s="5"/>
    </row>
    <row r="562" spans="1:23" x14ac:dyDescent="0.3">
      <c r="A562" s="5"/>
      <c r="B562" s="5"/>
      <c r="C562" s="5"/>
      <c r="D562" s="5"/>
      <c r="E562" s="5"/>
      <c r="F562" s="5"/>
      <c r="G562" s="5"/>
      <c r="H562" s="5"/>
      <c r="I562" s="5"/>
      <c r="J562" s="5"/>
      <c r="K562" s="5"/>
      <c r="L562" s="5"/>
      <c r="M562" s="5"/>
      <c r="N562" s="5"/>
      <c r="O562" s="5"/>
      <c r="P562" s="5"/>
      <c r="Q562" s="5"/>
      <c r="R562" s="5"/>
      <c r="S562" s="5"/>
      <c r="T562" s="5"/>
      <c r="U562" s="5"/>
      <c r="V562" s="5"/>
      <c r="W562" s="5"/>
    </row>
    <row r="563" spans="1:23" x14ac:dyDescent="0.3">
      <c r="A563" s="5"/>
      <c r="B563" s="5"/>
      <c r="C563" s="5"/>
      <c r="D563" s="5"/>
      <c r="E563" s="5"/>
      <c r="F563" s="5"/>
      <c r="G563" s="5"/>
      <c r="H563" s="5"/>
      <c r="I563" s="5"/>
      <c r="J563" s="5"/>
      <c r="K563" s="5"/>
      <c r="L563" s="5"/>
      <c r="M563" s="5"/>
      <c r="N563" s="5"/>
      <c r="O563" s="5"/>
      <c r="P563" s="5"/>
      <c r="Q563" s="5"/>
      <c r="R563" s="5"/>
      <c r="S563" s="5"/>
      <c r="T563" s="5"/>
      <c r="U563" s="5"/>
      <c r="V563" s="5"/>
      <c r="W563" s="5"/>
    </row>
    <row r="564" spans="1:23" x14ac:dyDescent="0.3">
      <c r="A564" s="5"/>
      <c r="B564" s="5"/>
      <c r="C564" s="5"/>
      <c r="D564" s="5"/>
      <c r="E564" s="5"/>
      <c r="F564" s="5"/>
      <c r="G564" s="5"/>
      <c r="H564" s="5"/>
      <c r="I564" s="5"/>
      <c r="J564" s="5"/>
      <c r="K564" s="5"/>
      <c r="L564" s="5"/>
      <c r="M564" s="5"/>
      <c r="N564" s="5"/>
      <c r="O564" s="5"/>
      <c r="P564" s="5"/>
      <c r="Q564" s="5"/>
      <c r="R564" s="5"/>
      <c r="S564" s="5"/>
      <c r="T564" s="5"/>
      <c r="U564" s="5"/>
      <c r="V564" s="5"/>
      <c r="W564" s="5"/>
    </row>
    <row r="565" spans="1:23" x14ac:dyDescent="0.3">
      <c r="A565" s="5"/>
      <c r="B565" s="5"/>
      <c r="C565" s="5"/>
      <c r="D565" s="5"/>
      <c r="E565" s="5"/>
      <c r="F565" s="5"/>
      <c r="G565" s="5"/>
      <c r="H565" s="5"/>
      <c r="I565" s="5"/>
      <c r="J565" s="5"/>
      <c r="K565" s="5"/>
      <c r="L565" s="5"/>
      <c r="M565" s="5"/>
      <c r="N565" s="5"/>
      <c r="O565" s="5"/>
      <c r="P565" s="5"/>
      <c r="Q565" s="5"/>
      <c r="R565" s="5"/>
      <c r="S565" s="5"/>
      <c r="T565" s="5"/>
      <c r="U565" s="5"/>
      <c r="V565" s="5"/>
      <c r="W565" s="5"/>
    </row>
    <row r="566" spans="1:23" x14ac:dyDescent="0.3">
      <c r="A566" s="5"/>
      <c r="B566" s="5"/>
      <c r="C566" s="5"/>
      <c r="D566" s="5"/>
      <c r="E566" s="5"/>
      <c r="F566" s="5"/>
      <c r="G566" s="5"/>
      <c r="H566" s="5"/>
      <c r="I566" s="5"/>
      <c r="J566" s="5"/>
      <c r="K566" s="5"/>
      <c r="L566" s="5"/>
      <c r="M566" s="5"/>
      <c r="N566" s="5"/>
      <c r="O566" s="5"/>
      <c r="P566" s="5"/>
      <c r="Q566" s="5"/>
      <c r="R566" s="5"/>
      <c r="S566" s="5"/>
      <c r="T566" s="5"/>
      <c r="U566" s="5"/>
      <c r="V566" s="5"/>
      <c r="W566" s="5"/>
    </row>
    <row r="567" spans="1:23" x14ac:dyDescent="0.3">
      <c r="A567" s="5"/>
      <c r="B567" s="5"/>
      <c r="C567" s="5"/>
      <c r="D567" s="5"/>
      <c r="E567" s="5"/>
      <c r="F567" s="5"/>
      <c r="G567" s="5"/>
      <c r="H567" s="5"/>
      <c r="I567" s="5"/>
      <c r="J567" s="5"/>
      <c r="K567" s="5"/>
      <c r="L567" s="5"/>
      <c r="M567" s="5"/>
      <c r="N567" s="5"/>
      <c r="O567" s="5"/>
      <c r="P567" s="5"/>
      <c r="Q567" s="5"/>
      <c r="R567" s="5"/>
      <c r="S567" s="5"/>
      <c r="T567" s="5"/>
      <c r="U567" s="5"/>
      <c r="V567" s="5"/>
      <c r="W567" s="5"/>
    </row>
    <row r="568" spans="1:23" x14ac:dyDescent="0.3">
      <c r="A568" s="5"/>
      <c r="B568" s="5"/>
      <c r="C568" s="5"/>
      <c r="D568" s="5"/>
      <c r="E568" s="5"/>
      <c r="F568" s="5"/>
      <c r="G568" s="5"/>
      <c r="H568" s="5"/>
      <c r="I568" s="5"/>
      <c r="J568" s="5"/>
      <c r="K568" s="5"/>
      <c r="L568" s="5"/>
      <c r="M568" s="5"/>
      <c r="N568" s="5"/>
      <c r="O568" s="5"/>
      <c r="P568" s="5"/>
      <c r="Q568" s="5"/>
      <c r="R568" s="5"/>
      <c r="S568" s="5"/>
      <c r="T568" s="5"/>
      <c r="U568" s="5"/>
      <c r="V568" s="5"/>
      <c r="W568" s="5"/>
    </row>
    <row r="569" spans="1:23" x14ac:dyDescent="0.3">
      <c r="A569" s="5"/>
      <c r="B569" s="5"/>
      <c r="C569" s="5"/>
      <c r="D569" s="5"/>
      <c r="E569" s="5"/>
      <c r="F569" s="5"/>
      <c r="G569" s="5"/>
      <c r="H569" s="5"/>
      <c r="I569" s="5"/>
      <c r="J569" s="5"/>
      <c r="K569" s="5"/>
      <c r="L569" s="5"/>
      <c r="M569" s="5"/>
      <c r="N569" s="5"/>
      <c r="O569" s="5"/>
      <c r="P569" s="5"/>
      <c r="Q569" s="5"/>
      <c r="R569" s="5"/>
      <c r="S569" s="5"/>
      <c r="T569" s="5"/>
      <c r="U569" s="5"/>
      <c r="V569" s="5"/>
      <c r="W569" s="5"/>
    </row>
    <row r="570" spans="1:23" x14ac:dyDescent="0.3">
      <c r="A570" s="5"/>
      <c r="B570" s="5"/>
      <c r="C570" s="5"/>
      <c r="D570" s="5"/>
      <c r="E570" s="5"/>
      <c r="F570" s="5"/>
      <c r="G570" s="5"/>
      <c r="H570" s="5"/>
      <c r="I570" s="5"/>
      <c r="J570" s="5"/>
      <c r="K570" s="5"/>
      <c r="L570" s="5"/>
      <c r="M570" s="5"/>
      <c r="N570" s="5"/>
      <c r="O570" s="5"/>
      <c r="P570" s="5"/>
      <c r="Q570" s="5"/>
      <c r="R570" s="5"/>
      <c r="S570" s="5"/>
      <c r="T570" s="5"/>
      <c r="U570" s="5"/>
      <c r="V570" s="5"/>
      <c r="W570" s="5"/>
    </row>
    <row r="571" spans="1:23" x14ac:dyDescent="0.3">
      <c r="A571" s="5"/>
      <c r="B571" s="5"/>
      <c r="C571" s="5"/>
      <c r="D571" s="5"/>
      <c r="E571" s="5"/>
      <c r="F571" s="5"/>
      <c r="G571" s="5"/>
      <c r="H571" s="5"/>
      <c r="I571" s="5"/>
      <c r="J571" s="5"/>
      <c r="K571" s="5"/>
      <c r="L571" s="5"/>
      <c r="M571" s="5"/>
      <c r="N571" s="5"/>
      <c r="O571" s="5"/>
      <c r="P571" s="5"/>
      <c r="Q571" s="5"/>
      <c r="R571" s="5"/>
      <c r="S571" s="5"/>
      <c r="T571" s="5"/>
      <c r="U571" s="5"/>
      <c r="V571" s="5"/>
      <c r="W571" s="5"/>
    </row>
    <row r="572" spans="1:23" x14ac:dyDescent="0.3">
      <c r="A572" s="5"/>
      <c r="B572" s="5"/>
      <c r="C572" s="5"/>
      <c r="D572" s="5"/>
      <c r="E572" s="5"/>
      <c r="F572" s="5"/>
      <c r="G572" s="5"/>
      <c r="H572" s="5"/>
      <c r="I572" s="5"/>
      <c r="J572" s="5"/>
      <c r="K572" s="5"/>
      <c r="L572" s="5"/>
      <c r="M572" s="5"/>
      <c r="N572" s="5"/>
      <c r="O572" s="5"/>
      <c r="P572" s="5"/>
      <c r="Q572" s="5"/>
      <c r="R572" s="5"/>
      <c r="S572" s="5"/>
      <c r="T572" s="5"/>
      <c r="U572" s="5"/>
      <c r="V572" s="5"/>
      <c r="W572" s="5"/>
    </row>
    <row r="573" spans="1:23" x14ac:dyDescent="0.3">
      <c r="A573" s="5"/>
      <c r="B573" s="5"/>
      <c r="C573" s="5"/>
      <c r="D573" s="5"/>
      <c r="E573" s="5"/>
      <c r="F573" s="5"/>
      <c r="G573" s="5"/>
      <c r="H573" s="5"/>
      <c r="I573" s="5"/>
      <c r="J573" s="5"/>
      <c r="K573" s="5"/>
      <c r="L573" s="5"/>
      <c r="M573" s="5"/>
      <c r="N573" s="5"/>
      <c r="O573" s="5"/>
      <c r="P573" s="5"/>
      <c r="Q573" s="5"/>
      <c r="R573" s="5"/>
      <c r="S573" s="5"/>
      <c r="T573" s="5"/>
      <c r="U573" s="5"/>
      <c r="V573" s="5"/>
      <c r="W573" s="5"/>
    </row>
    <row r="574" spans="1:23" x14ac:dyDescent="0.3">
      <c r="A574" s="5"/>
      <c r="B574" s="5"/>
      <c r="C574" s="5"/>
      <c r="D574" s="5"/>
      <c r="E574" s="5"/>
      <c r="F574" s="5"/>
      <c r="G574" s="5"/>
      <c r="H574" s="5"/>
      <c r="I574" s="5"/>
      <c r="J574" s="5"/>
      <c r="K574" s="5"/>
      <c r="L574" s="5"/>
      <c r="M574" s="5"/>
      <c r="N574" s="5"/>
      <c r="O574" s="5"/>
      <c r="P574" s="5"/>
      <c r="Q574" s="5"/>
      <c r="R574" s="5"/>
      <c r="S574" s="5"/>
      <c r="T574" s="5"/>
      <c r="U574" s="5"/>
      <c r="V574" s="5"/>
      <c r="W574" s="5"/>
    </row>
    <row r="575" spans="1:23" x14ac:dyDescent="0.3">
      <c r="A575" s="5"/>
      <c r="B575" s="5"/>
      <c r="C575" s="5"/>
      <c r="D575" s="5"/>
      <c r="E575" s="5"/>
      <c r="F575" s="5"/>
      <c r="G575" s="5"/>
      <c r="H575" s="5"/>
      <c r="I575" s="5"/>
      <c r="J575" s="5"/>
      <c r="K575" s="5"/>
      <c r="L575" s="5"/>
      <c r="M575" s="5"/>
      <c r="N575" s="5"/>
      <c r="O575" s="5"/>
      <c r="P575" s="5"/>
      <c r="Q575" s="5"/>
      <c r="R575" s="5"/>
      <c r="S575" s="5"/>
      <c r="T575" s="5"/>
      <c r="U575" s="5"/>
      <c r="V575" s="5"/>
      <c r="W575" s="5"/>
    </row>
    <row r="576" spans="1:23" x14ac:dyDescent="0.3">
      <c r="A576" s="5"/>
      <c r="B576" s="5"/>
      <c r="C576" s="5"/>
      <c r="D576" s="5"/>
      <c r="E576" s="5"/>
      <c r="F576" s="5"/>
      <c r="G576" s="5"/>
      <c r="H576" s="5"/>
      <c r="I576" s="5"/>
      <c r="J576" s="5"/>
      <c r="K576" s="5"/>
      <c r="L576" s="5"/>
      <c r="M576" s="5"/>
      <c r="N576" s="5"/>
      <c r="O576" s="5"/>
      <c r="P576" s="5"/>
      <c r="Q576" s="5"/>
      <c r="R576" s="5"/>
      <c r="S576" s="5"/>
      <c r="T576" s="5"/>
      <c r="U576" s="5"/>
      <c r="V576" s="5"/>
      <c r="W576" s="5"/>
    </row>
    <row r="577" spans="1:23" x14ac:dyDescent="0.3">
      <c r="A577" s="5"/>
      <c r="B577" s="5"/>
      <c r="C577" s="5"/>
      <c r="D577" s="5"/>
      <c r="E577" s="5"/>
      <c r="F577" s="5"/>
      <c r="G577" s="5"/>
      <c r="H577" s="5"/>
      <c r="I577" s="5"/>
      <c r="J577" s="5"/>
      <c r="K577" s="5"/>
      <c r="L577" s="5"/>
      <c r="M577" s="5"/>
      <c r="N577" s="5"/>
      <c r="O577" s="5"/>
      <c r="P577" s="5"/>
      <c r="Q577" s="5"/>
      <c r="R577" s="5"/>
      <c r="S577" s="5"/>
      <c r="T577" s="5"/>
      <c r="U577" s="5"/>
      <c r="V577" s="5"/>
      <c r="W577" s="5"/>
    </row>
    <row r="578" spans="1:23" x14ac:dyDescent="0.3">
      <c r="A578" s="5"/>
      <c r="B578" s="5"/>
      <c r="C578" s="5"/>
      <c r="D578" s="5"/>
      <c r="E578" s="5"/>
      <c r="F578" s="5"/>
      <c r="G578" s="5"/>
      <c r="H578" s="5"/>
      <c r="I578" s="5"/>
      <c r="J578" s="5"/>
      <c r="K578" s="5"/>
      <c r="L578" s="5"/>
      <c r="M578" s="5"/>
      <c r="N578" s="5"/>
      <c r="O578" s="5"/>
      <c r="P578" s="5"/>
      <c r="Q578" s="5"/>
      <c r="R578" s="5"/>
      <c r="S578" s="5"/>
      <c r="T578" s="5"/>
      <c r="U578" s="5"/>
      <c r="V578" s="5"/>
      <c r="W578" s="5"/>
    </row>
    <row r="579" spans="1:23" x14ac:dyDescent="0.3">
      <c r="A579" s="5"/>
      <c r="B579" s="5"/>
      <c r="C579" s="5"/>
      <c r="D579" s="5"/>
      <c r="E579" s="5"/>
      <c r="F579" s="5"/>
      <c r="G579" s="5"/>
      <c r="H579" s="5"/>
      <c r="I579" s="5"/>
      <c r="J579" s="5"/>
      <c r="K579" s="5"/>
      <c r="L579" s="5"/>
      <c r="M579" s="5"/>
      <c r="N579" s="5"/>
      <c r="O579" s="5"/>
      <c r="P579" s="5"/>
      <c r="Q579" s="5"/>
      <c r="R579" s="5"/>
      <c r="S579" s="5"/>
      <c r="T579" s="5"/>
      <c r="U579" s="5"/>
      <c r="V579" s="5"/>
      <c r="W579" s="5"/>
    </row>
    <row r="580" spans="1:23" x14ac:dyDescent="0.3">
      <c r="A580" s="5"/>
      <c r="B580" s="5"/>
      <c r="C580" s="5"/>
      <c r="D580" s="5"/>
      <c r="E580" s="5"/>
      <c r="F580" s="5"/>
      <c r="G580" s="5"/>
      <c r="H580" s="5"/>
      <c r="I580" s="5"/>
      <c r="J580" s="5"/>
      <c r="K580" s="5"/>
      <c r="L580" s="5"/>
      <c r="M580" s="5"/>
      <c r="N580" s="5"/>
      <c r="O580" s="5"/>
      <c r="P580" s="5"/>
      <c r="Q580" s="5"/>
      <c r="R580" s="5"/>
      <c r="S580" s="5"/>
      <c r="T580" s="5"/>
      <c r="U580" s="5"/>
      <c r="V580" s="5"/>
      <c r="W580" s="5"/>
    </row>
    <row r="581" spans="1:23" x14ac:dyDescent="0.3">
      <c r="A581" s="5"/>
      <c r="B581" s="5"/>
      <c r="C581" s="5"/>
      <c r="D581" s="5"/>
      <c r="E581" s="5"/>
      <c r="F581" s="5"/>
      <c r="G581" s="5"/>
      <c r="H581" s="5"/>
      <c r="I581" s="5"/>
      <c r="J581" s="5"/>
      <c r="K581" s="5"/>
      <c r="L581" s="5"/>
      <c r="M581" s="5"/>
      <c r="N581" s="5"/>
      <c r="O581" s="5"/>
      <c r="P581" s="5"/>
      <c r="Q581" s="5"/>
      <c r="R581" s="5"/>
      <c r="S581" s="5"/>
      <c r="T581" s="5"/>
      <c r="U581" s="5"/>
      <c r="V581" s="5"/>
      <c r="W581" s="5"/>
    </row>
    <row r="582" spans="1:23" x14ac:dyDescent="0.3">
      <c r="A582" s="5"/>
      <c r="B582" s="5"/>
      <c r="C582" s="5"/>
      <c r="D582" s="5"/>
      <c r="E582" s="5"/>
      <c r="F582" s="5"/>
      <c r="G582" s="5"/>
      <c r="H582" s="5"/>
      <c r="I582" s="5"/>
      <c r="J582" s="5"/>
      <c r="K582" s="5"/>
      <c r="L582" s="5"/>
      <c r="M582" s="5"/>
      <c r="N582" s="5"/>
      <c r="O582" s="5"/>
      <c r="P582" s="5"/>
      <c r="Q582" s="5"/>
      <c r="R582" s="5"/>
      <c r="S582" s="5"/>
      <c r="T582" s="5"/>
      <c r="U582" s="5"/>
      <c r="V582" s="5"/>
      <c r="W582" s="5"/>
    </row>
    <row r="583" spans="1:23" x14ac:dyDescent="0.3">
      <c r="A583" s="5"/>
      <c r="B583" s="5"/>
      <c r="C583" s="5"/>
      <c r="D583" s="5"/>
      <c r="E583" s="5"/>
      <c r="F583" s="5"/>
      <c r="G583" s="5"/>
      <c r="H583" s="5"/>
      <c r="I583" s="5"/>
      <c r="J583" s="5"/>
      <c r="K583" s="5"/>
      <c r="L583" s="5"/>
      <c r="M583" s="5"/>
      <c r="N583" s="5"/>
      <c r="O583" s="5"/>
      <c r="P583" s="5"/>
      <c r="Q583" s="5"/>
      <c r="R583" s="5"/>
      <c r="S583" s="5"/>
      <c r="T583" s="5"/>
      <c r="U583" s="5"/>
      <c r="V583" s="5"/>
      <c r="W583" s="5"/>
    </row>
    <row r="584" spans="1:23" x14ac:dyDescent="0.3">
      <c r="A584" s="5"/>
      <c r="B584" s="5"/>
      <c r="C584" s="5"/>
      <c r="D584" s="5"/>
      <c r="E584" s="5"/>
      <c r="F584" s="5"/>
      <c r="G584" s="5"/>
      <c r="H584" s="5"/>
      <c r="I584" s="5"/>
      <c r="J584" s="5"/>
      <c r="K584" s="5"/>
      <c r="L584" s="5"/>
      <c r="M584" s="5"/>
      <c r="N584" s="5"/>
      <c r="O584" s="5"/>
      <c r="P584" s="5"/>
      <c r="Q584" s="5"/>
      <c r="R584" s="5"/>
      <c r="S584" s="5"/>
      <c r="T584" s="5"/>
      <c r="U584" s="5"/>
      <c r="V584" s="5"/>
      <c r="W584" s="5"/>
    </row>
    <row r="585" spans="1:23" x14ac:dyDescent="0.3">
      <c r="A585" s="5"/>
      <c r="B585" s="5"/>
      <c r="C585" s="5"/>
      <c r="D585" s="5"/>
      <c r="E585" s="5"/>
      <c r="F585" s="5"/>
      <c r="G585" s="5"/>
      <c r="H585" s="5"/>
      <c r="I585" s="5"/>
      <c r="J585" s="5"/>
      <c r="K585" s="5"/>
      <c r="L585" s="5"/>
      <c r="M585" s="5"/>
      <c r="N585" s="5"/>
      <c r="O585" s="5"/>
      <c r="P585" s="5"/>
      <c r="Q585" s="5"/>
      <c r="R585" s="5"/>
      <c r="S585" s="5"/>
      <c r="T585" s="5"/>
      <c r="U585" s="5"/>
      <c r="V585" s="5"/>
      <c r="W585" s="5"/>
    </row>
    <row r="586" spans="1:23" x14ac:dyDescent="0.3">
      <c r="A586" s="5"/>
      <c r="B586" s="5"/>
      <c r="C586" s="5"/>
      <c r="D586" s="5"/>
      <c r="E586" s="5"/>
      <c r="F586" s="5"/>
      <c r="G586" s="5"/>
      <c r="H586" s="5"/>
      <c r="I586" s="5"/>
      <c r="J586" s="5"/>
      <c r="K586" s="5"/>
      <c r="L586" s="5"/>
      <c r="M586" s="5"/>
      <c r="N586" s="5"/>
      <c r="O586" s="5"/>
      <c r="P586" s="5"/>
      <c r="Q586" s="5"/>
      <c r="R586" s="5"/>
      <c r="S586" s="5"/>
      <c r="T586" s="5"/>
      <c r="U586" s="5"/>
      <c r="V586" s="5"/>
      <c r="W586" s="5"/>
    </row>
    <row r="587" spans="1:23" x14ac:dyDescent="0.3">
      <c r="A587" s="5"/>
      <c r="B587" s="5"/>
      <c r="C587" s="5"/>
      <c r="D587" s="5"/>
      <c r="E587" s="5"/>
      <c r="F587" s="5"/>
      <c r="G587" s="5"/>
      <c r="H587" s="5"/>
      <c r="I587" s="5"/>
      <c r="J587" s="5"/>
      <c r="K587" s="5"/>
      <c r="L587" s="5"/>
      <c r="M587" s="5"/>
      <c r="N587" s="5"/>
      <c r="O587" s="5"/>
      <c r="P587" s="5"/>
      <c r="Q587" s="5"/>
      <c r="R587" s="5"/>
      <c r="S587" s="5"/>
      <c r="T587" s="5"/>
      <c r="U587" s="5"/>
      <c r="V587" s="5"/>
      <c r="W587" s="5"/>
    </row>
    <row r="588" spans="1:23" x14ac:dyDescent="0.3">
      <c r="A588" s="5"/>
      <c r="B588" s="5"/>
      <c r="C588" s="5"/>
      <c r="D588" s="5"/>
      <c r="E588" s="5"/>
      <c r="F588" s="5"/>
      <c r="G588" s="5"/>
      <c r="H588" s="5"/>
      <c r="I588" s="5"/>
      <c r="J588" s="5"/>
      <c r="K588" s="5"/>
      <c r="L588" s="5"/>
      <c r="M588" s="5"/>
      <c r="N588" s="5"/>
      <c r="O588" s="5"/>
      <c r="P588" s="5"/>
      <c r="Q588" s="5"/>
      <c r="R588" s="5"/>
      <c r="S588" s="5"/>
      <c r="T588" s="5"/>
      <c r="U588" s="5"/>
      <c r="V588" s="5"/>
      <c r="W588" s="5"/>
    </row>
    <row r="589" spans="1:23" x14ac:dyDescent="0.3">
      <c r="A589" s="5"/>
      <c r="B589" s="5"/>
      <c r="C589" s="5"/>
      <c r="D589" s="5"/>
      <c r="E589" s="5"/>
      <c r="F589" s="5"/>
      <c r="G589" s="5"/>
      <c r="H589" s="5"/>
      <c r="I589" s="5"/>
      <c r="J589" s="5"/>
      <c r="K589" s="5"/>
      <c r="L589" s="5"/>
      <c r="M589" s="5"/>
      <c r="N589" s="5"/>
      <c r="O589" s="5"/>
      <c r="P589" s="5"/>
      <c r="Q589" s="5"/>
      <c r="R589" s="5"/>
      <c r="S589" s="5"/>
      <c r="T589" s="5"/>
      <c r="U589" s="5"/>
      <c r="V589" s="5"/>
      <c r="W589" s="5"/>
    </row>
    <row r="590" spans="1:23" x14ac:dyDescent="0.3">
      <c r="A590" s="5"/>
      <c r="B590" s="5"/>
      <c r="C590" s="5"/>
      <c r="D590" s="5"/>
      <c r="E590" s="5"/>
      <c r="F590" s="5"/>
      <c r="G590" s="5"/>
      <c r="H590" s="5"/>
      <c r="I590" s="5"/>
      <c r="J590" s="5"/>
      <c r="K590" s="5"/>
      <c r="L590" s="5"/>
      <c r="M590" s="5"/>
      <c r="N590" s="5"/>
      <c r="O590" s="5"/>
      <c r="P590" s="5"/>
      <c r="Q590" s="5"/>
      <c r="R590" s="5"/>
      <c r="S590" s="5"/>
      <c r="T590" s="5"/>
      <c r="U590" s="5"/>
      <c r="V590" s="5"/>
      <c r="W590" s="5"/>
    </row>
    <row r="591" spans="1:23" x14ac:dyDescent="0.3">
      <c r="A591" s="5"/>
      <c r="B591" s="5"/>
      <c r="C591" s="5"/>
      <c r="D591" s="5"/>
      <c r="E591" s="5"/>
      <c r="F591" s="5"/>
      <c r="G591" s="5"/>
      <c r="H591" s="5"/>
      <c r="I591" s="5"/>
      <c r="J591" s="5"/>
      <c r="K591" s="5"/>
      <c r="L591" s="5"/>
      <c r="M591" s="5"/>
      <c r="N591" s="5"/>
      <c r="O591" s="5"/>
      <c r="P591" s="5"/>
      <c r="Q591" s="5"/>
      <c r="R591" s="5"/>
      <c r="S591" s="5"/>
      <c r="T591" s="5"/>
      <c r="U591" s="5"/>
      <c r="V591" s="5"/>
      <c r="W591" s="5"/>
    </row>
    <row r="592" spans="1:23" x14ac:dyDescent="0.3">
      <c r="A592" s="5"/>
      <c r="B592" s="5"/>
      <c r="C592" s="5"/>
      <c r="D592" s="5"/>
      <c r="E592" s="5"/>
      <c r="F592" s="5"/>
      <c r="G592" s="5"/>
      <c r="H592" s="5"/>
      <c r="I592" s="5"/>
      <c r="J592" s="5"/>
      <c r="K592" s="5"/>
      <c r="L592" s="5"/>
      <c r="M592" s="5"/>
      <c r="N592" s="5"/>
      <c r="O592" s="5"/>
      <c r="P592" s="5"/>
      <c r="Q592" s="5"/>
      <c r="R592" s="5"/>
      <c r="S592" s="5"/>
      <c r="T592" s="5"/>
      <c r="U592" s="5"/>
      <c r="V592" s="5"/>
      <c r="W592" s="5"/>
    </row>
    <row r="593" spans="1:23" x14ac:dyDescent="0.3">
      <c r="A593" s="5"/>
      <c r="B593" s="5"/>
      <c r="C593" s="5"/>
      <c r="D593" s="5"/>
      <c r="E593" s="5"/>
      <c r="F593" s="5"/>
      <c r="G593" s="5"/>
      <c r="H593" s="5"/>
      <c r="I593" s="5"/>
      <c r="J593" s="5"/>
      <c r="K593" s="5"/>
      <c r="L593" s="5"/>
      <c r="M593" s="5"/>
      <c r="N593" s="5"/>
      <c r="O593" s="5"/>
      <c r="P593" s="5"/>
      <c r="Q593" s="5"/>
      <c r="R593" s="5"/>
      <c r="S593" s="5"/>
      <c r="T593" s="5"/>
      <c r="U593" s="5"/>
      <c r="V593" s="5"/>
      <c r="W593" s="5"/>
    </row>
    <row r="594" spans="1:23" x14ac:dyDescent="0.3">
      <c r="A594" s="5"/>
      <c r="B594" s="5"/>
      <c r="C594" s="5"/>
      <c r="D594" s="5"/>
      <c r="E594" s="5"/>
      <c r="F594" s="5"/>
      <c r="G594" s="5"/>
      <c r="H594" s="5"/>
      <c r="I594" s="5"/>
      <c r="J594" s="5"/>
      <c r="K594" s="5"/>
      <c r="L594" s="5"/>
      <c r="M594" s="5"/>
      <c r="N594" s="5"/>
      <c r="O594" s="5"/>
      <c r="P594" s="5"/>
      <c r="Q594" s="5"/>
      <c r="R594" s="5"/>
      <c r="S594" s="5"/>
      <c r="T594" s="5"/>
      <c r="U594" s="5"/>
      <c r="V594" s="5"/>
      <c r="W594" s="5"/>
    </row>
    <row r="595" spans="1:23" x14ac:dyDescent="0.3">
      <c r="A595" s="5"/>
      <c r="B595" s="5"/>
      <c r="C595" s="5"/>
      <c r="D595" s="5"/>
      <c r="E595" s="5"/>
      <c r="F595" s="5"/>
      <c r="G595" s="5"/>
      <c r="H595" s="5"/>
      <c r="I595" s="5"/>
      <c r="J595" s="5"/>
      <c r="K595" s="5"/>
      <c r="L595" s="5"/>
      <c r="M595" s="5"/>
      <c r="N595" s="5"/>
      <c r="O595" s="5"/>
      <c r="P595" s="5"/>
      <c r="Q595" s="5"/>
      <c r="R595" s="5"/>
      <c r="S595" s="5"/>
      <c r="T595" s="5"/>
      <c r="U595" s="5"/>
      <c r="V595" s="5"/>
      <c r="W595" s="5"/>
    </row>
    <row r="596" spans="1:23" x14ac:dyDescent="0.3">
      <c r="A596" s="5"/>
      <c r="B596" s="5"/>
      <c r="C596" s="5"/>
      <c r="D596" s="5"/>
      <c r="E596" s="5"/>
      <c r="F596" s="5"/>
      <c r="G596" s="5"/>
      <c r="H596" s="5"/>
      <c r="I596" s="5"/>
      <c r="J596" s="5"/>
      <c r="K596" s="5"/>
      <c r="L596" s="5"/>
      <c r="M596" s="5"/>
      <c r="N596" s="5"/>
      <c r="O596" s="5"/>
      <c r="P596" s="5"/>
      <c r="Q596" s="5"/>
      <c r="R596" s="5"/>
      <c r="S596" s="5"/>
      <c r="T596" s="5"/>
      <c r="U596" s="5"/>
      <c r="V596" s="5"/>
      <c r="W596" s="5"/>
    </row>
    <row r="597" spans="1:23" x14ac:dyDescent="0.3">
      <c r="A597" s="5"/>
      <c r="B597" s="5"/>
      <c r="C597" s="5"/>
      <c r="D597" s="5"/>
      <c r="E597" s="5"/>
      <c r="F597" s="5"/>
      <c r="G597" s="5"/>
      <c r="H597" s="5"/>
      <c r="I597" s="5"/>
      <c r="J597" s="5"/>
      <c r="K597" s="5"/>
      <c r="L597" s="5"/>
      <c r="M597" s="5"/>
      <c r="N597" s="5"/>
      <c r="O597" s="5"/>
      <c r="P597" s="5"/>
      <c r="Q597" s="5"/>
      <c r="R597" s="5"/>
      <c r="S597" s="5"/>
      <c r="T597" s="5"/>
      <c r="U597" s="5"/>
      <c r="V597" s="5"/>
      <c r="W597" s="5"/>
    </row>
    <row r="598" spans="1:23" x14ac:dyDescent="0.3">
      <c r="A598" s="5"/>
      <c r="B598" s="5"/>
      <c r="C598" s="5"/>
      <c r="D598" s="5"/>
      <c r="E598" s="5"/>
      <c r="F598" s="5"/>
      <c r="G598" s="5"/>
      <c r="H598" s="5"/>
      <c r="I598" s="5"/>
      <c r="J598" s="5"/>
      <c r="K598" s="5"/>
      <c r="L598" s="5"/>
      <c r="M598" s="5"/>
      <c r="N598" s="5"/>
      <c r="O598" s="5"/>
      <c r="P598" s="5"/>
      <c r="Q598" s="5"/>
      <c r="R598" s="5"/>
      <c r="S598" s="5"/>
      <c r="T598" s="5"/>
      <c r="U598" s="5"/>
      <c r="V598" s="5"/>
      <c r="W598" s="5"/>
    </row>
    <row r="599" spans="1:23" x14ac:dyDescent="0.3">
      <c r="A599" s="5"/>
      <c r="B599" s="5"/>
      <c r="C599" s="5"/>
      <c r="D599" s="5"/>
      <c r="E599" s="5"/>
      <c r="F599" s="5"/>
      <c r="G599" s="5"/>
      <c r="H599" s="5"/>
      <c r="I599" s="5"/>
      <c r="J599" s="5"/>
      <c r="K599" s="5"/>
      <c r="L599" s="5"/>
      <c r="M599" s="5"/>
      <c r="N599" s="5"/>
      <c r="O599" s="5"/>
      <c r="P599" s="5"/>
      <c r="Q599" s="5"/>
      <c r="R599" s="5"/>
      <c r="S599" s="5"/>
      <c r="T599" s="5"/>
      <c r="U599" s="5"/>
      <c r="V599" s="5"/>
      <c r="W599" s="5"/>
    </row>
    <row r="600" spans="1:23" x14ac:dyDescent="0.3">
      <c r="A600" s="5"/>
      <c r="B600" s="5"/>
      <c r="C600" s="5"/>
      <c r="D600" s="5"/>
      <c r="E600" s="5"/>
      <c r="F600" s="5"/>
      <c r="G600" s="5"/>
      <c r="H600" s="5"/>
      <c r="I600" s="5"/>
      <c r="J600" s="5"/>
      <c r="K600" s="5"/>
      <c r="L600" s="5"/>
      <c r="M600" s="5"/>
      <c r="N600" s="5"/>
      <c r="O600" s="5"/>
      <c r="P600" s="5"/>
      <c r="Q600" s="5"/>
      <c r="R600" s="5"/>
      <c r="S600" s="5"/>
      <c r="T600" s="5"/>
      <c r="U600" s="5"/>
      <c r="V600" s="5"/>
      <c r="W600" s="5"/>
    </row>
    <row r="601" spans="1:23" x14ac:dyDescent="0.3">
      <c r="A601" s="5"/>
      <c r="B601" s="5"/>
      <c r="C601" s="5"/>
      <c r="D601" s="5"/>
      <c r="E601" s="5"/>
      <c r="F601" s="5"/>
      <c r="G601" s="5"/>
      <c r="H601" s="5"/>
      <c r="I601" s="5"/>
      <c r="J601" s="5"/>
      <c r="K601" s="5"/>
      <c r="L601" s="5"/>
      <c r="M601" s="5"/>
      <c r="N601" s="5"/>
      <c r="O601" s="5"/>
      <c r="P601" s="5"/>
      <c r="Q601" s="5"/>
      <c r="R601" s="5"/>
      <c r="S601" s="5"/>
      <c r="T601" s="5"/>
      <c r="U601" s="5"/>
      <c r="V601" s="5"/>
      <c r="W601" s="5"/>
    </row>
    <row r="602" spans="1:23" x14ac:dyDescent="0.3">
      <c r="A602" s="5"/>
      <c r="B602" s="5"/>
      <c r="C602" s="5"/>
      <c r="D602" s="5"/>
      <c r="E602" s="5"/>
      <c r="F602" s="5"/>
      <c r="G602" s="5"/>
      <c r="H602" s="5"/>
      <c r="I602" s="5"/>
      <c r="J602" s="5"/>
      <c r="K602" s="5"/>
      <c r="L602" s="5"/>
      <c r="M602" s="5"/>
      <c r="N602" s="5"/>
      <c r="O602" s="5"/>
      <c r="P602" s="5"/>
      <c r="Q602" s="5"/>
      <c r="R602" s="5"/>
      <c r="S602" s="5"/>
      <c r="T602" s="5"/>
      <c r="U602" s="5"/>
      <c r="V602" s="5"/>
      <c r="W602" s="5"/>
    </row>
    <row r="603" spans="1:23" x14ac:dyDescent="0.3">
      <c r="A603" s="5"/>
      <c r="B603" s="5"/>
      <c r="C603" s="5"/>
      <c r="D603" s="5"/>
      <c r="E603" s="5"/>
      <c r="F603" s="5"/>
      <c r="G603" s="5"/>
      <c r="H603" s="5"/>
      <c r="I603" s="5"/>
      <c r="J603" s="5"/>
      <c r="K603" s="5"/>
      <c r="L603" s="5"/>
      <c r="M603" s="5"/>
      <c r="N603" s="5"/>
      <c r="O603" s="5"/>
      <c r="P603" s="5"/>
      <c r="Q603" s="5"/>
      <c r="R603" s="5"/>
      <c r="S603" s="5"/>
      <c r="T603" s="5"/>
      <c r="U603" s="5"/>
      <c r="V603" s="5"/>
      <c r="W603" s="5"/>
    </row>
    <row r="604" spans="1:23" x14ac:dyDescent="0.3">
      <c r="A604" s="5"/>
      <c r="B604" s="5"/>
      <c r="C604" s="5"/>
      <c r="D604" s="5"/>
      <c r="E604" s="5"/>
      <c r="F604" s="5"/>
      <c r="G604" s="5"/>
      <c r="H604" s="5"/>
      <c r="I604" s="5"/>
      <c r="J604" s="5"/>
      <c r="K604" s="5"/>
      <c r="L604" s="5"/>
      <c r="M604" s="5"/>
      <c r="N604" s="5"/>
      <c r="O604" s="5"/>
      <c r="P604" s="5"/>
      <c r="Q604" s="5"/>
      <c r="R604" s="5"/>
      <c r="S604" s="5"/>
      <c r="T604" s="5"/>
      <c r="U604" s="5"/>
      <c r="V604" s="5"/>
      <c r="W604" s="5"/>
    </row>
    <row r="605" spans="1:23" x14ac:dyDescent="0.3">
      <c r="A605" s="5"/>
      <c r="B605" s="5"/>
      <c r="C605" s="5"/>
      <c r="D605" s="5"/>
      <c r="E605" s="5"/>
      <c r="F605" s="5"/>
      <c r="G605" s="5"/>
      <c r="H605" s="5"/>
      <c r="I605" s="5"/>
      <c r="J605" s="5"/>
      <c r="K605" s="5"/>
      <c r="L605" s="5"/>
      <c r="M605" s="5"/>
      <c r="N605" s="5"/>
      <c r="O605" s="5"/>
      <c r="P605" s="5"/>
      <c r="Q605" s="5"/>
      <c r="R605" s="5"/>
      <c r="S605" s="5"/>
      <c r="T605" s="5"/>
      <c r="U605" s="5"/>
      <c r="V605" s="5"/>
      <c r="W605" s="5"/>
    </row>
    <row r="606" spans="1:23" x14ac:dyDescent="0.3">
      <c r="A606" s="5"/>
      <c r="B606" s="5"/>
      <c r="C606" s="5"/>
      <c r="D606" s="5"/>
      <c r="E606" s="5"/>
      <c r="F606" s="5"/>
      <c r="G606" s="5"/>
      <c r="H606" s="5"/>
      <c r="I606" s="5"/>
      <c r="J606" s="5"/>
      <c r="K606" s="5"/>
      <c r="L606" s="5"/>
      <c r="M606" s="5"/>
      <c r="N606" s="5"/>
      <c r="O606" s="5"/>
      <c r="P606" s="5"/>
      <c r="Q606" s="5"/>
      <c r="R606" s="5"/>
      <c r="S606" s="5"/>
      <c r="T606" s="5"/>
      <c r="U606" s="5"/>
      <c r="V606" s="5"/>
      <c r="W606" s="5"/>
    </row>
    <row r="607" spans="1:23" x14ac:dyDescent="0.3">
      <c r="A607" s="5"/>
      <c r="B607" s="5"/>
      <c r="C607" s="5"/>
      <c r="D607" s="5"/>
      <c r="E607" s="5"/>
      <c r="F607" s="5"/>
      <c r="G607" s="5"/>
      <c r="H607" s="5"/>
      <c r="I607" s="5"/>
      <c r="J607" s="5"/>
      <c r="K607" s="5"/>
      <c r="L607" s="5"/>
      <c r="M607" s="5"/>
      <c r="N607" s="5"/>
      <c r="O607" s="5"/>
      <c r="P607" s="5"/>
      <c r="Q607" s="5"/>
      <c r="R607" s="5"/>
      <c r="S607" s="5"/>
      <c r="T607" s="5"/>
      <c r="U607" s="5"/>
      <c r="V607" s="5"/>
      <c r="W607" s="5"/>
    </row>
    <row r="608" spans="1:23" x14ac:dyDescent="0.3">
      <c r="A608" s="5"/>
      <c r="B608" s="5"/>
      <c r="C608" s="5"/>
      <c r="D608" s="5"/>
      <c r="E608" s="5"/>
      <c r="F608" s="5"/>
      <c r="G608" s="5"/>
      <c r="H608" s="5"/>
      <c r="I608" s="5"/>
      <c r="J608" s="5"/>
      <c r="K608" s="5"/>
      <c r="L608" s="5"/>
      <c r="M608" s="5"/>
      <c r="N608" s="5"/>
      <c r="O608" s="5"/>
      <c r="P608" s="5"/>
      <c r="Q608" s="5"/>
      <c r="R608" s="5"/>
      <c r="S608" s="5"/>
      <c r="T608" s="5"/>
      <c r="U608" s="5"/>
      <c r="V608" s="5"/>
      <c r="W608" s="5"/>
    </row>
    <row r="609" spans="1:23" x14ac:dyDescent="0.3">
      <c r="A609" s="5"/>
      <c r="B609" s="5"/>
      <c r="C609" s="5"/>
      <c r="D609" s="5"/>
      <c r="E609" s="5"/>
      <c r="F609" s="5"/>
      <c r="G609" s="5"/>
      <c r="H609" s="5"/>
      <c r="I609" s="5"/>
      <c r="J609" s="5"/>
      <c r="K609" s="5"/>
      <c r="L609" s="5"/>
      <c r="M609" s="5"/>
      <c r="N609" s="5"/>
      <c r="O609" s="5"/>
      <c r="P609" s="5"/>
      <c r="Q609" s="5"/>
      <c r="R609" s="5"/>
      <c r="S609" s="5"/>
      <c r="T609" s="5"/>
      <c r="U609" s="5"/>
      <c r="V609" s="5"/>
      <c r="W609" s="5"/>
    </row>
    <row r="610" spans="1:23" x14ac:dyDescent="0.3">
      <c r="A610" s="5"/>
      <c r="B610" s="5"/>
      <c r="C610" s="5"/>
      <c r="D610" s="5"/>
      <c r="E610" s="5"/>
      <c r="F610" s="5"/>
      <c r="G610" s="5"/>
      <c r="H610" s="5"/>
      <c r="I610" s="5"/>
      <c r="J610" s="5"/>
      <c r="K610" s="5"/>
      <c r="L610" s="5"/>
      <c r="M610" s="5"/>
      <c r="N610" s="5"/>
      <c r="O610" s="5"/>
      <c r="P610" s="5"/>
      <c r="Q610" s="5"/>
      <c r="R610" s="5"/>
      <c r="S610" s="5"/>
      <c r="T610" s="5"/>
      <c r="U610" s="5"/>
      <c r="V610" s="5"/>
      <c r="W610" s="5"/>
    </row>
    <row r="611" spans="1:23" x14ac:dyDescent="0.3">
      <c r="A611" s="5"/>
      <c r="B611" s="5"/>
      <c r="C611" s="5"/>
      <c r="D611" s="5"/>
      <c r="E611" s="5"/>
      <c r="F611" s="5"/>
      <c r="G611" s="5"/>
      <c r="H611" s="5"/>
      <c r="I611" s="5"/>
      <c r="J611" s="5"/>
      <c r="K611" s="5"/>
      <c r="L611" s="5"/>
      <c r="M611" s="5"/>
      <c r="N611" s="5"/>
      <c r="O611" s="5"/>
      <c r="P611" s="5"/>
      <c r="Q611" s="5"/>
      <c r="R611" s="5"/>
      <c r="S611" s="5"/>
      <c r="T611" s="5"/>
      <c r="U611" s="5"/>
      <c r="V611" s="5"/>
      <c r="W611" s="5"/>
    </row>
    <row r="612" spans="1:23" x14ac:dyDescent="0.3">
      <c r="A612" s="5"/>
      <c r="B612" s="5"/>
      <c r="C612" s="5"/>
      <c r="D612" s="5"/>
      <c r="E612" s="5"/>
      <c r="F612" s="5"/>
      <c r="G612" s="5"/>
      <c r="H612" s="5"/>
      <c r="I612" s="5"/>
      <c r="J612" s="5"/>
      <c r="K612" s="5"/>
      <c r="L612" s="5"/>
      <c r="M612" s="5"/>
      <c r="N612" s="5"/>
      <c r="O612" s="5"/>
      <c r="P612" s="5"/>
      <c r="Q612" s="5"/>
      <c r="R612" s="5"/>
      <c r="S612" s="5"/>
      <c r="T612" s="5"/>
      <c r="U612" s="5"/>
      <c r="V612" s="5"/>
      <c r="W612" s="5"/>
    </row>
    <row r="613" spans="1:23" x14ac:dyDescent="0.3">
      <c r="A613" s="5"/>
      <c r="B613" s="5"/>
      <c r="C613" s="5"/>
      <c r="D613" s="5"/>
      <c r="E613" s="5"/>
      <c r="F613" s="5"/>
      <c r="G613" s="5"/>
      <c r="H613" s="5"/>
      <c r="I613" s="5"/>
      <c r="J613" s="5"/>
      <c r="K613" s="5"/>
      <c r="L613" s="5"/>
      <c r="M613" s="5"/>
      <c r="N613" s="5"/>
      <c r="O613" s="5"/>
      <c r="P613" s="5"/>
      <c r="Q613" s="5"/>
      <c r="R613" s="5"/>
      <c r="S613" s="5"/>
      <c r="T613" s="5"/>
      <c r="U613" s="5"/>
      <c r="V613" s="5"/>
      <c r="W613" s="5"/>
    </row>
    <row r="614" spans="1:23" x14ac:dyDescent="0.3">
      <c r="A614" s="5"/>
      <c r="B614" s="5"/>
      <c r="C614" s="5"/>
      <c r="D614" s="5"/>
      <c r="E614" s="5"/>
      <c r="F614" s="5"/>
      <c r="G614" s="5"/>
      <c r="H614" s="5"/>
      <c r="I614" s="5"/>
      <c r="J614" s="5"/>
      <c r="K614" s="5"/>
      <c r="L614" s="5"/>
      <c r="M614" s="5"/>
      <c r="N614" s="5"/>
      <c r="O614" s="5"/>
      <c r="P614" s="5"/>
      <c r="Q614" s="5"/>
      <c r="R614" s="5"/>
      <c r="S614" s="5"/>
      <c r="T614" s="5"/>
      <c r="U614" s="5"/>
      <c r="V614" s="5"/>
      <c r="W614" s="5"/>
    </row>
    <row r="615" spans="1:23" x14ac:dyDescent="0.3">
      <c r="A615" s="5"/>
      <c r="B615" s="5"/>
      <c r="C615" s="5"/>
      <c r="D615" s="5"/>
      <c r="E615" s="5"/>
      <c r="F615" s="5"/>
      <c r="G615" s="5"/>
      <c r="H615" s="5"/>
      <c r="I615" s="5"/>
      <c r="J615" s="5"/>
      <c r="K615" s="5"/>
      <c r="L615" s="5"/>
      <c r="M615" s="5"/>
      <c r="N615" s="5"/>
      <c r="O615" s="5"/>
      <c r="P615" s="5"/>
      <c r="Q615" s="5"/>
      <c r="R615" s="5"/>
      <c r="S615" s="5"/>
      <c r="T615" s="5"/>
      <c r="U615" s="5"/>
      <c r="V615" s="5"/>
      <c r="W615" s="5"/>
    </row>
    <row r="616" spans="1:23" x14ac:dyDescent="0.3">
      <c r="A616" s="5"/>
      <c r="B616" s="5"/>
      <c r="C616" s="5"/>
      <c r="D616" s="5"/>
      <c r="E616" s="5"/>
      <c r="F616" s="5"/>
      <c r="G616" s="5"/>
      <c r="H616" s="5"/>
      <c r="I616" s="5"/>
      <c r="J616" s="5"/>
      <c r="K616" s="5"/>
      <c r="L616" s="5"/>
      <c r="M616" s="5"/>
      <c r="N616" s="5"/>
      <c r="O616" s="5"/>
      <c r="P616" s="5"/>
      <c r="Q616" s="5"/>
      <c r="R616" s="5"/>
      <c r="S616" s="5"/>
      <c r="T616" s="5"/>
      <c r="U616" s="5"/>
      <c r="V616" s="5"/>
      <c r="W616" s="5"/>
    </row>
    <row r="617" spans="1:23" x14ac:dyDescent="0.3">
      <c r="A617" s="5"/>
      <c r="B617" s="5"/>
      <c r="C617" s="5"/>
      <c r="D617" s="5"/>
      <c r="E617" s="5"/>
      <c r="F617" s="5"/>
      <c r="G617" s="5"/>
      <c r="H617" s="5"/>
      <c r="I617" s="5"/>
      <c r="J617" s="5"/>
      <c r="K617" s="5"/>
      <c r="L617" s="5"/>
      <c r="M617" s="5"/>
      <c r="N617" s="5"/>
      <c r="O617" s="5"/>
      <c r="P617" s="5"/>
      <c r="Q617" s="5"/>
      <c r="R617" s="5"/>
      <c r="S617" s="5"/>
      <c r="T617" s="5"/>
      <c r="U617" s="5"/>
      <c r="V617" s="5"/>
      <c r="W617" s="5"/>
    </row>
    <row r="618" spans="1:23" x14ac:dyDescent="0.3">
      <c r="A618" s="5"/>
      <c r="B618" s="5"/>
      <c r="C618" s="5"/>
      <c r="D618" s="5"/>
      <c r="E618" s="5"/>
      <c r="F618" s="5"/>
      <c r="G618" s="5"/>
      <c r="H618" s="5"/>
      <c r="I618" s="5"/>
      <c r="J618" s="5"/>
      <c r="K618" s="5"/>
      <c r="L618" s="5"/>
      <c r="M618" s="5"/>
      <c r="N618" s="5"/>
      <c r="O618" s="5"/>
      <c r="P618" s="5"/>
      <c r="Q618" s="5"/>
      <c r="R618" s="5"/>
      <c r="S618" s="5"/>
      <c r="T618" s="5"/>
      <c r="U618" s="5"/>
      <c r="V618" s="5"/>
      <c r="W618" s="5"/>
    </row>
    <row r="619" spans="1:23" x14ac:dyDescent="0.3">
      <c r="A619" s="5"/>
      <c r="B619" s="5"/>
      <c r="C619" s="5"/>
      <c r="D619" s="5"/>
      <c r="E619" s="5"/>
      <c r="F619" s="5"/>
      <c r="G619" s="5"/>
      <c r="H619" s="5"/>
      <c r="I619" s="5"/>
      <c r="J619" s="5"/>
      <c r="K619" s="5"/>
      <c r="L619" s="5"/>
      <c r="M619" s="5"/>
      <c r="N619" s="5"/>
      <c r="O619" s="5"/>
      <c r="P619" s="5"/>
      <c r="Q619" s="5"/>
      <c r="R619" s="5"/>
      <c r="S619" s="5"/>
      <c r="T619" s="5"/>
      <c r="U619" s="5"/>
      <c r="V619" s="5"/>
      <c r="W619" s="5"/>
    </row>
    <row r="620" spans="1:23" x14ac:dyDescent="0.3">
      <c r="A620" s="5"/>
      <c r="B620" s="5"/>
      <c r="C620" s="5"/>
      <c r="D620" s="5"/>
      <c r="E620" s="5"/>
      <c r="F620" s="5"/>
      <c r="G620" s="5"/>
      <c r="H620" s="5"/>
      <c r="I620" s="5"/>
      <c r="J620" s="5"/>
      <c r="K620" s="5"/>
      <c r="L620" s="5"/>
      <c r="M620" s="5"/>
      <c r="N620" s="5"/>
      <c r="O620" s="5"/>
      <c r="P620" s="5"/>
      <c r="Q620" s="5"/>
      <c r="R620" s="5"/>
      <c r="S620" s="5"/>
      <c r="T620" s="5"/>
      <c r="U620" s="5"/>
      <c r="V620" s="5"/>
      <c r="W620" s="5"/>
    </row>
    <row r="621" spans="1:23" x14ac:dyDescent="0.3">
      <c r="A621" s="5"/>
      <c r="B621" s="5"/>
      <c r="C621" s="5"/>
      <c r="D621" s="5"/>
      <c r="E621" s="5"/>
      <c r="F621" s="5"/>
      <c r="G621" s="5"/>
      <c r="H621" s="5"/>
      <c r="I621" s="5"/>
      <c r="J621" s="5"/>
      <c r="K621" s="5"/>
      <c r="L621" s="5"/>
      <c r="M621" s="5"/>
      <c r="N621" s="5"/>
      <c r="O621" s="5"/>
      <c r="P621" s="5"/>
      <c r="Q621" s="5"/>
      <c r="R621" s="5"/>
      <c r="S621" s="5"/>
      <c r="T621" s="5"/>
      <c r="U621" s="5"/>
      <c r="V621" s="5"/>
      <c r="W621" s="5"/>
    </row>
    <row r="622" spans="1:23" x14ac:dyDescent="0.3">
      <c r="A622" s="5"/>
      <c r="B622" s="5"/>
      <c r="C622" s="5"/>
      <c r="D622" s="5"/>
      <c r="E622" s="5"/>
      <c r="F622" s="5"/>
      <c r="G622" s="5"/>
      <c r="H622" s="5"/>
      <c r="I622" s="5"/>
      <c r="J622" s="5"/>
      <c r="K622" s="5"/>
      <c r="L622" s="5"/>
      <c r="M622" s="5"/>
      <c r="N622" s="5"/>
      <c r="O622" s="5"/>
      <c r="P622" s="5"/>
      <c r="Q622" s="5"/>
      <c r="R622" s="5"/>
      <c r="S622" s="5"/>
      <c r="T622" s="5"/>
      <c r="U622" s="5"/>
      <c r="V622" s="5"/>
      <c r="W622" s="5"/>
    </row>
    <row r="623" spans="1:23" x14ac:dyDescent="0.3">
      <c r="A623" s="5"/>
      <c r="B623" s="5"/>
      <c r="C623" s="5"/>
      <c r="D623" s="5"/>
      <c r="E623" s="5"/>
      <c r="F623" s="5"/>
      <c r="G623" s="5"/>
      <c r="H623" s="5"/>
      <c r="I623" s="5"/>
      <c r="J623" s="5"/>
      <c r="K623" s="5"/>
      <c r="L623" s="5"/>
      <c r="M623" s="5"/>
      <c r="N623" s="5"/>
      <c r="O623" s="5"/>
      <c r="P623" s="5"/>
      <c r="Q623" s="5"/>
      <c r="R623" s="5"/>
      <c r="S623" s="5"/>
      <c r="T623" s="5"/>
      <c r="U623" s="5"/>
      <c r="V623" s="5"/>
      <c r="W623" s="5"/>
    </row>
    <row r="624" spans="1:23" x14ac:dyDescent="0.3">
      <c r="A624" s="5"/>
      <c r="B624" s="5"/>
      <c r="C624" s="5"/>
      <c r="D624" s="5"/>
      <c r="E624" s="5"/>
      <c r="F624" s="5"/>
      <c r="G624" s="5"/>
      <c r="H624" s="5"/>
      <c r="I624" s="5"/>
      <c r="J624" s="5"/>
      <c r="K624" s="5"/>
      <c r="L624" s="5"/>
      <c r="M624" s="5"/>
      <c r="N624" s="5"/>
      <c r="O624" s="5"/>
      <c r="P624" s="5"/>
      <c r="Q624" s="5"/>
      <c r="R624" s="5"/>
      <c r="S624" s="5"/>
      <c r="T624" s="5"/>
      <c r="U624" s="5"/>
      <c r="V624" s="5"/>
      <c r="W624" s="5"/>
    </row>
    <row r="625" spans="1:23" x14ac:dyDescent="0.3">
      <c r="A625" s="5"/>
      <c r="B625" s="5"/>
      <c r="C625" s="5"/>
      <c r="D625" s="5"/>
      <c r="E625" s="5"/>
      <c r="F625" s="5"/>
      <c r="G625" s="5"/>
      <c r="H625" s="5"/>
      <c r="I625" s="5"/>
      <c r="J625" s="5"/>
      <c r="K625" s="5"/>
      <c r="L625" s="5"/>
      <c r="M625" s="5"/>
      <c r="N625" s="5"/>
      <c r="O625" s="5"/>
      <c r="P625" s="5"/>
      <c r="Q625" s="5"/>
      <c r="R625" s="5"/>
      <c r="S625" s="5"/>
      <c r="T625" s="5"/>
      <c r="U625" s="5"/>
      <c r="V625" s="5"/>
      <c r="W625" s="5"/>
    </row>
    <row r="626" spans="1:23" x14ac:dyDescent="0.3">
      <c r="A626" s="5"/>
      <c r="B626" s="5"/>
      <c r="C626" s="5"/>
      <c r="D626" s="5"/>
      <c r="E626" s="5"/>
      <c r="F626" s="5"/>
      <c r="G626" s="5"/>
      <c r="H626" s="5"/>
      <c r="I626" s="5"/>
      <c r="J626" s="5"/>
      <c r="K626" s="5"/>
      <c r="L626" s="5"/>
      <c r="M626" s="5"/>
      <c r="N626" s="5"/>
      <c r="O626" s="5"/>
      <c r="P626" s="5"/>
      <c r="Q626" s="5"/>
      <c r="R626" s="5"/>
      <c r="S626" s="5"/>
      <c r="T626" s="5"/>
      <c r="U626" s="5"/>
      <c r="V626" s="5"/>
      <c r="W626" s="5"/>
    </row>
    <row r="627" spans="1:23" x14ac:dyDescent="0.3">
      <c r="A627" s="5"/>
      <c r="B627" s="5"/>
      <c r="C627" s="5"/>
      <c r="D627" s="5"/>
      <c r="E627" s="5"/>
      <c r="F627" s="5"/>
      <c r="G627" s="5"/>
      <c r="H627" s="5"/>
      <c r="I627" s="5"/>
      <c r="J627" s="5"/>
      <c r="K627" s="5"/>
      <c r="L627" s="5"/>
      <c r="M627" s="5"/>
      <c r="N627" s="5"/>
      <c r="O627" s="5"/>
      <c r="P627" s="5"/>
      <c r="Q627" s="5"/>
      <c r="R627" s="5"/>
      <c r="S627" s="5"/>
      <c r="T627" s="5"/>
      <c r="U627" s="5"/>
      <c r="V627" s="5"/>
      <c r="W627" s="5"/>
    </row>
    <row r="628" spans="1:23" x14ac:dyDescent="0.3">
      <c r="A628" s="5"/>
      <c r="B628" s="5"/>
      <c r="C628" s="5"/>
      <c r="D628" s="5"/>
      <c r="E628" s="5"/>
      <c r="F628" s="5"/>
      <c r="G628" s="5"/>
      <c r="H628" s="5"/>
      <c r="I628" s="5"/>
      <c r="J628" s="5"/>
      <c r="K628" s="5"/>
      <c r="L628" s="5"/>
      <c r="M628" s="5"/>
      <c r="N628" s="5"/>
      <c r="O628" s="5"/>
      <c r="P628" s="5"/>
      <c r="Q628" s="5"/>
      <c r="R628" s="5"/>
      <c r="S628" s="5"/>
      <c r="T628" s="5"/>
      <c r="U628" s="5"/>
      <c r="V628" s="5"/>
      <c r="W628" s="5"/>
    </row>
    <row r="629" spans="1:23" x14ac:dyDescent="0.3">
      <c r="A629" s="5"/>
      <c r="B629" s="5"/>
      <c r="C629" s="5"/>
      <c r="D629" s="5"/>
      <c r="E629" s="5"/>
      <c r="F629" s="5"/>
      <c r="G629" s="5"/>
      <c r="H629" s="5"/>
      <c r="I629" s="5"/>
      <c r="J629" s="5"/>
      <c r="K629" s="5"/>
      <c r="L629" s="5"/>
      <c r="M629" s="5"/>
      <c r="N629" s="5"/>
      <c r="O629" s="5"/>
      <c r="P629" s="5"/>
      <c r="Q629" s="5"/>
      <c r="R629" s="5"/>
      <c r="S629" s="5"/>
      <c r="T629" s="5"/>
      <c r="U629" s="5"/>
      <c r="V629" s="5"/>
      <c r="W629" s="5"/>
    </row>
    <row r="630" spans="1:23" x14ac:dyDescent="0.3">
      <c r="A630" s="5"/>
      <c r="B630" s="5"/>
      <c r="C630" s="5"/>
      <c r="D630" s="5"/>
      <c r="E630" s="5"/>
      <c r="F630" s="5"/>
      <c r="G630" s="5"/>
      <c r="H630" s="5"/>
      <c r="I630" s="5"/>
      <c r="J630" s="5"/>
      <c r="K630" s="5"/>
      <c r="L630" s="5"/>
      <c r="M630" s="5"/>
      <c r="N630" s="5"/>
      <c r="O630" s="5"/>
      <c r="P630" s="5"/>
      <c r="Q630" s="5"/>
      <c r="R630" s="5"/>
      <c r="S630" s="5"/>
      <c r="T630" s="5"/>
      <c r="U630" s="5"/>
      <c r="V630" s="5"/>
      <c r="W630" s="5"/>
    </row>
    <row r="631" spans="1:23" x14ac:dyDescent="0.3">
      <c r="A631" s="5"/>
      <c r="B631" s="5"/>
      <c r="C631" s="5"/>
      <c r="D631" s="5"/>
      <c r="E631" s="5"/>
      <c r="F631" s="5"/>
      <c r="G631" s="5"/>
      <c r="H631" s="5"/>
      <c r="I631" s="5"/>
      <c r="J631" s="5"/>
      <c r="K631" s="5"/>
      <c r="L631" s="5"/>
      <c r="M631" s="5"/>
      <c r="N631" s="5"/>
      <c r="O631" s="5"/>
      <c r="P631" s="5"/>
      <c r="Q631" s="5"/>
      <c r="R631" s="5"/>
      <c r="S631" s="5"/>
      <c r="T631" s="5"/>
      <c r="U631" s="5"/>
      <c r="V631" s="5"/>
      <c r="W631" s="5"/>
    </row>
    <row r="632" spans="1:23" x14ac:dyDescent="0.3">
      <c r="A632" s="5"/>
      <c r="B632" s="5"/>
      <c r="C632" s="5"/>
      <c r="D632" s="5"/>
      <c r="E632" s="5"/>
      <c r="F632" s="5"/>
      <c r="G632" s="5"/>
      <c r="H632" s="5"/>
      <c r="I632" s="5"/>
      <c r="J632" s="5"/>
      <c r="K632" s="5"/>
      <c r="L632" s="5"/>
      <c r="M632" s="5"/>
      <c r="N632" s="5"/>
      <c r="O632" s="5"/>
      <c r="P632" s="5"/>
      <c r="Q632" s="5"/>
      <c r="R632" s="5"/>
      <c r="S632" s="5"/>
      <c r="T632" s="5"/>
      <c r="U632" s="5"/>
      <c r="V632" s="5"/>
      <c r="W632" s="5"/>
    </row>
    <row r="633" spans="1:23" x14ac:dyDescent="0.3">
      <c r="A633" s="5"/>
      <c r="B633" s="5"/>
      <c r="C633" s="5"/>
      <c r="D633" s="5"/>
      <c r="E633" s="5"/>
      <c r="F633" s="5"/>
      <c r="G633" s="5"/>
      <c r="H633" s="5"/>
      <c r="I633" s="5"/>
      <c r="J633" s="5"/>
      <c r="K633" s="5"/>
      <c r="L633" s="5"/>
      <c r="M633" s="5"/>
      <c r="N633" s="5"/>
      <c r="O633" s="5"/>
      <c r="P633" s="5"/>
      <c r="Q633" s="5"/>
      <c r="R633" s="5"/>
      <c r="S633" s="5"/>
      <c r="T633" s="5"/>
      <c r="U633" s="5"/>
      <c r="V633" s="5"/>
      <c r="W633" s="5"/>
    </row>
    <row r="634" spans="1:23" x14ac:dyDescent="0.3">
      <c r="A634" s="5"/>
      <c r="B634" s="5"/>
      <c r="C634" s="5"/>
      <c r="D634" s="5"/>
      <c r="E634" s="5"/>
      <c r="F634" s="5"/>
      <c r="G634" s="5"/>
      <c r="H634" s="5"/>
      <c r="I634" s="5"/>
      <c r="J634" s="5"/>
      <c r="K634" s="5"/>
      <c r="L634" s="5"/>
      <c r="M634" s="5"/>
      <c r="N634" s="5"/>
      <c r="O634" s="5"/>
      <c r="P634" s="5"/>
      <c r="Q634" s="5"/>
      <c r="R634" s="5"/>
      <c r="S634" s="5"/>
      <c r="T634" s="5"/>
      <c r="U634" s="5"/>
      <c r="V634" s="5"/>
      <c r="W634" s="5"/>
    </row>
    <row r="635" spans="1:23" x14ac:dyDescent="0.3">
      <c r="A635" s="5"/>
      <c r="B635" s="5"/>
      <c r="C635" s="5"/>
      <c r="D635" s="5"/>
      <c r="E635" s="5"/>
      <c r="F635" s="5"/>
      <c r="G635" s="5"/>
      <c r="H635" s="5"/>
      <c r="I635" s="5"/>
      <c r="J635" s="5"/>
      <c r="K635" s="5"/>
      <c r="L635" s="5"/>
      <c r="M635" s="5"/>
      <c r="N635" s="5"/>
      <c r="O635" s="5"/>
      <c r="P635" s="5"/>
      <c r="Q635" s="5"/>
      <c r="R635" s="5"/>
      <c r="S635" s="5"/>
      <c r="T635" s="5"/>
      <c r="U635" s="5"/>
      <c r="V635" s="5"/>
      <c r="W635" s="5"/>
    </row>
    <row r="636" spans="1:23" x14ac:dyDescent="0.3">
      <c r="A636" s="5"/>
      <c r="B636" s="5"/>
      <c r="C636" s="5"/>
      <c r="D636" s="5"/>
      <c r="E636" s="5"/>
      <c r="F636" s="5"/>
      <c r="G636" s="5"/>
      <c r="H636" s="5"/>
      <c r="I636" s="5"/>
      <c r="J636" s="5"/>
      <c r="K636" s="5"/>
      <c r="L636" s="5"/>
      <c r="M636" s="5"/>
      <c r="N636" s="5"/>
      <c r="O636" s="5"/>
      <c r="P636" s="5"/>
      <c r="Q636" s="5"/>
      <c r="R636" s="5"/>
      <c r="S636" s="5"/>
      <c r="T636" s="5"/>
      <c r="U636" s="5"/>
      <c r="V636" s="5"/>
      <c r="W636" s="5"/>
    </row>
    <row r="637" spans="1:23" x14ac:dyDescent="0.3">
      <c r="A637" s="5"/>
      <c r="B637" s="5"/>
      <c r="C637" s="5"/>
      <c r="D637" s="5"/>
      <c r="E637" s="5"/>
      <c r="F637" s="5"/>
      <c r="G637" s="5"/>
      <c r="H637" s="5"/>
      <c r="I637" s="5"/>
      <c r="J637" s="5"/>
      <c r="K637" s="5"/>
      <c r="L637" s="5"/>
      <c r="M637" s="5"/>
      <c r="N637" s="5"/>
      <c r="O637" s="5"/>
      <c r="P637" s="5"/>
      <c r="Q637" s="5"/>
      <c r="R637" s="5"/>
      <c r="S637" s="5"/>
      <c r="T637" s="5"/>
      <c r="U637" s="5"/>
      <c r="V637" s="5"/>
      <c r="W637" s="5"/>
    </row>
    <row r="638" spans="1:23" x14ac:dyDescent="0.3">
      <c r="A638" s="5"/>
      <c r="B638" s="5"/>
      <c r="C638" s="5"/>
      <c r="D638" s="5"/>
      <c r="E638" s="5"/>
      <c r="F638" s="5"/>
      <c r="G638" s="5"/>
      <c r="H638" s="5"/>
      <c r="I638" s="5"/>
      <c r="J638" s="5"/>
      <c r="K638" s="5"/>
      <c r="L638" s="5"/>
      <c r="M638" s="5"/>
      <c r="N638" s="5"/>
      <c r="O638" s="5"/>
      <c r="P638" s="5"/>
      <c r="Q638" s="5"/>
      <c r="R638" s="5"/>
      <c r="S638" s="5"/>
      <c r="T638" s="5"/>
      <c r="U638" s="5"/>
      <c r="V638" s="5"/>
      <c r="W638" s="5"/>
    </row>
    <row r="639" spans="1:23" x14ac:dyDescent="0.3">
      <c r="A639" s="5"/>
      <c r="B639" s="5"/>
      <c r="C639" s="5"/>
      <c r="D639" s="5"/>
      <c r="E639" s="5"/>
      <c r="F639" s="5"/>
      <c r="G639" s="5"/>
      <c r="H639" s="5"/>
      <c r="I639" s="5"/>
      <c r="J639" s="5"/>
      <c r="K639" s="5"/>
      <c r="L639" s="5"/>
      <c r="M639" s="5"/>
      <c r="N639" s="5"/>
      <c r="O639" s="5"/>
      <c r="P639" s="5"/>
      <c r="Q639" s="5"/>
      <c r="R639" s="5"/>
      <c r="S639" s="5"/>
      <c r="T639" s="5"/>
      <c r="U639" s="5"/>
      <c r="V639" s="5"/>
      <c r="W639" s="5"/>
    </row>
    <row r="640" spans="1:23" x14ac:dyDescent="0.3">
      <c r="A640" s="5"/>
      <c r="B640" s="5"/>
      <c r="C640" s="5"/>
      <c r="D640" s="5"/>
      <c r="E640" s="5"/>
      <c r="F640" s="5"/>
      <c r="G640" s="5"/>
      <c r="H640" s="5"/>
      <c r="I640" s="5"/>
      <c r="J640" s="5"/>
      <c r="K640" s="5"/>
      <c r="L640" s="5"/>
      <c r="M640" s="5"/>
      <c r="N640" s="5"/>
      <c r="O640" s="5"/>
      <c r="P640" s="5"/>
      <c r="Q640" s="5"/>
      <c r="R640" s="5"/>
      <c r="S640" s="5"/>
      <c r="T640" s="5"/>
      <c r="U640" s="5"/>
      <c r="V640" s="5"/>
      <c r="W640" s="5"/>
    </row>
    <row r="641" spans="1:23" x14ac:dyDescent="0.3">
      <c r="A641" s="5"/>
      <c r="B641" s="5"/>
      <c r="C641" s="5"/>
      <c r="D641" s="5"/>
      <c r="E641" s="5"/>
      <c r="F641" s="5"/>
      <c r="G641" s="5"/>
      <c r="H641" s="5"/>
      <c r="I641" s="5"/>
      <c r="J641" s="5"/>
      <c r="K641" s="5"/>
      <c r="L641" s="5"/>
      <c r="M641" s="5"/>
      <c r="N641" s="5"/>
      <c r="O641" s="5"/>
      <c r="P641" s="5"/>
      <c r="Q641" s="5"/>
      <c r="R641" s="5"/>
      <c r="S641" s="5"/>
      <c r="T641" s="5"/>
      <c r="U641" s="5"/>
      <c r="V641" s="5"/>
      <c r="W641" s="5"/>
    </row>
    <row r="642" spans="1:23" x14ac:dyDescent="0.3">
      <c r="A642" s="5"/>
      <c r="B642" s="5"/>
      <c r="C642" s="5"/>
      <c r="D642" s="5"/>
      <c r="E642" s="5"/>
      <c r="F642" s="5"/>
      <c r="G642" s="5"/>
      <c r="H642" s="5"/>
      <c r="I642" s="5"/>
      <c r="J642" s="5"/>
      <c r="K642" s="5"/>
      <c r="L642" s="5"/>
      <c r="M642" s="5"/>
      <c r="N642" s="5"/>
      <c r="O642" s="5"/>
      <c r="P642" s="5"/>
      <c r="Q642" s="5"/>
      <c r="R642" s="5"/>
      <c r="S642" s="5"/>
      <c r="T642" s="5"/>
      <c r="U642" s="5"/>
      <c r="V642" s="5"/>
      <c r="W642" s="5"/>
    </row>
    <row r="643" spans="1:23" x14ac:dyDescent="0.3">
      <c r="A643" s="5"/>
      <c r="B643" s="5"/>
      <c r="C643" s="5"/>
      <c r="D643" s="5"/>
      <c r="E643" s="5"/>
      <c r="F643" s="5"/>
      <c r="G643" s="5"/>
      <c r="H643" s="5"/>
      <c r="I643" s="5"/>
      <c r="J643" s="5"/>
      <c r="K643" s="5"/>
      <c r="L643" s="5"/>
      <c r="M643" s="5"/>
      <c r="N643" s="5"/>
      <c r="O643" s="5"/>
      <c r="P643" s="5"/>
      <c r="Q643" s="5"/>
      <c r="R643" s="5"/>
      <c r="S643" s="5"/>
      <c r="T643" s="5"/>
      <c r="U643" s="5"/>
      <c r="V643" s="5"/>
      <c r="W643" s="5"/>
    </row>
    <row r="644" spans="1:23" x14ac:dyDescent="0.3">
      <c r="A644" s="5"/>
      <c r="B644" s="5"/>
      <c r="C644" s="5"/>
      <c r="D644" s="5"/>
      <c r="E644" s="5"/>
      <c r="F644" s="5"/>
      <c r="G644" s="5"/>
      <c r="H644" s="5"/>
      <c r="I644" s="5"/>
      <c r="J644" s="5"/>
      <c r="K644" s="5"/>
      <c r="L644" s="5"/>
      <c r="M644" s="5"/>
      <c r="N644" s="5"/>
      <c r="O644" s="5"/>
      <c r="P644" s="5"/>
      <c r="Q644" s="5"/>
      <c r="R644" s="5"/>
      <c r="S644" s="5"/>
      <c r="T644" s="5"/>
      <c r="U644" s="5"/>
      <c r="V644" s="5"/>
      <c r="W644" s="5"/>
    </row>
    <row r="645" spans="1:23" x14ac:dyDescent="0.3">
      <c r="A645" s="5"/>
      <c r="B645" s="5"/>
      <c r="C645" s="5"/>
      <c r="D645" s="5"/>
      <c r="E645" s="5"/>
      <c r="F645" s="5"/>
      <c r="G645" s="5"/>
      <c r="H645" s="5"/>
      <c r="I645" s="5"/>
      <c r="J645" s="5"/>
      <c r="K645" s="5"/>
      <c r="L645" s="5"/>
      <c r="M645" s="5"/>
      <c r="N645" s="5"/>
      <c r="O645" s="5"/>
      <c r="P645" s="5"/>
      <c r="Q645" s="5"/>
      <c r="R645" s="5"/>
      <c r="S645" s="5"/>
      <c r="T645" s="5"/>
      <c r="U645" s="5"/>
      <c r="V645" s="5"/>
      <c r="W645" s="5"/>
    </row>
    <row r="646" spans="1:23" x14ac:dyDescent="0.3">
      <c r="A646" s="5"/>
      <c r="B646" s="5"/>
      <c r="C646" s="5"/>
      <c r="D646" s="5"/>
      <c r="E646" s="5"/>
      <c r="F646" s="5"/>
      <c r="G646" s="5"/>
      <c r="H646" s="5"/>
      <c r="I646" s="5"/>
      <c r="J646" s="5"/>
      <c r="K646" s="5"/>
      <c r="L646" s="5"/>
      <c r="M646" s="5"/>
      <c r="N646" s="5"/>
      <c r="O646" s="5"/>
      <c r="P646" s="5"/>
      <c r="Q646" s="5"/>
      <c r="R646" s="5"/>
      <c r="S646" s="5"/>
      <c r="T646" s="5"/>
      <c r="U646" s="5"/>
      <c r="V646" s="5"/>
      <c r="W646" s="5"/>
    </row>
    <row r="647" spans="1:23" x14ac:dyDescent="0.3">
      <c r="A647" s="5"/>
      <c r="B647" s="5"/>
      <c r="C647" s="5"/>
      <c r="D647" s="5"/>
      <c r="E647" s="5"/>
      <c r="F647" s="5"/>
      <c r="G647" s="5"/>
      <c r="H647" s="5"/>
      <c r="I647" s="5"/>
      <c r="J647" s="5"/>
      <c r="K647" s="5"/>
      <c r="L647" s="5"/>
      <c r="M647" s="5"/>
      <c r="N647" s="5"/>
      <c r="O647" s="5"/>
      <c r="P647" s="5"/>
      <c r="Q647" s="5"/>
      <c r="R647" s="5"/>
      <c r="S647" s="5"/>
      <c r="T647" s="5"/>
      <c r="U647" s="5"/>
      <c r="V647" s="5"/>
      <c r="W647" s="5"/>
    </row>
    <row r="648" spans="1:23" x14ac:dyDescent="0.3">
      <c r="A648" s="5"/>
      <c r="B648" s="5"/>
      <c r="C648" s="5"/>
      <c r="D648" s="5"/>
      <c r="E648" s="5"/>
      <c r="F648" s="5"/>
      <c r="G648" s="5"/>
      <c r="H648" s="5"/>
      <c r="I648" s="5"/>
      <c r="J648" s="5"/>
      <c r="K648" s="5"/>
      <c r="L648" s="5"/>
      <c r="M648" s="5"/>
      <c r="N648" s="5"/>
      <c r="O648" s="5"/>
      <c r="P648" s="5"/>
      <c r="Q648" s="5"/>
      <c r="R648" s="5"/>
      <c r="S648" s="5"/>
      <c r="T648" s="5"/>
      <c r="U648" s="5"/>
      <c r="V648" s="5"/>
      <c r="W648" s="5"/>
    </row>
    <row r="649" spans="1:23" x14ac:dyDescent="0.3">
      <c r="A649" s="5"/>
      <c r="B649" s="5"/>
      <c r="C649" s="5"/>
      <c r="D649" s="5"/>
      <c r="E649" s="5"/>
      <c r="F649" s="5"/>
      <c r="G649" s="5"/>
      <c r="H649" s="5"/>
      <c r="I649" s="5"/>
      <c r="J649" s="5"/>
      <c r="K649" s="5"/>
      <c r="L649" s="5"/>
      <c r="M649" s="5"/>
      <c r="N649" s="5"/>
      <c r="O649" s="5"/>
      <c r="P649" s="5"/>
      <c r="Q649" s="5"/>
      <c r="R649" s="5"/>
      <c r="S649" s="5"/>
      <c r="T649" s="5"/>
      <c r="U649" s="5"/>
      <c r="V649" s="5"/>
      <c r="W649" s="5"/>
    </row>
    <row r="650" spans="1:23" x14ac:dyDescent="0.3">
      <c r="A650" s="5"/>
      <c r="B650" s="5"/>
      <c r="C650" s="5"/>
      <c r="D650" s="5"/>
      <c r="E650" s="5"/>
      <c r="F650" s="5"/>
      <c r="G650" s="5"/>
      <c r="H650" s="5"/>
      <c r="I650" s="5"/>
      <c r="J650" s="5"/>
      <c r="K650" s="5"/>
      <c r="L650" s="5"/>
      <c r="M650" s="5"/>
      <c r="N650" s="5"/>
      <c r="O650" s="5"/>
      <c r="P650" s="5"/>
      <c r="Q650" s="5"/>
      <c r="R650" s="5"/>
      <c r="S650" s="5"/>
      <c r="T650" s="5"/>
      <c r="U650" s="5"/>
      <c r="V650" s="5"/>
      <c r="W650" s="5"/>
    </row>
    <row r="651" spans="1:23" x14ac:dyDescent="0.3">
      <c r="A651" s="5"/>
      <c r="B651" s="5"/>
      <c r="C651" s="5"/>
      <c r="D651" s="5"/>
      <c r="E651" s="5"/>
      <c r="F651" s="5"/>
      <c r="G651" s="5"/>
      <c r="H651" s="5"/>
      <c r="I651" s="5"/>
      <c r="J651" s="5"/>
      <c r="K651" s="5"/>
      <c r="L651" s="5"/>
      <c r="M651" s="5"/>
      <c r="N651" s="5"/>
      <c r="O651" s="5"/>
      <c r="P651" s="5"/>
      <c r="Q651" s="5"/>
      <c r="R651" s="5"/>
      <c r="S651" s="5"/>
      <c r="T651" s="5"/>
      <c r="U651" s="5"/>
      <c r="V651" s="5"/>
      <c r="W651" s="5"/>
    </row>
    <row r="652" spans="1:23" x14ac:dyDescent="0.3">
      <c r="A652" s="5"/>
      <c r="B652" s="5"/>
      <c r="C652" s="5"/>
      <c r="D652" s="5"/>
      <c r="E652" s="5"/>
      <c r="F652" s="5"/>
      <c r="G652" s="5"/>
      <c r="H652" s="5"/>
      <c r="I652" s="5"/>
      <c r="J652" s="5"/>
      <c r="K652" s="5"/>
      <c r="L652" s="5"/>
      <c r="M652" s="5"/>
      <c r="N652" s="5"/>
      <c r="O652" s="5"/>
      <c r="P652" s="5"/>
      <c r="Q652" s="5"/>
      <c r="R652" s="5"/>
      <c r="S652" s="5"/>
      <c r="T652" s="5"/>
      <c r="U652" s="5"/>
      <c r="V652" s="5"/>
      <c r="W652" s="5"/>
    </row>
    <row r="653" spans="1:23" x14ac:dyDescent="0.3">
      <c r="A653" s="5"/>
      <c r="B653" s="5"/>
      <c r="C653" s="5"/>
      <c r="D653" s="5"/>
      <c r="E653" s="5"/>
      <c r="F653" s="5"/>
      <c r="G653" s="5"/>
      <c r="H653" s="5"/>
      <c r="I653" s="5"/>
      <c r="J653" s="5"/>
      <c r="K653" s="5"/>
      <c r="L653" s="5"/>
      <c r="M653" s="5"/>
      <c r="N653" s="5"/>
      <c r="O653" s="5"/>
      <c r="P653" s="5"/>
      <c r="Q653" s="5"/>
      <c r="R653" s="5"/>
      <c r="S653" s="5"/>
      <c r="T653" s="5"/>
      <c r="U653" s="5"/>
      <c r="V653" s="5"/>
      <c r="W653" s="5"/>
    </row>
    <row r="654" spans="1:23" x14ac:dyDescent="0.3">
      <c r="A654" s="5"/>
      <c r="B654" s="5"/>
      <c r="C654" s="5"/>
      <c r="D654" s="5"/>
      <c r="E654" s="5"/>
      <c r="F654" s="5"/>
      <c r="G654" s="5"/>
      <c r="H654" s="5"/>
      <c r="I654" s="5"/>
      <c r="J654" s="5"/>
      <c r="K654" s="5"/>
      <c r="L654" s="5"/>
      <c r="M654" s="5"/>
      <c r="N654" s="5"/>
      <c r="O654" s="5"/>
      <c r="P654" s="5"/>
      <c r="Q654" s="5"/>
      <c r="R654" s="5"/>
      <c r="S654" s="5"/>
      <c r="T654" s="5"/>
      <c r="U654" s="5"/>
      <c r="V654" s="5"/>
      <c r="W654" s="5"/>
    </row>
    <row r="655" spans="1:23" x14ac:dyDescent="0.3">
      <c r="A655" s="5"/>
      <c r="B655" s="5"/>
      <c r="C655" s="5"/>
      <c r="D655" s="5"/>
      <c r="E655" s="5"/>
      <c r="F655" s="5"/>
      <c r="G655" s="5"/>
      <c r="H655" s="5"/>
      <c r="I655" s="5"/>
      <c r="J655" s="5"/>
      <c r="K655" s="5"/>
      <c r="L655" s="5"/>
      <c r="M655" s="5"/>
      <c r="N655" s="5"/>
      <c r="O655" s="5"/>
      <c r="P655" s="5"/>
      <c r="Q655" s="5"/>
      <c r="R655" s="5"/>
      <c r="S655" s="5"/>
      <c r="T655" s="5"/>
      <c r="U655" s="5"/>
      <c r="V655" s="5"/>
      <c r="W655" s="5"/>
    </row>
    <row r="656" spans="1:23" x14ac:dyDescent="0.3">
      <c r="A656" s="5"/>
      <c r="B656" s="5"/>
      <c r="C656" s="5"/>
      <c r="D656" s="5"/>
      <c r="E656" s="5"/>
      <c r="F656" s="5"/>
      <c r="G656" s="5"/>
      <c r="H656" s="5"/>
      <c r="I656" s="5"/>
      <c r="J656" s="5"/>
      <c r="K656" s="5"/>
      <c r="L656" s="5"/>
      <c r="M656" s="5"/>
      <c r="N656" s="5"/>
      <c r="O656" s="5"/>
      <c r="P656" s="5"/>
      <c r="Q656" s="5"/>
      <c r="R656" s="5"/>
      <c r="S656" s="5"/>
      <c r="T656" s="5"/>
      <c r="U656" s="5"/>
      <c r="V656" s="5"/>
      <c r="W656" s="5"/>
    </row>
    <row r="657" spans="1:23" x14ac:dyDescent="0.3">
      <c r="A657" s="5"/>
      <c r="B657" s="5"/>
      <c r="C657" s="5"/>
      <c r="D657" s="5"/>
      <c r="E657" s="5"/>
      <c r="F657" s="5"/>
      <c r="G657" s="5"/>
      <c r="H657" s="5"/>
      <c r="I657" s="5"/>
      <c r="J657" s="5"/>
      <c r="K657" s="5"/>
      <c r="L657" s="5"/>
      <c r="M657" s="5"/>
      <c r="N657" s="5"/>
      <c r="O657" s="5"/>
      <c r="P657" s="5"/>
      <c r="Q657" s="5"/>
      <c r="R657" s="5"/>
      <c r="S657" s="5"/>
      <c r="T657" s="5"/>
      <c r="U657" s="5"/>
      <c r="V657" s="5"/>
      <c r="W657" s="5"/>
    </row>
    <row r="658" spans="1:23" x14ac:dyDescent="0.3">
      <c r="A658" s="5"/>
      <c r="B658" s="5"/>
      <c r="C658" s="5"/>
      <c r="D658" s="5"/>
      <c r="E658" s="5"/>
      <c r="F658" s="5"/>
      <c r="G658" s="5"/>
      <c r="H658" s="5"/>
      <c r="I658" s="5"/>
      <c r="J658" s="5"/>
      <c r="K658" s="5"/>
      <c r="L658" s="5"/>
      <c r="M658" s="5"/>
      <c r="N658" s="5"/>
      <c r="O658" s="5"/>
      <c r="P658" s="5"/>
      <c r="Q658" s="5"/>
      <c r="R658" s="5"/>
      <c r="S658" s="5"/>
      <c r="T658" s="5"/>
      <c r="U658" s="5"/>
      <c r="V658" s="5"/>
      <c r="W658" s="5"/>
    </row>
    <row r="659" spans="1:23" x14ac:dyDescent="0.3">
      <c r="A659" s="5"/>
      <c r="B659" s="5"/>
      <c r="C659" s="5"/>
      <c r="D659" s="5"/>
      <c r="E659" s="5"/>
      <c r="F659" s="5"/>
      <c r="G659" s="5"/>
      <c r="H659" s="5"/>
      <c r="I659" s="5"/>
      <c r="J659" s="5"/>
      <c r="K659" s="5"/>
      <c r="L659" s="5"/>
      <c r="M659" s="5"/>
      <c r="N659" s="5"/>
      <c r="O659" s="5"/>
      <c r="P659" s="5"/>
      <c r="Q659" s="5"/>
      <c r="R659" s="5"/>
      <c r="S659" s="5"/>
      <c r="T659" s="5"/>
      <c r="U659" s="5"/>
      <c r="V659" s="5"/>
      <c r="W659" s="5"/>
    </row>
    <row r="660" spans="1:23" x14ac:dyDescent="0.3">
      <c r="A660" s="5"/>
      <c r="B660" s="5"/>
      <c r="C660" s="5"/>
      <c r="D660" s="5"/>
      <c r="E660" s="5"/>
      <c r="F660" s="5"/>
      <c r="G660" s="5"/>
      <c r="H660" s="5"/>
      <c r="I660" s="5"/>
      <c r="J660" s="5"/>
      <c r="K660" s="5"/>
      <c r="L660" s="5"/>
      <c r="M660" s="5"/>
      <c r="N660" s="5"/>
      <c r="O660" s="5"/>
      <c r="P660" s="5"/>
      <c r="Q660" s="5"/>
      <c r="R660" s="5"/>
      <c r="S660" s="5"/>
      <c r="T660" s="5"/>
      <c r="U660" s="5"/>
      <c r="V660" s="5"/>
      <c r="W660" s="5"/>
    </row>
    <row r="661" spans="1:23" x14ac:dyDescent="0.3">
      <c r="A661" s="5"/>
      <c r="B661" s="5"/>
      <c r="C661" s="5"/>
      <c r="D661" s="5"/>
      <c r="E661" s="5"/>
      <c r="F661" s="5"/>
      <c r="G661" s="5"/>
      <c r="H661" s="5"/>
      <c r="I661" s="5"/>
      <c r="J661" s="5"/>
      <c r="K661" s="5"/>
      <c r="L661" s="5"/>
      <c r="M661" s="5"/>
      <c r="N661" s="5"/>
      <c r="O661" s="5"/>
      <c r="P661" s="5"/>
      <c r="Q661" s="5"/>
      <c r="R661" s="5"/>
      <c r="S661" s="5"/>
      <c r="T661" s="5"/>
      <c r="U661" s="5"/>
      <c r="V661" s="5"/>
      <c r="W661" s="5"/>
    </row>
    <row r="662" spans="1:23" x14ac:dyDescent="0.3">
      <c r="A662" s="5"/>
      <c r="B662" s="5"/>
      <c r="C662" s="5"/>
      <c r="D662" s="5"/>
      <c r="E662" s="5"/>
      <c r="F662" s="5"/>
      <c r="G662" s="5"/>
      <c r="H662" s="5"/>
      <c r="I662" s="5"/>
      <c r="J662" s="5"/>
      <c r="K662" s="5"/>
      <c r="L662" s="5"/>
      <c r="M662" s="5"/>
      <c r="N662" s="5"/>
      <c r="O662" s="5"/>
      <c r="P662" s="5"/>
      <c r="Q662" s="5"/>
      <c r="R662" s="5"/>
      <c r="S662" s="5"/>
      <c r="T662" s="5"/>
      <c r="U662" s="5"/>
      <c r="V662" s="5"/>
      <c r="W662" s="5"/>
    </row>
    <row r="663" spans="1:23" x14ac:dyDescent="0.3">
      <c r="A663" s="5"/>
      <c r="B663" s="5"/>
      <c r="C663" s="5"/>
      <c r="D663" s="5"/>
      <c r="E663" s="5"/>
      <c r="F663" s="5"/>
      <c r="G663" s="5"/>
      <c r="H663" s="5"/>
      <c r="I663" s="5"/>
      <c r="J663" s="5"/>
      <c r="K663" s="5"/>
      <c r="L663" s="5"/>
      <c r="M663" s="5"/>
      <c r="N663" s="5"/>
      <c r="O663" s="5"/>
      <c r="P663" s="5"/>
      <c r="Q663" s="5"/>
      <c r="R663" s="5"/>
      <c r="S663" s="5"/>
      <c r="T663" s="5"/>
      <c r="U663" s="5"/>
      <c r="V663" s="5"/>
      <c r="W663" s="5"/>
    </row>
    <row r="664" spans="1:23" x14ac:dyDescent="0.3">
      <c r="A664" s="5"/>
      <c r="B664" s="5"/>
      <c r="C664" s="5"/>
      <c r="D664" s="5"/>
      <c r="E664" s="5"/>
      <c r="F664" s="5"/>
      <c r="G664" s="5"/>
      <c r="H664" s="5"/>
      <c r="I664" s="5"/>
      <c r="J664" s="5"/>
      <c r="K664" s="5"/>
      <c r="L664" s="5"/>
      <c r="M664" s="5"/>
      <c r="N664" s="5"/>
      <c r="O664" s="5"/>
      <c r="P664" s="5"/>
      <c r="Q664" s="5"/>
      <c r="R664" s="5"/>
      <c r="S664" s="5"/>
      <c r="T664" s="5"/>
      <c r="U664" s="5"/>
      <c r="V664" s="5"/>
      <c r="W664" s="5"/>
    </row>
    <row r="665" spans="1:23" x14ac:dyDescent="0.3">
      <c r="A665" s="5"/>
      <c r="B665" s="5"/>
      <c r="C665" s="5"/>
      <c r="D665" s="5"/>
      <c r="E665" s="5"/>
      <c r="F665" s="5"/>
      <c r="G665" s="5"/>
      <c r="H665" s="5"/>
      <c r="I665" s="5"/>
      <c r="J665" s="5"/>
      <c r="K665" s="5"/>
      <c r="L665" s="5"/>
      <c r="M665" s="5"/>
      <c r="N665" s="5"/>
      <c r="O665" s="5"/>
      <c r="P665" s="5"/>
      <c r="Q665" s="5"/>
      <c r="R665" s="5"/>
      <c r="S665" s="5"/>
      <c r="T665" s="5"/>
      <c r="U665" s="5"/>
      <c r="V665" s="5"/>
      <c r="W665" s="5"/>
    </row>
    <row r="666" spans="1:23" x14ac:dyDescent="0.3">
      <c r="A666" s="5"/>
      <c r="B666" s="5"/>
      <c r="C666" s="5"/>
      <c r="D666" s="5"/>
      <c r="E666" s="5"/>
      <c r="F666" s="5"/>
      <c r="G666" s="5"/>
      <c r="H666" s="5"/>
      <c r="I666" s="5"/>
      <c r="J666" s="5"/>
      <c r="K666" s="5"/>
      <c r="L666" s="5"/>
      <c r="M666" s="5"/>
      <c r="N666" s="5"/>
      <c r="O666" s="5"/>
      <c r="P666" s="5"/>
      <c r="Q666" s="5"/>
      <c r="R666" s="5"/>
      <c r="S666" s="5"/>
      <c r="T666" s="5"/>
      <c r="U666" s="5"/>
      <c r="V666" s="5"/>
      <c r="W666" s="5"/>
    </row>
    <row r="667" spans="1:23" x14ac:dyDescent="0.3">
      <c r="A667" s="5"/>
      <c r="B667" s="5"/>
      <c r="C667" s="5"/>
      <c r="D667" s="5"/>
      <c r="E667" s="5"/>
      <c r="F667" s="5"/>
      <c r="G667" s="5"/>
      <c r="H667" s="5"/>
      <c r="I667" s="5"/>
      <c r="J667" s="5"/>
      <c r="K667" s="5"/>
      <c r="L667" s="5"/>
      <c r="M667" s="5"/>
      <c r="N667" s="5"/>
      <c r="O667" s="5"/>
      <c r="P667" s="5"/>
      <c r="Q667" s="5"/>
      <c r="R667" s="5"/>
      <c r="S667" s="5"/>
      <c r="T667" s="5"/>
      <c r="U667" s="5"/>
      <c r="V667" s="5"/>
      <c r="W667" s="5"/>
    </row>
    <row r="668" spans="1:23" x14ac:dyDescent="0.3">
      <c r="A668" s="5"/>
      <c r="B668" s="5"/>
      <c r="C668" s="5"/>
      <c r="D668" s="5"/>
      <c r="E668" s="5"/>
      <c r="F668" s="5"/>
      <c r="G668" s="5"/>
      <c r="H668" s="5"/>
      <c r="I668" s="5"/>
      <c r="J668" s="5"/>
      <c r="K668" s="5"/>
      <c r="L668" s="5"/>
      <c r="M668" s="5"/>
      <c r="N668" s="5"/>
      <c r="O668" s="5"/>
      <c r="P668" s="5"/>
      <c r="Q668" s="5"/>
      <c r="R668" s="5"/>
      <c r="S668" s="5"/>
      <c r="T668" s="5"/>
      <c r="U668" s="5"/>
      <c r="V668" s="5"/>
      <c r="W668" s="5"/>
    </row>
    <row r="669" spans="1:23" x14ac:dyDescent="0.3">
      <c r="A669" s="5"/>
      <c r="B669" s="5"/>
      <c r="C669" s="5"/>
      <c r="D669" s="5"/>
      <c r="E669" s="5"/>
      <c r="F669" s="5"/>
      <c r="G669" s="5"/>
      <c r="H669" s="5"/>
      <c r="I669" s="5"/>
      <c r="J669" s="5"/>
      <c r="K669" s="5"/>
      <c r="L669" s="5"/>
      <c r="M669" s="5"/>
      <c r="N669" s="5"/>
      <c r="O669" s="5"/>
      <c r="P669" s="5"/>
      <c r="Q669" s="5"/>
      <c r="R669" s="5"/>
      <c r="S669" s="5"/>
      <c r="T669" s="5"/>
      <c r="U669" s="5"/>
      <c r="V669" s="5"/>
      <c r="W669" s="5"/>
    </row>
    <row r="670" spans="1:23" x14ac:dyDescent="0.3">
      <c r="A670" s="5"/>
      <c r="B670" s="5"/>
      <c r="C670" s="5"/>
      <c r="D670" s="5"/>
      <c r="E670" s="5"/>
      <c r="F670" s="5"/>
      <c r="G670" s="5"/>
      <c r="H670" s="5"/>
      <c r="I670" s="5"/>
      <c r="J670" s="5"/>
      <c r="K670" s="5"/>
      <c r="L670" s="5"/>
      <c r="M670" s="5"/>
      <c r="N670" s="5"/>
      <c r="O670" s="5"/>
      <c r="P670" s="5"/>
      <c r="Q670" s="5"/>
      <c r="R670" s="5"/>
      <c r="S670" s="5"/>
      <c r="T670" s="5"/>
      <c r="U670" s="5"/>
      <c r="V670" s="5"/>
      <c r="W670" s="5"/>
    </row>
    <row r="671" spans="1:23" x14ac:dyDescent="0.3">
      <c r="A671" s="5"/>
      <c r="B671" s="5"/>
      <c r="C671" s="5"/>
      <c r="D671" s="5"/>
      <c r="E671" s="5"/>
      <c r="F671" s="5"/>
      <c r="G671" s="5"/>
      <c r="H671" s="5"/>
      <c r="I671" s="5"/>
      <c r="J671" s="5"/>
      <c r="K671" s="5"/>
      <c r="L671" s="5"/>
      <c r="M671" s="5"/>
      <c r="N671" s="5"/>
      <c r="O671" s="5"/>
      <c r="P671" s="5"/>
      <c r="Q671" s="5"/>
      <c r="R671" s="5"/>
      <c r="S671" s="5"/>
      <c r="T671" s="5"/>
      <c r="U671" s="5"/>
      <c r="V671" s="5"/>
      <c r="W671" s="5"/>
    </row>
    <row r="672" spans="1:23" x14ac:dyDescent="0.3">
      <c r="A672" s="5"/>
      <c r="B672" s="5"/>
      <c r="C672" s="5"/>
      <c r="D672" s="5"/>
      <c r="E672" s="5"/>
      <c r="F672" s="5"/>
      <c r="G672" s="5"/>
      <c r="H672" s="5"/>
      <c r="I672" s="5"/>
      <c r="J672" s="5"/>
      <c r="K672" s="5"/>
      <c r="L672" s="5"/>
      <c r="M672" s="5"/>
      <c r="N672" s="5"/>
      <c r="O672" s="5"/>
      <c r="P672" s="5"/>
      <c r="Q672" s="5"/>
      <c r="R672" s="5"/>
      <c r="S672" s="5"/>
      <c r="T672" s="5"/>
      <c r="U672" s="5"/>
      <c r="V672" s="5"/>
      <c r="W672" s="5"/>
    </row>
    <row r="673" spans="1:23" x14ac:dyDescent="0.3">
      <c r="A673" s="5"/>
      <c r="B673" s="5"/>
      <c r="C673" s="5"/>
      <c r="D673" s="5"/>
      <c r="E673" s="5"/>
      <c r="F673" s="5"/>
      <c r="G673" s="5"/>
      <c r="H673" s="5"/>
      <c r="I673" s="5"/>
      <c r="J673" s="5"/>
      <c r="K673" s="5"/>
      <c r="L673" s="5"/>
      <c r="M673" s="5"/>
      <c r="N673" s="5"/>
      <c r="O673" s="5"/>
      <c r="P673" s="5"/>
      <c r="Q673" s="5"/>
      <c r="R673" s="5"/>
      <c r="S673" s="5"/>
      <c r="T673" s="5"/>
      <c r="U673" s="5"/>
      <c r="V673" s="5"/>
      <c r="W673" s="5"/>
    </row>
    <row r="674" spans="1:23" x14ac:dyDescent="0.3">
      <c r="A674" s="5"/>
      <c r="B674" s="5"/>
      <c r="C674" s="5"/>
      <c r="D674" s="5"/>
      <c r="E674" s="5"/>
      <c r="F674" s="5"/>
      <c r="G674" s="5"/>
      <c r="H674" s="5"/>
      <c r="I674" s="5"/>
      <c r="J674" s="5"/>
      <c r="K674" s="5"/>
      <c r="L674" s="5"/>
      <c r="M674" s="5"/>
      <c r="N674" s="5"/>
      <c r="O674" s="5"/>
      <c r="P674" s="5"/>
      <c r="Q674" s="5"/>
      <c r="R674" s="5"/>
      <c r="S674" s="5"/>
      <c r="T674" s="5"/>
      <c r="U674" s="5"/>
      <c r="V674" s="5"/>
      <c r="W674" s="5"/>
    </row>
    <row r="675" spans="1:23" x14ac:dyDescent="0.3">
      <c r="A675" s="5"/>
      <c r="B675" s="5"/>
      <c r="C675" s="5"/>
      <c r="D675" s="5"/>
      <c r="E675" s="5"/>
      <c r="F675" s="5"/>
      <c r="G675" s="5"/>
      <c r="H675" s="5"/>
      <c r="I675" s="5"/>
      <c r="J675" s="5"/>
      <c r="K675" s="5"/>
      <c r="L675" s="5"/>
      <c r="M675" s="5"/>
      <c r="N675" s="5"/>
      <c r="O675" s="5"/>
      <c r="P675" s="5"/>
      <c r="Q675" s="5"/>
      <c r="R675" s="5"/>
      <c r="S675" s="5"/>
      <c r="T675" s="5"/>
      <c r="U675" s="5"/>
      <c r="V675" s="5"/>
      <c r="W675" s="5"/>
    </row>
    <row r="676" spans="1:23" x14ac:dyDescent="0.3">
      <c r="A676" s="5"/>
      <c r="B676" s="5"/>
      <c r="C676" s="5"/>
      <c r="D676" s="5"/>
      <c r="E676" s="5"/>
      <c r="F676" s="5"/>
      <c r="G676" s="5"/>
      <c r="H676" s="5"/>
      <c r="I676" s="5"/>
      <c r="J676" s="5"/>
      <c r="K676" s="5"/>
      <c r="L676" s="5"/>
      <c r="M676" s="5"/>
      <c r="N676" s="5"/>
      <c r="O676" s="5"/>
      <c r="P676" s="5"/>
      <c r="Q676" s="5"/>
      <c r="R676" s="5"/>
      <c r="S676" s="5"/>
      <c r="T676" s="5"/>
      <c r="U676" s="5"/>
      <c r="V676" s="5"/>
      <c r="W676" s="5"/>
    </row>
    <row r="677" spans="1:23" x14ac:dyDescent="0.3">
      <c r="A677" s="5"/>
      <c r="B677" s="5"/>
      <c r="C677" s="5"/>
      <c r="D677" s="5"/>
      <c r="E677" s="5"/>
      <c r="F677" s="5"/>
      <c r="G677" s="5"/>
      <c r="H677" s="5"/>
      <c r="I677" s="5"/>
      <c r="J677" s="5"/>
      <c r="K677" s="5"/>
      <c r="L677" s="5"/>
      <c r="M677" s="5"/>
      <c r="N677" s="5"/>
      <c r="O677" s="5"/>
      <c r="P677" s="5"/>
      <c r="Q677" s="5"/>
      <c r="R677" s="5"/>
      <c r="S677" s="5"/>
      <c r="T677" s="5"/>
      <c r="U677" s="5"/>
      <c r="V677" s="5"/>
      <c r="W677" s="5"/>
    </row>
    <row r="678" spans="1:23" x14ac:dyDescent="0.3">
      <c r="A678" s="5"/>
      <c r="B678" s="5"/>
      <c r="C678" s="5"/>
      <c r="D678" s="5"/>
      <c r="E678" s="5"/>
      <c r="F678" s="5"/>
      <c r="G678" s="5"/>
      <c r="H678" s="5"/>
      <c r="I678" s="5"/>
      <c r="J678" s="5"/>
      <c r="K678" s="5"/>
      <c r="L678" s="5"/>
      <c r="M678" s="5"/>
      <c r="N678" s="5"/>
      <c r="O678" s="5"/>
      <c r="P678" s="5"/>
      <c r="Q678" s="5"/>
      <c r="R678" s="5"/>
      <c r="S678" s="5"/>
      <c r="T678" s="5"/>
      <c r="U678" s="5"/>
      <c r="V678" s="5"/>
      <c r="W678" s="5"/>
    </row>
    <row r="679" spans="1:23" x14ac:dyDescent="0.3">
      <c r="A679" s="5"/>
      <c r="B679" s="5"/>
      <c r="C679" s="5"/>
      <c r="D679" s="5"/>
      <c r="E679" s="5"/>
      <c r="F679" s="5"/>
      <c r="G679" s="5"/>
      <c r="H679" s="5"/>
      <c r="I679" s="5"/>
      <c r="J679" s="5"/>
      <c r="K679" s="5"/>
      <c r="L679" s="5"/>
      <c r="M679" s="5"/>
      <c r="N679" s="5"/>
      <c r="O679" s="5"/>
      <c r="P679" s="5"/>
      <c r="Q679" s="5"/>
      <c r="R679" s="5"/>
      <c r="S679" s="5"/>
      <c r="T679" s="5"/>
      <c r="U679" s="5"/>
      <c r="V679" s="5"/>
      <c r="W679" s="5"/>
    </row>
    <row r="680" spans="1:23" x14ac:dyDescent="0.3">
      <c r="A680" s="5"/>
      <c r="B680" s="5"/>
      <c r="C680" s="5"/>
      <c r="D680" s="5"/>
      <c r="E680" s="5"/>
      <c r="F680" s="5"/>
      <c r="G680" s="5"/>
      <c r="H680" s="5"/>
      <c r="I680" s="5"/>
      <c r="J680" s="5"/>
      <c r="K680" s="5"/>
      <c r="L680" s="5"/>
      <c r="M680" s="5"/>
      <c r="N680" s="5"/>
      <c r="O680" s="5"/>
      <c r="P680" s="5"/>
      <c r="Q680" s="5"/>
      <c r="R680" s="5"/>
      <c r="S680" s="5"/>
      <c r="T680" s="5"/>
      <c r="U680" s="5"/>
      <c r="V680" s="5"/>
      <c r="W680" s="5"/>
    </row>
    <row r="681" spans="1:23" x14ac:dyDescent="0.3">
      <c r="A681" s="5"/>
      <c r="B681" s="5"/>
      <c r="C681" s="5"/>
      <c r="D681" s="5"/>
      <c r="E681" s="5"/>
      <c r="F681" s="5"/>
      <c r="G681" s="5"/>
      <c r="H681" s="5"/>
      <c r="I681" s="5"/>
      <c r="J681" s="5"/>
      <c r="K681" s="5"/>
      <c r="L681" s="5"/>
      <c r="M681" s="5"/>
      <c r="N681" s="5"/>
      <c r="O681" s="5"/>
      <c r="P681" s="5"/>
      <c r="Q681" s="5"/>
      <c r="R681" s="5"/>
      <c r="S681" s="5"/>
      <c r="T681" s="5"/>
      <c r="U681" s="5"/>
      <c r="V681" s="5"/>
      <c r="W681" s="5"/>
    </row>
    <row r="682" spans="1:23" x14ac:dyDescent="0.3">
      <c r="A682" s="5"/>
      <c r="B682" s="5"/>
      <c r="C682" s="5"/>
      <c r="D682" s="5"/>
      <c r="E682" s="5"/>
      <c r="F682" s="5"/>
      <c r="G682" s="5"/>
      <c r="H682" s="5"/>
      <c r="I682" s="5"/>
      <c r="J682" s="5"/>
      <c r="K682" s="5"/>
      <c r="L682" s="5"/>
      <c r="M682" s="5"/>
      <c r="N682" s="5"/>
      <c r="O682" s="5"/>
      <c r="P682" s="5"/>
      <c r="Q682" s="5"/>
      <c r="R682" s="5"/>
      <c r="S682" s="5"/>
      <c r="T682" s="5"/>
      <c r="U682" s="5"/>
      <c r="V682" s="5"/>
      <c r="W682" s="5"/>
    </row>
    <row r="683" spans="1:23" x14ac:dyDescent="0.3">
      <c r="A683" s="5"/>
      <c r="B683" s="5"/>
      <c r="C683" s="5"/>
      <c r="D683" s="5"/>
      <c r="E683" s="5"/>
      <c r="F683" s="5"/>
      <c r="G683" s="5"/>
      <c r="H683" s="5"/>
      <c r="I683" s="5"/>
      <c r="J683" s="5"/>
      <c r="K683" s="5"/>
      <c r="L683" s="5"/>
      <c r="M683" s="5"/>
      <c r="N683" s="5"/>
      <c r="O683" s="5"/>
      <c r="P683" s="5"/>
      <c r="Q683" s="5"/>
      <c r="R683" s="5"/>
      <c r="S683" s="5"/>
      <c r="T683" s="5"/>
      <c r="U683" s="5"/>
      <c r="V683" s="5"/>
      <c r="W683" s="5"/>
    </row>
    <row r="684" spans="1:23" x14ac:dyDescent="0.3">
      <c r="A684" s="5"/>
      <c r="B684" s="5"/>
      <c r="C684" s="5"/>
      <c r="D684" s="5"/>
      <c r="E684" s="5"/>
      <c r="F684" s="5"/>
      <c r="G684" s="5"/>
      <c r="H684" s="5"/>
      <c r="I684" s="5"/>
      <c r="J684" s="5"/>
      <c r="K684" s="5"/>
      <c r="L684" s="5"/>
      <c r="M684" s="5"/>
      <c r="N684" s="5"/>
      <c r="O684" s="5"/>
      <c r="P684" s="5"/>
      <c r="Q684" s="5"/>
      <c r="R684" s="5"/>
      <c r="S684" s="5"/>
      <c r="T684" s="5"/>
      <c r="U684" s="5"/>
      <c r="V684" s="5"/>
      <c r="W684" s="5"/>
    </row>
    <row r="685" spans="1:23" x14ac:dyDescent="0.3">
      <c r="A685" s="5"/>
      <c r="B685" s="5"/>
      <c r="C685" s="5"/>
      <c r="D685" s="5"/>
      <c r="E685" s="5"/>
      <c r="F685" s="5"/>
      <c r="G685" s="5"/>
      <c r="H685" s="5"/>
      <c r="I685" s="5"/>
      <c r="J685" s="5"/>
      <c r="K685" s="5"/>
      <c r="L685" s="5"/>
      <c r="M685" s="5"/>
      <c r="N685" s="5"/>
      <c r="O685" s="5"/>
      <c r="P685" s="5"/>
      <c r="Q685" s="5"/>
      <c r="R685" s="5"/>
      <c r="S685" s="5"/>
      <c r="T685" s="5"/>
      <c r="U685" s="5"/>
      <c r="V685" s="5"/>
      <c r="W685" s="5"/>
    </row>
    <row r="686" spans="1:23" x14ac:dyDescent="0.3">
      <c r="A686" s="5"/>
      <c r="B686" s="5"/>
      <c r="C686" s="5"/>
      <c r="D686" s="5"/>
      <c r="E686" s="5"/>
      <c r="F686" s="5"/>
      <c r="G686" s="5"/>
      <c r="H686" s="5"/>
      <c r="I686" s="5"/>
      <c r="J686" s="5"/>
      <c r="K686" s="5"/>
      <c r="L686" s="5"/>
      <c r="M686" s="5"/>
      <c r="N686" s="5"/>
      <c r="O686" s="5"/>
      <c r="P686" s="5"/>
      <c r="Q686" s="5"/>
      <c r="R686" s="5"/>
      <c r="S686" s="5"/>
      <c r="T686" s="5"/>
      <c r="U686" s="5"/>
      <c r="V686" s="5"/>
      <c r="W686" s="5"/>
    </row>
    <row r="687" spans="1:23" x14ac:dyDescent="0.3">
      <c r="A687" s="5"/>
      <c r="B687" s="5"/>
      <c r="C687" s="5"/>
      <c r="D687" s="5"/>
      <c r="E687" s="5"/>
      <c r="F687" s="5"/>
      <c r="G687" s="5"/>
      <c r="H687" s="5"/>
      <c r="I687" s="5"/>
      <c r="J687" s="5"/>
      <c r="K687" s="5"/>
      <c r="L687" s="5"/>
      <c r="M687" s="5"/>
      <c r="N687" s="5"/>
      <c r="O687" s="5"/>
      <c r="P687" s="5"/>
      <c r="Q687" s="5"/>
      <c r="R687" s="5"/>
      <c r="S687" s="5"/>
      <c r="T687" s="5"/>
      <c r="U687" s="5"/>
      <c r="V687" s="5"/>
      <c r="W687" s="5"/>
    </row>
    <row r="688" spans="1:23" x14ac:dyDescent="0.3">
      <c r="A688" s="5"/>
      <c r="B688" s="5"/>
      <c r="C688" s="5"/>
      <c r="D688" s="5"/>
      <c r="E688" s="5"/>
      <c r="F688" s="5"/>
      <c r="G688" s="5"/>
      <c r="H688" s="5"/>
      <c r="I688" s="5"/>
      <c r="J688" s="5"/>
      <c r="K688" s="5"/>
      <c r="L688" s="5"/>
      <c r="M688" s="5"/>
      <c r="N688" s="5"/>
      <c r="O688" s="5"/>
      <c r="P688" s="5"/>
      <c r="Q688" s="5"/>
      <c r="R688" s="5"/>
      <c r="S688" s="5"/>
      <c r="T688" s="5"/>
      <c r="U688" s="5"/>
      <c r="V688" s="5"/>
      <c r="W688" s="5"/>
    </row>
    <row r="689" spans="1:23" x14ac:dyDescent="0.3">
      <c r="A689" s="5"/>
      <c r="B689" s="5"/>
      <c r="C689" s="5"/>
      <c r="D689" s="5"/>
      <c r="E689" s="5"/>
      <c r="F689" s="5"/>
      <c r="G689" s="5"/>
      <c r="H689" s="5"/>
      <c r="I689" s="5"/>
      <c r="J689" s="5"/>
      <c r="K689" s="5"/>
      <c r="L689" s="5"/>
      <c r="M689" s="5"/>
      <c r="N689" s="5"/>
      <c r="O689" s="5"/>
      <c r="P689" s="5"/>
      <c r="Q689" s="5"/>
      <c r="R689" s="5"/>
      <c r="S689" s="5"/>
      <c r="T689" s="5"/>
      <c r="U689" s="5"/>
      <c r="V689" s="5"/>
      <c r="W689" s="5"/>
    </row>
    <row r="690" spans="1:23" x14ac:dyDescent="0.3">
      <c r="A690" s="5"/>
      <c r="B690" s="5"/>
      <c r="C690" s="5"/>
      <c r="D690" s="5"/>
      <c r="E690" s="5"/>
      <c r="F690" s="5"/>
      <c r="G690" s="5"/>
      <c r="H690" s="5"/>
      <c r="I690" s="5"/>
      <c r="J690" s="5"/>
      <c r="K690" s="5"/>
      <c r="L690" s="5"/>
      <c r="M690" s="5"/>
      <c r="N690" s="5"/>
      <c r="O690" s="5"/>
      <c r="P690" s="5"/>
      <c r="Q690" s="5"/>
      <c r="R690" s="5"/>
      <c r="S690" s="5"/>
      <c r="T690" s="5"/>
      <c r="U690" s="5"/>
      <c r="V690" s="5"/>
      <c r="W690" s="5"/>
    </row>
    <row r="691" spans="1:23" x14ac:dyDescent="0.3">
      <c r="A691" s="5"/>
      <c r="B691" s="5"/>
      <c r="C691" s="5"/>
      <c r="D691" s="5"/>
      <c r="E691" s="5"/>
      <c r="F691" s="5"/>
      <c r="G691" s="5"/>
      <c r="H691" s="5"/>
      <c r="I691" s="5"/>
      <c r="J691" s="5"/>
      <c r="K691" s="5"/>
      <c r="L691" s="5"/>
      <c r="M691" s="5"/>
      <c r="N691" s="5"/>
      <c r="O691" s="5"/>
      <c r="P691" s="5"/>
      <c r="Q691" s="5"/>
      <c r="R691" s="5"/>
      <c r="S691" s="5"/>
      <c r="T691" s="5"/>
      <c r="U691" s="5"/>
      <c r="V691" s="5"/>
      <c r="W691" s="5"/>
    </row>
    <row r="692" spans="1:23" x14ac:dyDescent="0.3">
      <c r="A692" s="5"/>
      <c r="B692" s="5"/>
      <c r="C692" s="5"/>
      <c r="D692" s="5"/>
      <c r="E692" s="5"/>
      <c r="F692" s="5"/>
      <c r="G692" s="5"/>
      <c r="H692" s="5"/>
      <c r="I692" s="5"/>
      <c r="J692" s="5"/>
      <c r="K692" s="5"/>
      <c r="L692" s="5"/>
      <c r="M692" s="5"/>
      <c r="N692" s="5"/>
      <c r="O692" s="5"/>
      <c r="P692" s="5"/>
      <c r="Q692" s="5"/>
      <c r="R692" s="5"/>
      <c r="S692" s="5"/>
      <c r="T692" s="5"/>
      <c r="U692" s="5"/>
      <c r="V692" s="5"/>
      <c r="W692" s="5"/>
    </row>
    <row r="693" spans="1:23" x14ac:dyDescent="0.3">
      <c r="A693" s="5"/>
      <c r="B693" s="5"/>
      <c r="C693" s="5"/>
      <c r="D693" s="5"/>
      <c r="E693" s="5"/>
      <c r="F693" s="5"/>
      <c r="G693" s="5"/>
      <c r="H693" s="5"/>
      <c r="I693" s="5"/>
      <c r="J693" s="5"/>
      <c r="K693" s="5"/>
      <c r="L693" s="5"/>
      <c r="M693" s="5"/>
      <c r="N693" s="5"/>
      <c r="O693" s="5"/>
      <c r="P693" s="5"/>
      <c r="Q693" s="5"/>
      <c r="R693" s="5"/>
      <c r="S693" s="5"/>
      <c r="T693" s="5"/>
      <c r="U693" s="5"/>
      <c r="V693" s="5"/>
      <c r="W693" s="5"/>
    </row>
    <row r="694" spans="1:23" x14ac:dyDescent="0.3">
      <c r="A694" s="5"/>
      <c r="B694" s="5"/>
      <c r="C694" s="5"/>
      <c r="D694" s="5"/>
      <c r="E694" s="5"/>
      <c r="F694" s="5"/>
      <c r="G694" s="5"/>
      <c r="H694" s="5"/>
      <c r="I694" s="5"/>
      <c r="J694" s="5"/>
      <c r="K694" s="5"/>
      <c r="L694" s="5"/>
      <c r="M694" s="5"/>
      <c r="N694" s="5"/>
      <c r="O694" s="5"/>
      <c r="P694" s="5"/>
      <c r="Q694" s="5"/>
      <c r="R694" s="5"/>
      <c r="S694" s="5"/>
      <c r="T694" s="5"/>
      <c r="U694" s="5"/>
      <c r="V694" s="5"/>
      <c r="W694" s="5"/>
    </row>
    <row r="695" spans="1:23" x14ac:dyDescent="0.3">
      <c r="A695" s="5"/>
      <c r="B695" s="5"/>
      <c r="C695" s="5"/>
      <c r="D695" s="5"/>
      <c r="E695" s="5"/>
      <c r="F695" s="5"/>
      <c r="G695" s="5"/>
      <c r="H695" s="5"/>
      <c r="I695" s="5"/>
      <c r="J695" s="5"/>
      <c r="K695" s="5"/>
      <c r="L695" s="5"/>
      <c r="M695" s="5"/>
      <c r="N695" s="5"/>
      <c r="O695" s="5"/>
      <c r="P695" s="5"/>
      <c r="Q695" s="5"/>
      <c r="R695" s="5"/>
      <c r="S695" s="5"/>
      <c r="T695" s="5"/>
      <c r="U695" s="5"/>
      <c r="V695" s="5"/>
      <c r="W695" s="5"/>
    </row>
    <row r="696" spans="1:23" x14ac:dyDescent="0.3">
      <c r="A696" s="5"/>
      <c r="B696" s="5"/>
      <c r="C696" s="5"/>
      <c r="D696" s="5"/>
      <c r="E696" s="5"/>
      <c r="F696" s="5"/>
      <c r="G696" s="5"/>
      <c r="H696" s="5"/>
      <c r="I696" s="5"/>
      <c r="J696" s="5"/>
      <c r="K696" s="5"/>
      <c r="L696" s="5"/>
      <c r="M696" s="5"/>
      <c r="N696" s="5"/>
      <c r="O696" s="5"/>
      <c r="P696" s="5"/>
      <c r="Q696" s="5"/>
      <c r="R696" s="5"/>
      <c r="S696" s="5"/>
      <c r="T696" s="5"/>
      <c r="U696" s="5"/>
      <c r="V696" s="5"/>
      <c r="W696" s="5"/>
    </row>
    <row r="697" spans="1:23" x14ac:dyDescent="0.3">
      <c r="A697" s="5"/>
      <c r="B697" s="5"/>
      <c r="C697" s="5"/>
      <c r="D697" s="5"/>
      <c r="E697" s="5"/>
      <c r="F697" s="5"/>
      <c r="G697" s="5"/>
      <c r="H697" s="5"/>
      <c r="I697" s="5"/>
      <c r="J697" s="5"/>
      <c r="K697" s="5"/>
      <c r="L697" s="5"/>
      <c r="M697" s="5"/>
      <c r="N697" s="5"/>
      <c r="O697" s="5"/>
      <c r="P697" s="5"/>
      <c r="Q697" s="5"/>
      <c r="R697" s="5"/>
      <c r="S697" s="5"/>
      <c r="T697" s="5"/>
      <c r="U697" s="5"/>
      <c r="V697" s="5"/>
      <c r="W697" s="5"/>
    </row>
    <row r="698" spans="1:23" x14ac:dyDescent="0.3">
      <c r="A698" s="5"/>
      <c r="B698" s="5"/>
      <c r="C698" s="5"/>
      <c r="D698" s="5"/>
      <c r="E698" s="5"/>
      <c r="F698" s="5"/>
      <c r="G698" s="5"/>
      <c r="H698" s="5"/>
      <c r="I698" s="5"/>
      <c r="J698" s="5"/>
      <c r="K698" s="5"/>
      <c r="L698" s="5"/>
      <c r="M698" s="5"/>
      <c r="N698" s="5"/>
      <c r="O698" s="5"/>
      <c r="P698" s="5"/>
      <c r="Q698" s="5"/>
      <c r="R698" s="5"/>
      <c r="S698" s="5"/>
      <c r="T698" s="5"/>
      <c r="U698" s="5"/>
      <c r="V698" s="5"/>
      <c r="W698" s="5"/>
    </row>
    <row r="699" spans="1:23" x14ac:dyDescent="0.3">
      <c r="A699" s="5"/>
      <c r="B699" s="5"/>
      <c r="C699" s="5"/>
      <c r="D699" s="5"/>
      <c r="E699" s="5"/>
      <c r="F699" s="5"/>
      <c r="G699" s="5"/>
      <c r="H699" s="5"/>
      <c r="I699" s="5"/>
      <c r="J699" s="5"/>
      <c r="K699" s="5"/>
      <c r="L699" s="5"/>
      <c r="M699" s="5"/>
      <c r="N699" s="5"/>
      <c r="O699" s="5"/>
      <c r="P699" s="5"/>
      <c r="Q699" s="5"/>
      <c r="R699" s="5"/>
      <c r="S699" s="5"/>
      <c r="T699" s="5"/>
      <c r="U699" s="5"/>
      <c r="V699" s="5"/>
      <c r="W699" s="5"/>
    </row>
    <row r="700" spans="1:23" x14ac:dyDescent="0.3">
      <c r="A700" s="5"/>
      <c r="B700" s="5"/>
      <c r="C700" s="5"/>
      <c r="D700" s="5"/>
      <c r="E700" s="5"/>
      <c r="F700" s="5"/>
      <c r="G700" s="5"/>
      <c r="H700" s="5"/>
      <c r="I700" s="5"/>
      <c r="J700" s="5"/>
      <c r="K700" s="5"/>
      <c r="L700" s="5"/>
      <c r="M700" s="5"/>
      <c r="N700" s="5"/>
      <c r="O700" s="5"/>
      <c r="P700" s="5"/>
      <c r="Q700" s="5"/>
      <c r="R700" s="5"/>
      <c r="S700" s="5"/>
      <c r="T700" s="5"/>
      <c r="U700" s="5"/>
      <c r="V700" s="5"/>
      <c r="W700" s="5"/>
    </row>
    <row r="701" spans="1:23" x14ac:dyDescent="0.3">
      <c r="A701" s="5"/>
      <c r="B701" s="5"/>
      <c r="C701" s="5"/>
      <c r="D701" s="5"/>
      <c r="E701" s="5"/>
      <c r="F701" s="5"/>
      <c r="G701" s="5"/>
      <c r="H701" s="5"/>
      <c r="I701" s="5"/>
      <c r="J701" s="5"/>
      <c r="K701" s="5"/>
      <c r="L701" s="5"/>
      <c r="M701" s="5"/>
      <c r="N701" s="5"/>
      <c r="O701" s="5"/>
      <c r="P701" s="5"/>
      <c r="Q701" s="5"/>
      <c r="R701" s="5"/>
      <c r="S701" s="5"/>
      <c r="T701" s="5"/>
      <c r="U701" s="5"/>
      <c r="V701" s="5"/>
      <c r="W701" s="5"/>
    </row>
    <row r="702" spans="1:23" x14ac:dyDescent="0.3">
      <c r="A702" s="5"/>
      <c r="B702" s="5"/>
      <c r="C702" s="5"/>
      <c r="D702" s="5"/>
      <c r="E702" s="5"/>
      <c r="F702" s="5"/>
      <c r="G702" s="5"/>
      <c r="H702" s="5"/>
      <c r="I702" s="5"/>
      <c r="J702" s="5"/>
      <c r="K702" s="5"/>
      <c r="L702" s="5"/>
      <c r="M702" s="5"/>
      <c r="N702" s="5"/>
      <c r="O702" s="5"/>
      <c r="P702" s="5"/>
      <c r="Q702" s="5"/>
      <c r="R702" s="5"/>
      <c r="S702" s="5"/>
      <c r="T702" s="5"/>
      <c r="U702" s="5"/>
      <c r="V702" s="5"/>
      <c r="W702" s="5"/>
    </row>
    <row r="703" spans="1:23" x14ac:dyDescent="0.3">
      <c r="A703" s="5"/>
      <c r="B703" s="5"/>
      <c r="C703" s="5"/>
      <c r="D703" s="5"/>
      <c r="E703" s="5"/>
      <c r="F703" s="5"/>
      <c r="G703" s="5"/>
      <c r="H703" s="5"/>
      <c r="I703" s="5"/>
      <c r="J703" s="5"/>
      <c r="K703" s="5"/>
      <c r="L703" s="5"/>
      <c r="M703" s="5"/>
      <c r="N703" s="5"/>
      <c r="O703" s="5"/>
      <c r="P703" s="5"/>
      <c r="Q703" s="5"/>
      <c r="R703" s="5"/>
      <c r="S703" s="5"/>
      <c r="T703" s="5"/>
      <c r="U703" s="5"/>
      <c r="V703" s="5"/>
      <c r="W703" s="5"/>
    </row>
    <row r="704" spans="1:23" x14ac:dyDescent="0.3">
      <c r="A704" s="5"/>
      <c r="B704" s="5"/>
      <c r="C704" s="5"/>
      <c r="D704" s="5"/>
      <c r="E704" s="5"/>
      <c r="F704" s="5"/>
      <c r="G704" s="5"/>
      <c r="H704" s="5"/>
      <c r="I704" s="5"/>
      <c r="J704" s="5"/>
      <c r="K704" s="5"/>
      <c r="L704" s="5"/>
      <c r="M704" s="5"/>
      <c r="N704" s="5"/>
      <c r="O704" s="5"/>
      <c r="P704" s="5"/>
      <c r="Q704" s="5"/>
      <c r="R704" s="5"/>
      <c r="S704" s="5"/>
      <c r="T704" s="5"/>
      <c r="U704" s="5"/>
      <c r="V704" s="5"/>
      <c r="W704" s="5"/>
    </row>
    <row r="705" spans="1:23" x14ac:dyDescent="0.3">
      <c r="A705" s="5"/>
      <c r="B705" s="5"/>
      <c r="C705" s="5"/>
      <c r="D705" s="5"/>
      <c r="E705" s="5"/>
      <c r="F705" s="5"/>
      <c r="G705" s="5"/>
      <c r="H705" s="5"/>
      <c r="I705" s="5"/>
      <c r="J705" s="5"/>
      <c r="K705" s="5"/>
      <c r="L705" s="5"/>
      <c r="M705" s="5"/>
      <c r="N705" s="5"/>
      <c r="O705" s="5"/>
      <c r="P705" s="5"/>
      <c r="Q705" s="5"/>
      <c r="R705" s="5"/>
      <c r="S705" s="5"/>
      <c r="T705" s="5"/>
      <c r="U705" s="5"/>
      <c r="V705" s="5"/>
      <c r="W705" s="5"/>
    </row>
    <row r="706" spans="1:23" x14ac:dyDescent="0.3">
      <c r="A706" s="5"/>
      <c r="B706" s="5"/>
      <c r="C706" s="5"/>
      <c r="D706" s="5"/>
      <c r="E706" s="5"/>
      <c r="F706" s="5"/>
      <c r="G706" s="5"/>
      <c r="H706" s="5"/>
      <c r="I706" s="5"/>
      <c r="J706" s="5"/>
      <c r="K706" s="5"/>
      <c r="L706" s="5"/>
      <c r="M706" s="5"/>
      <c r="N706" s="5"/>
      <c r="O706" s="5"/>
      <c r="P706" s="5"/>
      <c r="Q706" s="5"/>
      <c r="R706" s="5"/>
      <c r="S706" s="5"/>
      <c r="T706" s="5"/>
      <c r="U706" s="5"/>
      <c r="V706" s="5"/>
      <c r="W706" s="5"/>
    </row>
    <row r="707" spans="1:23" x14ac:dyDescent="0.3">
      <c r="A707" s="5"/>
      <c r="B707" s="5"/>
      <c r="C707" s="5"/>
      <c r="D707" s="5"/>
      <c r="E707" s="5"/>
      <c r="F707" s="5"/>
      <c r="G707" s="5"/>
      <c r="H707" s="5"/>
      <c r="I707" s="5"/>
      <c r="J707" s="5"/>
      <c r="K707" s="5"/>
      <c r="L707" s="5"/>
      <c r="M707" s="5"/>
      <c r="N707" s="5"/>
      <c r="O707" s="5"/>
      <c r="P707" s="5"/>
      <c r="Q707" s="5"/>
      <c r="R707" s="5"/>
      <c r="S707" s="5"/>
      <c r="T707" s="5"/>
      <c r="U707" s="5"/>
      <c r="V707" s="5"/>
      <c r="W707" s="5"/>
    </row>
    <row r="708" spans="1:23" x14ac:dyDescent="0.3">
      <c r="A708" s="5"/>
      <c r="B708" s="5"/>
      <c r="C708" s="5"/>
      <c r="D708" s="5"/>
      <c r="E708" s="5"/>
      <c r="F708" s="5"/>
      <c r="G708" s="5"/>
      <c r="H708" s="5"/>
      <c r="I708" s="5"/>
      <c r="J708" s="5"/>
      <c r="K708" s="5"/>
      <c r="L708" s="5"/>
      <c r="M708" s="5"/>
      <c r="N708" s="5"/>
      <c r="O708" s="5"/>
      <c r="P708" s="5"/>
      <c r="Q708" s="5"/>
      <c r="R708" s="5"/>
      <c r="S708" s="5"/>
      <c r="T708" s="5"/>
      <c r="U708" s="5"/>
      <c r="V708" s="5"/>
      <c r="W708" s="5"/>
    </row>
    <row r="709" spans="1:23" x14ac:dyDescent="0.3">
      <c r="A709" s="5"/>
      <c r="B709" s="5"/>
      <c r="C709" s="5"/>
      <c r="D709" s="5"/>
      <c r="E709" s="5"/>
      <c r="F709" s="5"/>
      <c r="G709" s="5"/>
      <c r="H709" s="5"/>
      <c r="I709" s="5"/>
      <c r="J709" s="5"/>
      <c r="K709" s="5"/>
      <c r="L709" s="5"/>
      <c r="M709" s="5"/>
      <c r="N709" s="5"/>
      <c r="O709" s="5"/>
      <c r="P709" s="5"/>
      <c r="Q709" s="5"/>
      <c r="R709" s="5"/>
      <c r="S709" s="5"/>
      <c r="T709" s="5"/>
      <c r="U709" s="5"/>
      <c r="V709" s="5"/>
      <c r="W709" s="5"/>
    </row>
    <row r="710" spans="1:23" x14ac:dyDescent="0.3">
      <c r="A710" s="5"/>
      <c r="B710" s="5"/>
      <c r="C710" s="5"/>
      <c r="D710" s="5"/>
      <c r="E710" s="5"/>
      <c r="F710" s="5"/>
      <c r="G710" s="5"/>
      <c r="H710" s="5"/>
      <c r="I710" s="5"/>
      <c r="J710" s="5"/>
      <c r="K710" s="5"/>
      <c r="L710" s="5"/>
      <c r="M710" s="5"/>
      <c r="N710" s="5"/>
      <c r="O710" s="5"/>
      <c r="P710" s="5"/>
      <c r="Q710" s="5"/>
      <c r="R710" s="5"/>
      <c r="S710" s="5"/>
      <c r="T710" s="5"/>
      <c r="U710" s="5"/>
      <c r="V710" s="5"/>
      <c r="W710" s="5"/>
    </row>
    <row r="711" spans="1:23" x14ac:dyDescent="0.3">
      <c r="A711" s="5"/>
      <c r="B711" s="5"/>
      <c r="C711" s="5"/>
      <c r="D711" s="5"/>
      <c r="E711" s="5"/>
      <c r="F711" s="5"/>
      <c r="G711" s="5"/>
      <c r="H711" s="5"/>
      <c r="I711" s="5"/>
      <c r="J711" s="5"/>
      <c r="K711" s="5"/>
      <c r="L711" s="5"/>
      <c r="M711" s="5"/>
      <c r="N711" s="5"/>
      <c r="O711" s="5"/>
      <c r="P711" s="5"/>
      <c r="Q711" s="5"/>
      <c r="R711" s="5"/>
      <c r="S711" s="5"/>
      <c r="T711" s="5"/>
      <c r="U711" s="5"/>
      <c r="V711" s="5"/>
      <c r="W711" s="5"/>
    </row>
    <row r="712" spans="1:23" x14ac:dyDescent="0.3">
      <c r="A712" s="5"/>
      <c r="B712" s="5"/>
      <c r="C712" s="5"/>
      <c r="D712" s="5"/>
      <c r="E712" s="5"/>
      <c r="F712" s="5"/>
      <c r="G712" s="5"/>
      <c r="H712" s="5"/>
      <c r="I712" s="5"/>
      <c r="J712" s="5"/>
      <c r="K712" s="5"/>
      <c r="L712" s="5"/>
      <c r="M712" s="5"/>
      <c r="N712" s="5"/>
      <c r="O712" s="5"/>
      <c r="P712" s="5"/>
      <c r="Q712" s="5"/>
      <c r="R712" s="5"/>
      <c r="S712" s="5"/>
      <c r="T712" s="5"/>
      <c r="U712" s="5"/>
      <c r="V712" s="5"/>
      <c r="W712" s="5"/>
    </row>
    <row r="713" spans="1:23" x14ac:dyDescent="0.3">
      <c r="A713" s="5"/>
      <c r="B713" s="5"/>
      <c r="C713" s="5"/>
      <c r="D713" s="5"/>
      <c r="E713" s="5"/>
      <c r="F713" s="5"/>
      <c r="G713" s="5"/>
      <c r="H713" s="5"/>
      <c r="I713" s="5"/>
      <c r="J713" s="5"/>
      <c r="K713" s="5"/>
      <c r="L713" s="5"/>
      <c r="M713" s="5"/>
      <c r="N713" s="5"/>
      <c r="O713" s="5"/>
      <c r="P713" s="5"/>
      <c r="Q713" s="5"/>
      <c r="R713" s="5"/>
      <c r="S713" s="5"/>
      <c r="T713" s="5"/>
      <c r="U713" s="5"/>
      <c r="V713" s="5"/>
      <c r="W713" s="5"/>
    </row>
    <row r="714" spans="1:23" x14ac:dyDescent="0.3">
      <c r="A714" s="5"/>
      <c r="B714" s="5"/>
      <c r="C714" s="5"/>
      <c r="D714" s="5"/>
      <c r="E714" s="5"/>
      <c r="F714" s="5"/>
      <c r="G714" s="5"/>
      <c r="H714" s="5"/>
      <c r="I714" s="5"/>
      <c r="J714" s="5"/>
      <c r="K714" s="5"/>
      <c r="L714" s="5"/>
      <c r="M714" s="5"/>
      <c r="N714" s="5"/>
      <c r="O714" s="5"/>
      <c r="P714" s="5"/>
      <c r="Q714" s="5"/>
      <c r="R714" s="5"/>
      <c r="S714" s="5"/>
      <c r="T714" s="5"/>
      <c r="U714" s="5"/>
      <c r="V714" s="5"/>
      <c r="W714" s="5"/>
    </row>
    <row r="715" spans="1:23" x14ac:dyDescent="0.3">
      <c r="A715" s="5"/>
      <c r="B715" s="5"/>
      <c r="C715" s="5"/>
      <c r="D715" s="5"/>
      <c r="E715" s="5"/>
      <c r="F715" s="5"/>
      <c r="G715" s="5"/>
      <c r="H715" s="5"/>
      <c r="I715" s="5"/>
      <c r="J715" s="5"/>
      <c r="K715" s="5"/>
      <c r="L715" s="5"/>
      <c r="M715" s="5"/>
      <c r="N715" s="5"/>
      <c r="O715" s="5"/>
      <c r="P715" s="5"/>
      <c r="Q715" s="5"/>
      <c r="R715" s="5"/>
      <c r="S715" s="5"/>
      <c r="T715" s="5"/>
      <c r="U715" s="5"/>
      <c r="V715" s="5"/>
      <c r="W715" s="5"/>
    </row>
    <row r="716" spans="1:23" x14ac:dyDescent="0.3">
      <c r="A716" s="5"/>
      <c r="B716" s="5"/>
      <c r="C716" s="5"/>
      <c r="D716" s="5"/>
      <c r="E716" s="5"/>
      <c r="F716" s="5"/>
      <c r="G716" s="5"/>
      <c r="H716" s="5"/>
      <c r="I716" s="5"/>
      <c r="J716" s="5"/>
      <c r="K716" s="5"/>
      <c r="L716" s="5"/>
      <c r="M716" s="5"/>
      <c r="N716" s="5"/>
      <c r="O716" s="5"/>
      <c r="P716" s="5"/>
      <c r="Q716" s="5"/>
      <c r="R716" s="5"/>
      <c r="S716" s="5"/>
      <c r="T716" s="5"/>
      <c r="U716" s="5"/>
      <c r="V716" s="5"/>
      <c r="W716" s="5"/>
    </row>
    <row r="717" spans="1:23" x14ac:dyDescent="0.3">
      <c r="A717" s="5"/>
      <c r="B717" s="5"/>
      <c r="C717" s="5"/>
      <c r="D717" s="5"/>
      <c r="E717" s="5"/>
      <c r="F717" s="5"/>
      <c r="G717" s="5"/>
      <c r="H717" s="5"/>
      <c r="I717" s="5"/>
      <c r="J717" s="5"/>
      <c r="K717" s="5"/>
      <c r="L717" s="5"/>
      <c r="M717" s="5"/>
      <c r="N717" s="5"/>
      <c r="O717" s="5"/>
      <c r="P717" s="5"/>
      <c r="Q717" s="5"/>
      <c r="R717" s="5"/>
      <c r="S717" s="5"/>
      <c r="T717" s="5"/>
      <c r="U717" s="5"/>
      <c r="V717" s="5"/>
      <c r="W717" s="5"/>
    </row>
    <row r="718" spans="1:23" x14ac:dyDescent="0.3">
      <c r="A718" s="5"/>
      <c r="B718" s="5"/>
      <c r="C718" s="5"/>
      <c r="D718" s="5"/>
      <c r="E718" s="5"/>
      <c r="F718" s="5"/>
      <c r="G718" s="5"/>
      <c r="H718" s="5"/>
      <c r="I718" s="5"/>
      <c r="J718" s="5"/>
      <c r="K718" s="5"/>
      <c r="L718" s="5"/>
      <c r="M718" s="5"/>
      <c r="N718" s="5"/>
      <c r="O718" s="5"/>
      <c r="P718" s="5"/>
      <c r="Q718" s="5"/>
      <c r="R718" s="5"/>
      <c r="S718" s="5"/>
      <c r="T718" s="5"/>
      <c r="U718" s="5"/>
      <c r="V718" s="5"/>
      <c r="W718" s="5"/>
    </row>
    <row r="719" spans="1:23" x14ac:dyDescent="0.3">
      <c r="A719" s="5"/>
      <c r="B719" s="5"/>
      <c r="C719" s="5"/>
      <c r="D719" s="5"/>
      <c r="E719" s="5"/>
      <c r="F719" s="5"/>
      <c r="G719" s="5"/>
      <c r="H719" s="5"/>
      <c r="I719" s="5"/>
      <c r="J719" s="5"/>
      <c r="K719" s="5"/>
      <c r="L719" s="5"/>
      <c r="M719" s="5"/>
      <c r="N719" s="5"/>
      <c r="O719" s="5"/>
      <c r="P719" s="5"/>
      <c r="Q719" s="5"/>
      <c r="R719" s="5"/>
      <c r="S719" s="5"/>
      <c r="T719" s="5"/>
      <c r="U719" s="5"/>
      <c r="V719" s="5"/>
      <c r="W719" s="5"/>
    </row>
    <row r="720" spans="1:23" x14ac:dyDescent="0.3">
      <c r="A720" s="5"/>
      <c r="B720" s="5"/>
      <c r="C720" s="5"/>
      <c r="D720" s="5"/>
      <c r="E720" s="5"/>
      <c r="F720" s="5"/>
      <c r="G720" s="5"/>
      <c r="H720" s="5"/>
      <c r="I720" s="5"/>
      <c r="J720" s="5"/>
      <c r="K720" s="5"/>
      <c r="L720" s="5"/>
      <c r="M720" s="5"/>
      <c r="N720" s="5"/>
      <c r="O720" s="5"/>
      <c r="P720" s="5"/>
      <c r="Q720" s="5"/>
      <c r="R720" s="5"/>
      <c r="S720" s="5"/>
      <c r="T720" s="5"/>
      <c r="U720" s="5"/>
      <c r="V720" s="5"/>
      <c r="W720" s="5"/>
    </row>
    <row r="721" spans="1:23" x14ac:dyDescent="0.3">
      <c r="A721" s="5"/>
      <c r="B721" s="5"/>
      <c r="C721" s="5"/>
      <c r="D721" s="5"/>
      <c r="E721" s="5"/>
      <c r="F721" s="5"/>
      <c r="G721" s="5"/>
      <c r="H721" s="5"/>
      <c r="I721" s="5"/>
      <c r="J721" s="5"/>
      <c r="K721" s="5"/>
      <c r="L721" s="5"/>
      <c r="M721" s="5"/>
      <c r="N721" s="5"/>
      <c r="O721" s="5"/>
      <c r="P721" s="5"/>
      <c r="Q721" s="5"/>
      <c r="R721" s="5"/>
      <c r="S721" s="5"/>
      <c r="T721" s="5"/>
      <c r="U721" s="5"/>
      <c r="V721" s="5"/>
      <c r="W721" s="5"/>
    </row>
    <row r="722" spans="1:23" x14ac:dyDescent="0.3">
      <c r="A722" s="5"/>
      <c r="B722" s="5"/>
      <c r="C722" s="5"/>
      <c r="D722" s="5"/>
      <c r="E722" s="5"/>
      <c r="F722" s="5"/>
      <c r="G722" s="5"/>
      <c r="H722" s="5"/>
      <c r="I722" s="5"/>
      <c r="J722" s="5"/>
      <c r="K722" s="5"/>
      <c r="L722" s="5"/>
      <c r="M722" s="5"/>
      <c r="N722" s="5"/>
      <c r="O722" s="5"/>
      <c r="P722" s="5"/>
      <c r="Q722" s="5"/>
      <c r="R722" s="5"/>
      <c r="S722" s="5"/>
      <c r="T722" s="5"/>
      <c r="U722" s="5"/>
      <c r="V722" s="5"/>
      <c r="W722" s="5"/>
    </row>
    <row r="723" spans="1:23" x14ac:dyDescent="0.3">
      <c r="A723" s="5"/>
      <c r="B723" s="5"/>
      <c r="C723" s="5"/>
      <c r="D723" s="5"/>
      <c r="E723" s="5"/>
      <c r="F723" s="5"/>
      <c r="G723" s="5"/>
      <c r="H723" s="5"/>
      <c r="I723" s="5"/>
      <c r="J723" s="5"/>
      <c r="K723" s="5"/>
      <c r="L723" s="5"/>
      <c r="M723" s="5"/>
      <c r="N723" s="5"/>
      <c r="O723" s="5"/>
      <c r="P723" s="5"/>
      <c r="Q723" s="5"/>
      <c r="R723" s="5"/>
      <c r="S723" s="5"/>
      <c r="T723" s="5"/>
      <c r="U723" s="5"/>
      <c r="V723" s="5"/>
      <c r="W723" s="5"/>
    </row>
    <row r="724" spans="1:23" x14ac:dyDescent="0.3">
      <c r="A724" s="5"/>
      <c r="B724" s="5"/>
      <c r="C724" s="5"/>
      <c r="D724" s="5"/>
      <c r="E724" s="5"/>
      <c r="F724" s="5"/>
      <c r="G724" s="5"/>
      <c r="H724" s="5"/>
      <c r="I724" s="5"/>
      <c r="J724" s="5"/>
      <c r="K724" s="5"/>
      <c r="L724" s="5"/>
      <c r="M724" s="5"/>
      <c r="N724" s="5"/>
      <c r="O724" s="5"/>
      <c r="P724" s="5"/>
      <c r="Q724" s="5"/>
      <c r="R724" s="5"/>
      <c r="S724" s="5"/>
      <c r="T724" s="5"/>
      <c r="U724" s="5"/>
      <c r="V724" s="5"/>
      <c r="W724" s="5"/>
    </row>
    <row r="725" spans="1:23" x14ac:dyDescent="0.3">
      <c r="A725" s="5"/>
      <c r="B725" s="5"/>
      <c r="C725" s="5"/>
      <c r="D725" s="5"/>
      <c r="E725" s="5"/>
      <c r="F725" s="5"/>
      <c r="G725" s="5"/>
      <c r="H725" s="5"/>
      <c r="I725" s="5"/>
      <c r="J725" s="5"/>
      <c r="K725" s="5"/>
      <c r="L725" s="5"/>
      <c r="M725" s="5"/>
      <c r="N725" s="5"/>
      <c r="O725" s="5"/>
      <c r="P725" s="5"/>
      <c r="Q725" s="5"/>
      <c r="R725" s="5"/>
      <c r="S725" s="5"/>
      <c r="T725" s="5"/>
      <c r="U725" s="5"/>
      <c r="V725" s="5"/>
      <c r="W725" s="5"/>
    </row>
    <row r="726" spans="1:23" x14ac:dyDescent="0.3">
      <c r="A726" s="5"/>
      <c r="B726" s="5"/>
      <c r="C726" s="5"/>
      <c r="D726" s="5"/>
      <c r="E726" s="5"/>
      <c r="F726" s="5"/>
      <c r="G726" s="5"/>
      <c r="H726" s="5"/>
      <c r="I726" s="5"/>
      <c r="J726" s="5"/>
      <c r="K726" s="5"/>
      <c r="L726" s="5"/>
      <c r="M726" s="5"/>
      <c r="N726" s="5"/>
      <c r="O726" s="5"/>
      <c r="P726" s="5"/>
      <c r="Q726" s="5"/>
      <c r="R726" s="5"/>
      <c r="S726" s="5"/>
      <c r="T726" s="5"/>
      <c r="U726" s="5"/>
      <c r="V726" s="5"/>
      <c r="W726" s="5"/>
    </row>
    <row r="727" spans="1:23" x14ac:dyDescent="0.3">
      <c r="A727" s="5"/>
      <c r="B727" s="5"/>
      <c r="C727" s="5"/>
      <c r="D727" s="5"/>
      <c r="E727" s="5"/>
      <c r="F727" s="5"/>
      <c r="G727" s="5"/>
      <c r="H727" s="5"/>
      <c r="I727" s="5"/>
      <c r="J727" s="5"/>
      <c r="K727" s="5"/>
      <c r="L727" s="5"/>
      <c r="M727" s="5"/>
      <c r="N727" s="5"/>
      <c r="O727" s="5"/>
      <c r="P727" s="5"/>
      <c r="Q727" s="5"/>
      <c r="R727" s="5"/>
      <c r="S727" s="5"/>
      <c r="T727" s="5"/>
      <c r="U727" s="5"/>
      <c r="V727" s="5"/>
      <c r="W727" s="5"/>
    </row>
    <row r="728" spans="1:23" x14ac:dyDescent="0.3">
      <c r="A728" s="5"/>
      <c r="B728" s="5"/>
      <c r="C728" s="5"/>
      <c r="D728" s="5"/>
      <c r="E728" s="5"/>
      <c r="F728" s="5"/>
      <c r="G728" s="5"/>
      <c r="H728" s="5"/>
      <c r="I728" s="5"/>
      <c r="J728" s="5"/>
      <c r="K728" s="5"/>
      <c r="L728" s="5"/>
      <c r="M728" s="5"/>
      <c r="N728" s="5"/>
      <c r="O728" s="5"/>
      <c r="P728" s="5"/>
      <c r="Q728" s="5"/>
      <c r="R728" s="5"/>
      <c r="S728" s="5"/>
      <c r="T728" s="5"/>
      <c r="U728" s="5"/>
      <c r="V728" s="5"/>
      <c r="W728" s="5"/>
    </row>
    <row r="729" spans="1:23" x14ac:dyDescent="0.3">
      <c r="A729" s="5"/>
      <c r="B729" s="5"/>
      <c r="C729" s="5"/>
      <c r="D729" s="5"/>
      <c r="E729" s="5"/>
      <c r="F729" s="5"/>
      <c r="G729" s="5"/>
      <c r="H729" s="5"/>
      <c r="I729" s="5"/>
      <c r="J729" s="5"/>
      <c r="K729" s="5"/>
      <c r="L729" s="5"/>
      <c r="M729" s="5"/>
      <c r="N729" s="5"/>
      <c r="O729" s="5"/>
      <c r="P729" s="5"/>
      <c r="Q729" s="5"/>
      <c r="R729" s="5"/>
      <c r="S729" s="5"/>
      <c r="T729" s="5"/>
      <c r="U729" s="5"/>
      <c r="V729" s="5"/>
      <c r="W729" s="5"/>
    </row>
    <row r="730" spans="1:23" x14ac:dyDescent="0.3">
      <c r="A730" s="5"/>
      <c r="B730" s="5"/>
      <c r="C730" s="5"/>
      <c r="D730" s="5"/>
      <c r="E730" s="5"/>
      <c r="F730" s="5"/>
      <c r="G730" s="5"/>
      <c r="H730" s="5"/>
      <c r="I730" s="5"/>
      <c r="J730" s="5"/>
      <c r="K730" s="5"/>
      <c r="L730" s="5"/>
      <c r="M730" s="5"/>
      <c r="N730" s="5"/>
      <c r="O730" s="5"/>
      <c r="P730" s="5"/>
      <c r="Q730" s="5"/>
      <c r="R730" s="5"/>
      <c r="S730" s="5"/>
      <c r="T730" s="5"/>
      <c r="U730" s="5"/>
      <c r="V730" s="5"/>
      <c r="W730" s="5"/>
    </row>
    <row r="731" spans="1:23" x14ac:dyDescent="0.3">
      <c r="A731" s="5"/>
      <c r="B731" s="5"/>
      <c r="C731" s="5"/>
      <c r="D731" s="5"/>
      <c r="E731" s="5"/>
      <c r="F731" s="5"/>
      <c r="G731" s="5"/>
      <c r="H731" s="5"/>
      <c r="I731" s="5"/>
      <c r="J731" s="5"/>
      <c r="K731" s="5"/>
      <c r="L731" s="5"/>
      <c r="M731" s="5"/>
      <c r="N731" s="5"/>
      <c r="O731" s="5"/>
      <c r="P731" s="5"/>
      <c r="Q731" s="5"/>
      <c r="R731" s="5"/>
      <c r="S731" s="5"/>
      <c r="T731" s="5"/>
      <c r="U731" s="5"/>
      <c r="V731" s="5"/>
      <c r="W731" s="5"/>
    </row>
    <row r="732" spans="1:23" x14ac:dyDescent="0.3">
      <c r="A732" s="5"/>
      <c r="B732" s="5"/>
      <c r="C732" s="5"/>
      <c r="D732" s="5"/>
      <c r="E732" s="5"/>
      <c r="F732" s="5"/>
      <c r="G732" s="5"/>
      <c r="H732" s="5"/>
      <c r="I732" s="5"/>
      <c r="J732" s="5"/>
      <c r="K732" s="5"/>
      <c r="L732" s="5"/>
      <c r="M732" s="5"/>
      <c r="N732" s="5"/>
      <c r="O732" s="5"/>
      <c r="P732" s="5"/>
      <c r="Q732" s="5"/>
      <c r="R732" s="5"/>
      <c r="S732" s="5"/>
      <c r="T732" s="5"/>
      <c r="U732" s="5"/>
      <c r="V732" s="5"/>
      <c r="W732" s="5"/>
    </row>
    <row r="733" spans="1:23" x14ac:dyDescent="0.3">
      <c r="A733" s="5"/>
      <c r="B733" s="5"/>
      <c r="C733" s="5"/>
      <c r="D733" s="5"/>
      <c r="E733" s="5"/>
      <c r="F733" s="5"/>
      <c r="G733" s="5"/>
      <c r="H733" s="5"/>
      <c r="I733" s="5"/>
      <c r="J733" s="5"/>
      <c r="K733" s="5"/>
      <c r="L733" s="5"/>
      <c r="M733" s="5"/>
      <c r="N733" s="5"/>
      <c r="O733" s="5"/>
      <c r="P733" s="5"/>
      <c r="Q733" s="5"/>
      <c r="R733" s="5"/>
      <c r="S733" s="5"/>
      <c r="T733" s="5"/>
      <c r="U733" s="5"/>
      <c r="V733" s="5"/>
      <c r="W733" s="5"/>
    </row>
    <row r="734" spans="1:23" x14ac:dyDescent="0.3">
      <c r="A734" s="5"/>
      <c r="B734" s="5"/>
      <c r="C734" s="5"/>
      <c r="D734" s="5"/>
      <c r="E734" s="5"/>
      <c r="F734" s="5"/>
      <c r="G734" s="5"/>
      <c r="H734" s="5"/>
      <c r="I734" s="5"/>
      <c r="J734" s="5"/>
      <c r="K734" s="5"/>
      <c r="L734" s="5"/>
      <c r="M734" s="5"/>
      <c r="N734" s="5"/>
      <c r="O734" s="5"/>
      <c r="P734" s="5"/>
      <c r="Q734" s="5"/>
      <c r="R734" s="5"/>
      <c r="S734" s="5"/>
      <c r="T734" s="5"/>
      <c r="U734" s="5"/>
      <c r="V734" s="5"/>
      <c r="W734" s="5"/>
    </row>
    <row r="735" spans="1:23" x14ac:dyDescent="0.3">
      <c r="A735" s="5"/>
      <c r="B735" s="5"/>
      <c r="C735" s="5"/>
      <c r="D735" s="5"/>
      <c r="E735" s="5"/>
      <c r="F735" s="5"/>
      <c r="G735" s="5"/>
      <c r="H735" s="5"/>
      <c r="I735" s="5"/>
      <c r="J735" s="5"/>
      <c r="K735" s="5"/>
      <c r="L735" s="5"/>
      <c r="M735" s="5"/>
      <c r="N735" s="5"/>
      <c r="O735" s="5"/>
      <c r="P735" s="5"/>
      <c r="Q735" s="5"/>
      <c r="R735" s="5"/>
      <c r="S735" s="5"/>
      <c r="T735" s="5"/>
      <c r="U735" s="5"/>
      <c r="V735" s="5"/>
      <c r="W735" s="5"/>
    </row>
    <row r="736" spans="1:23" x14ac:dyDescent="0.3">
      <c r="A736" s="5"/>
      <c r="B736" s="5"/>
      <c r="C736" s="5"/>
      <c r="D736" s="5"/>
      <c r="E736" s="5"/>
      <c r="F736" s="5"/>
      <c r="G736" s="5"/>
      <c r="H736" s="5"/>
      <c r="I736" s="5"/>
      <c r="J736" s="5"/>
      <c r="K736" s="5"/>
      <c r="L736" s="5"/>
      <c r="M736" s="5"/>
      <c r="N736" s="5"/>
      <c r="O736" s="5"/>
      <c r="P736" s="5"/>
      <c r="Q736" s="5"/>
      <c r="R736" s="5"/>
      <c r="S736" s="5"/>
      <c r="T736" s="5"/>
      <c r="U736" s="5"/>
      <c r="V736" s="5"/>
      <c r="W736" s="5"/>
    </row>
    <row r="737" spans="1:23" x14ac:dyDescent="0.3">
      <c r="A737" s="5"/>
      <c r="B737" s="5"/>
      <c r="C737" s="5"/>
      <c r="D737" s="5"/>
      <c r="E737" s="5"/>
      <c r="F737" s="5"/>
      <c r="G737" s="5"/>
      <c r="H737" s="5"/>
      <c r="I737" s="5"/>
      <c r="J737" s="5"/>
      <c r="K737" s="5"/>
      <c r="L737" s="5"/>
      <c r="M737" s="5"/>
      <c r="N737" s="5"/>
      <c r="O737" s="5"/>
      <c r="P737" s="5"/>
      <c r="Q737" s="5"/>
      <c r="R737" s="5"/>
      <c r="S737" s="5"/>
      <c r="T737" s="5"/>
      <c r="U737" s="5"/>
      <c r="V737" s="5"/>
      <c r="W737" s="5"/>
    </row>
    <row r="738" spans="1:23" x14ac:dyDescent="0.3">
      <c r="A738" s="5"/>
      <c r="B738" s="5"/>
      <c r="C738" s="5"/>
      <c r="D738" s="5"/>
      <c r="E738" s="5"/>
      <c r="F738" s="5"/>
      <c r="G738" s="5"/>
      <c r="H738" s="5"/>
      <c r="I738" s="5"/>
      <c r="J738" s="5"/>
      <c r="K738" s="5"/>
      <c r="L738" s="5"/>
      <c r="M738" s="5"/>
      <c r="N738" s="5"/>
      <c r="O738" s="5"/>
      <c r="P738" s="5"/>
      <c r="Q738" s="5"/>
      <c r="R738" s="5"/>
      <c r="S738" s="5"/>
      <c r="T738" s="5"/>
      <c r="U738" s="5"/>
      <c r="V738" s="5"/>
      <c r="W738" s="5"/>
    </row>
    <row r="739" spans="1:23" x14ac:dyDescent="0.3">
      <c r="A739" s="5"/>
      <c r="B739" s="5"/>
      <c r="C739" s="5"/>
      <c r="D739" s="5"/>
      <c r="E739" s="5"/>
      <c r="F739" s="5"/>
      <c r="G739" s="5"/>
      <c r="H739" s="5"/>
      <c r="I739" s="5"/>
      <c r="J739" s="5"/>
      <c r="K739" s="5"/>
      <c r="L739" s="5"/>
      <c r="M739" s="5"/>
      <c r="N739" s="5"/>
      <c r="O739" s="5"/>
      <c r="P739" s="5"/>
      <c r="Q739" s="5"/>
      <c r="R739" s="5"/>
      <c r="S739" s="5"/>
      <c r="T739" s="5"/>
      <c r="U739" s="5"/>
      <c r="V739" s="5"/>
      <c r="W739" s="5"/>
    </row>
    <row r="740" spans="1:23" x14ac:dyDescent="0.3">
      <c r="A740" s="5"/>
      <c r="B740" s="5"/>
      <c r="C740" s="5"/>
      <c r="D740" s="5"/>
      <c r="E740" s="5"/>
      <c r="F740" s="5"/>
      <c r="G740" s="5"/>
      <c r="H740" s="5"/>
      <c r="I740" s="5"/>
      <c r="J740" s="5"/>
      <c r="K740" s="5"/>
      <c r="L740" s="5"/>
      <c r="M740" s="5"/>
      <c r="N740" s="5"/>
      <c r="O740" s="5"/>
      <c r="P740" s="5"/>
      <c r="Q740" s="5"/>
      <c r="R740" s="5"/>
      <c r="S740" s="5"/>
      <c r="T740" s="5"/>
      <c r="U740" s="5"/>
      <c r="V740" s="5"/>
      <c r="W740" s="5"/>
    </row>
    <row r="741" spans="1:23" x14ac:dyDescent="0.3">
      <c r="A741" s="5"/>
      <c r="B741" s="5"/>
      <c r="C741" s="5"/>
      <c r="D741" s="5"/>
      <c r="E741" s="5"/>
      <c r="F741" s="5"/>
      <c r="G741" s="5"/>
      <c r="H741" s="5"/>
      <c r="I741" s="5"/>
      <c r="J741" s="5"/>
      <c r="K741" s="5"/>
      <c r="L741" s="5"/>
      <c r="M741" s="5"/>
      <c r="N741" s="5"/>
      <c r="O741" s="5"/>
      <c r="P741" s="5"/>
      <c r="Q741" s="5"/>
      <c r="R741" s="5"/>
      <c r="S741" s="5"/>
      <c r="T741" s="5"/>
      <c r="U741" s="5"/>
      <c r="V741" s="5"/>
      <c r="W741" s="5"/>
    </row>
    <row r="742" spans="1:23" x14ac:dyDescent="0.3">
      <c r="A742" s="5"/>
      <c r="B742" s="5"/>
      <c r="C742" s="5"/>
      <c r="D742" s="5"/>
      <c r="E742" s="5"/>
      <c r="F742" s="5"/>
      <c r="G742" s="5"/>
      <c r="H742" s="5"/>
      <c r="I742" s="5"/>
      <c r="J742" s="5"/>
      <c r="K742" s="5"/>
      <c r="L742" s="5"/>
      <c r="M742" s="5"/>
      <c r="N742" s="5"/>
      <c r="O742" s="5"/>
      <c r="P742" s="5"/>
      <c r="Q742" s="5"/>
      <c r="R742" s="5"/>
      <c r="S742" s="5"/>
      <c r="T742" s="5"/>
      <c r="U742" s="5"/>
      <c r="V742" s="5"/>
      <c r="W742" s="5"/>
    </row>
    <row r="743" spans="1:23" x14ac:dyDescent="0.3">
      <c r="A743" s="5"/>
      <c r="B743" s="5"/>
      <c r="C743" s="5"/>
      <c r="D743" s="5"/>
      <c r="E743" s="5"/>
      <c r="F743" s="5"/>
      <c r="G743" s="5"/>
      <c r="H743" s="5"/>
      <c r="I743" s="5"/>
      <c r="J743" s="5"/>
      <c r="K743" s="5"/>
      <c r="L743" s="5"/>
      <c r="M743" s="5"/>
      <c r="N743" s="5"/>
      <c r="O743" s="5"/>
      <c r="P743" s="5"/>
      <c r="Q743" s="5"/>
      <c r="R743" s="5"/>
      <c r="S743" s="5"/>
      <c r="T743" s="5"/>
      <c r="U743" s="5"/>
      <c r="V743" s="5"/>
      <c r="W743" s="5"/>
    </row>
    <row r="744" spans="1:23" x14ac:dyDescent="0.3">
      <c r="A744" s="5"/>
      <c r="B744" s="5"/>
      <c r="C744" s="5"/>
      <c r="D744" s="5"/>
      <c r="E744" s="5"/>
      <c r="F744" s="5"/>
      <c r="G744" s="5"/>
      <c r="H744" s="5"/>
      <c r="I744" s="5"/>
      <c r="J744" s="5"/>
      <c r="K744" s="5"/>
      <c r="L744" s="5"/>
      <c r="M744" s="5"/>
      <c r="N744" s="5"/>
      <c r="O744" s="5"/>
      <c r="P744" s="5"/>
      <c r="Q744" s="5"/>
      <c r="R744" s="5"/>
      <c r="S744" s="5"/>
      <c r="T744" s="5"/>
      <c r="U744" s="5"/>
      <c r="V744" s="5"/>
      <c r="W744" s="5"/>
    </row>
    <row r="745" spans="1:23" x14ac:dyDescent="0.3">
      <c r="A745" s="5"/>
      <c r="B745" s="5"/>
      <c r="C745" s="5"/>
      <c r="D745" s="5"/>
      <c r="E745" s="5"/>
      <c r="F745" s="5"/>
      <c r="G745" s="5"/>
      <c r="H745" s="5"/>
      <c r="I745" s="5"/>
      <c r="J745" s="5"/>
      <c r="K745" s="5"/>
      <c r="L745" s="5"/>
      <c r="M745" s="5"/>
      <c r="N745" s="5"/>
      <c r="O745" s="5"/>
      <c r="P745" s="5"/>
      <c r="Q745" s="5"/>
      <c r="R745" s="5"/>
      <c r="S745" s="5"/>
      <c r="T745" s="5"/>
      <c r="U745" s="5"/>
      <c r="V745" s="5"/>
      <c r="W745" s="5"/>
    </row>
    <row r="746" spans="1:23" x14ac:dyDescent="0.3">
      <c r="A746" s="5"/>
      <c r="B746" s="5"/>
      <c r="C746" s="5"/>
      <c r="D746" s="5"/>
      <c r="E746" s="5"/>
      <c r="F746" s="5"/>
      <c r="G746" s="5"/>
      <c r="H746" s="5"/>
      <c r="I746" s="5"/>
      <c r="J746" s="5"/>
      <c r="K746" s="5"/>
      <c r="L746" s="5"/>
      <c r="M746" s="5"/>
      <c r="N746" s="5"/>
      <c r="O746" s="5"/>
      <c r="P746" s="5"/>
      <c r="Q746" s="5"/>
      <c r="R746" s="5"/>
      <c r="S746" s="5"/>
      <c r="T746" s="5"/>
      <c r="U746" s="5"/>
      <c r="V746" s="5"/>
      <c r="W746" s="5"/>
    </row>
    <row r="747" spans="1:23" x14ac:dyDescent="0.3">
      <c r="A747" s="5"/>
      <c r="B747" s="5"/>
      <c r="C747" s="5"/>
      <c r="D747" s="5"/>
      <c r="E747" s="5"/>
      <c r="F747" s="5"/>
      <c r="G747" s="5"/>
      <c r="H747" s="5"/>
      <c r="I747" s="5"/>
      <c r="J747" s="5"/>
      <c r="K747" s="5"/>
      <c r="L747" s="5"/>
      <c r="M747" s="5"/>
      <c r="N747" s="5"/>
      <c r="O747" s="5"/>
      <c r="P747" s="5"/>
      <c r="Q747" s="5"/>
      <c r="R747" s="5"/>
      <c r="S747" s="5"/>
      <c r="T747" s="5"/>
      <c r="U747" s="5"/>
      <c r="V747" s="5"/>
      <c r="W747" s="5"/>
    </row>
    <row r="748" spans="1:23" x14ac:dyDescent="0.3">
      <c r="A748" s="5"/>
      <c r="B748" s="5"/>
      <c r="C748" s="5"/>
      <c r="D748" s="5"/>
      <c r="E748" s="5"/>
      <c r="F748" s="5"/>
      <c r="G748" s="5"/>
      <c r="H748" s="5"/>
      <c r="I748" s="5"/>
      <c r="J748" s="5"/>
      <c r="K748" s="5"/>
      <c r="L748" s="5"/>
      <c r="M748" s="5"/>
      <c r="N748" s="5"/>
      <c r="O748" s="5"/>
      <c r="P748" s="5"/>
      <c r="Q748" s="5"/>
      <c r="R748" s="5"/>
      <c r="S748" s="5"/>
      <c r="T748" s="5"/>
      <c r="U748" s="5"/>
      <c r="V748" s="5"/>
      <c r="W748" s="5"/>
    </row>
    <row r="749" spans="1:23" x14ac:dyDescent="0.3">
      <c r="A749" s="5"/>
      <c r="B749" s="5"/>
      <c r="C749" s="5"/>
      <c r="D749" s="5"/>
      <c r="E749" s="5"/>
      <c r="F749" s="5"/>
      <c r="G749" s="5"/>
      <c r="H749" s="5"/>
      <c r="I749" s="5"/>
      <c r="J749" s="5"/>
      <c r="K749" s="5"/>
      <c r="L749" s="5"/>
      <c r="M749" s="5"/>
      <c r="N749" s="5"/>
      <c r="O749" s="5"/>
      <c r="P749" s="5"/>
      <c r="Q749" s="5"/>
      <c r="R749" s="5"/>
      <c r="S749" s="5"/>
      <c r="T749" s="5"/>
      <c r="U749" s="5"/>
      <c r="V749" s="5"/>
      <c r="W749" s="5"/>
    </row>
    <row r="750" spans="1:23" x14ac:dyDescent="0.3">
      <c r="A750" s="5"/>
      <c r="B750" s="5"/>
      <c r="C750" s="5"/>
      <c r="D750" s="5"/>
      <c r="E750" s="5"/>
      <c r="F750" s="5"/>
      <c r="G750" s="5"/>
      <c r="H750" s="5"/>
      <c r="I750" s="5"/>
      <c r="J750" s="5"/>
      <c r="K750" s="5"/>
      <c r="L750" s="5"/>
      <c r="M750" s="5"/>
      <c r="N750" s="5"/>
      <c r="O750" s="5"/>
      <c r="P750" s="5"/>
      <c r="Q750" s="5"/>
      <c r="R750" s="5"/>
      <c r="S750" s="5"/>
      <c r="T750" s="5"/>
      <c r="U750" s="5"/>
      <c r="V750" s="5"/>
      <c r="W750" s="5"/>
    </row>
    <row r="751" spans="1:23" x14ac:dyDescent="0.3">
      <c r="A751" s="5"/>
      <c r="B751" s="5"/>
      <c r="C751" s="5"/>
      <c r="D751" s="5"/>
      <c r="E751" s="5"/>
      <c r="F751" s="5"/>
      <c r="G751" s="5"/>
      <c r="H751" s="5"/>
      <c r="I751" s="5"/>
      <c r="J751" s="5"/>
      <c r="K751" s="5"/>
      <c r="L751" s="5"/>
      <c r="M751" s="5"/>
      <c r="N751" s="5"/>
      <c r="O751" s="5"/>
      <c r="P751" s="5"/>
      <c r="Q751" s="5"/>
      <c r="R751" s="5"/>
      <c r="S751" s="5"/>
      <c r="T751" s="5"/>
      <c r="U751" s="5"/>
      <c r="V751" s="5"/>
      <c r="W751" s="5"/>
    </row>
    <row r="752" spans="1:23" x14ac:dyDescent="0.3">
      <c r="A752" s="5"/>
      <c r="B752" s="5"/>
      <c r="C752" s="5"/>
      <c r="D752" s="5"/>
      <c r="E752" s="5"/>
      <c r="F752" s="5"/>
      <c r="G752" s="5"/>
      <c r="H752" s="5"/>
      <c r="I752" s="5"/>
      <c r="J752" s="5"/>
      <c r="K752" s="5"/>
      <c r="L752" s="5"/>
      <c r="M752" s="5"/>
      <c r="N752" s="5"/>
      <c r="O752" s="5"/>
      <c r="P752" s="5"/>
      <c r="Q752" s="5"/>
      <c r="R752" s="5"/>
      <c r="S752" s="5"/>
      <c r="T752" s="5"/>
      <c r="U752" s="5"/>
      <c r="V752" s="5"/>
      <c r="W752" s="5"/>
    </row>
    <row r="753" spans="1:23" x14ac:dyDescent="0.3">
      <c r="A753" s="5"/>
      <c r="B753" s="5"/>
      <c r="C753" s="5"/>
      <c r="D753" s="5"/>
      <c r="E753" s="5"/>
      <c r="F753" s="5"/>
      <c r="G753" s="5"/>
      <c r="H753" s="5"/>
      <c r="I753" s="5"/>
      <c r="J753" s="5"/>
      <c r="K753" s="5"/>
      <c r="L753" s="5"/>
      <c r="M753" s="5"/>
      <c r="N753" s="5"/>
      <c r="O753" s="5"/>
      <c r="P753" s="5"/>
      <c r="Q753" s="5"/>
      <c r="R753" s="5"/>
      <c r="S753" s="5"/>
      <c r="T753" s="5"/>
      <c r="U753" s="5"/>
      <c r="V753" s="5"/>
      <c r="W753" s="5"/>
    </row>
    <row r="754" spans="1:23" x14ac:dyDescent="0.3">
      <c r="A754" s="5"/>
      <c r="B754" s="5"/>
      <c r="C754" s="5"/>
      <c r="D754" s="5"/>
      <c r="E754" s="5"/>
      <c r="F754" s="5"/>
      <c r="G754" s="5"/>
      <c r="H754" s="5"/>
      <c r="I754" s="5"/>
      <c r="J754" s="5"/>
      <c r="K754" s="5"/>
      <c r="L754" s="5"/>
      <c r="M754" s="5"/>
      <c r="N754" s="5"/>
      <c r="O754" s="5"/>
      <c r="P754" s="5"/>
      <c r="Q754" s="5"/>
      <c r="R754" s="5"/>
      <c r="S754" s="5"/>
      <c r="T754" s="5"/>
      <c r="U754" s="5"/>
      <c r="V754" s="5"/>
      <c r="W754" s="5"/>
    </row>
    <row r="755" spans="1:23" x14ac:dyDescent="0.3">
      <c r="A755" s="5"/>
      <c r="B755" s="5"/>
      <c r="C755" s="5"/>
      <c r="D755" s="5"/>
      <c r="E755" s="5"/>
      <c r="F755" s="5"/>
      <c r="G755" s="5"/>
      <c r="H755" s="5"/>
      <c r="I755" s="5"/>
      <c r="J755" s="5"/>
      <c r="K755" s="5"/>
      <c r="L755" s="5"/>
      <c r="M755" s="5"/>
      <c r="N755" s="5"/>
      <c r="O755" s="5"/>
      <c r="P755" s="5"/>
      <c r="Q755" s="5"/>
      <c r="R755" s="5"/>
      <c r="S755" s="5"/>
      <c r="T755" s="5"/>
      <c r="U755" s="5"/>
      <c r="V755" s="5"/>
      <c r="W755" s="5"/>
    </row>
    <row r="756" spans="1:23" x14ac:dyDescent="0.3">
      <c r="A756" s="5"/>
      <c r="B756" s="5"/>
      <c r="C756" s="5"/>
      <c r="D756" s="5"/>
      <c r="E756" s="5"/>
      <c r="F756" s="5"/>
      <c r="G756" s="5"/>
      <c r="H756" s="5"/>
      <c r="I756" s="5"/>
      <c r="J756" s="5"/>
      <c r="K756" s="5"/>
      <c r="L756" s="5"/>
      <c r="M756" s="5"/>
      <c r="N756" s="5"/>
      <c r="O756" s="5"/>
      <c r="P756" s="5"/>
      <c r="Q756" s="5"/>
      <c r="R756" s="5"/>
      <c r="S756" s="5"/>
      <c r="T756" s="5"/>
      <c r="U756" s="5"/>
      <c r="V756" s="5"/>
      <c r="W756" s="5"/>
    </row>
    <row r="757" spans="1:23" x14ac:dyDescent="0.3">
      <c r="A757" s="5"/>
      <c r="B757" s="5"/>
      <c r="C757" s="5"/>
      <c r="D757" s="5"/>
      <c r="E757" s="5"/>
      <c r="F757" s="5"/>
      <c r="G757" s="5"/>
      <c r="H757" s="5"/>
      <c r="I757" s="5"/>
      <c r="J757" s="5"/>
      <c r="K757" s="5"/>
      <c r="L757" s="5"/>
      <c r="M757" s="5"/>
      <c r="N757" s="5"/>
      <c r="O757" s="5"/>
      <c r="P757" s="5"/>
      <c r="Q757" s="5"/>
      <c r="R757" s="5"/>
      <c r="S757" s="5"/>
      <c r="T757" s="5"/>
      <c r="U757" s="5"/>
      <c r="V757" s="5"/>
      <c r="W757" s="5"/>
    </row>
    <row r="758" spans="1:23" x14ac:dyDescent="0.3">
      <c r="A758" s="5"/>
      <c r="B758" s="5"/>
      <c r="C758" s="5"/>
      <c r="D758" s="5"/>
      <c r="E758" s="5"/>
      <c r="F758" s="5"/>
      <c r="G758" s="5"/>
      <c r="H758" s="5"/>
      <c r="I758" s="5"/>
      <c r="J758" s="5"/>
      <c r="K758" s="5"/>
      <c r="L758" s="5"/>
      <c r="M758" s="5"/>
      <c r="N758" s="5"/>
      <c r="O758" s="5"/>
      <c r="P758" s="5"/>
      <c r="Q758" s="5"/>
      <c r="R758" s="5"/>
      <c r="S758" s="5"/>
      <c r="T758" s="5"/>
      <c r="U758" s="5"/>
      <c r="V758" s="5"/>
      <c r="W758" s="5"/>
    </row>
    <row r="759" spans="1:23" x14ac:dyDescent="0.3">
      <c r="A759" s="5"/>
      <c r="B759" s="5"/>
      <c r="C759" s="5"/>
      <c r="D759" s="5"/>
      <c r="E759" s="5"/>
      <c r="F759" s="5"/>
      <c r="G759" s="5"/>
      <c r="H759" s="5"/>
      <c r="I759" s="5"/>
      <c r="J759" s="5"/>
      <c r="K759" s="5"/>
      <c r="L759" s="5"/>
      <c r="M759" s="5"/>
      <c r="N759" s="5"/>
      <c r="O759" s="5"/>
      <c r="P759" s="5"/>
      <c r="Q759" s="5"/>
      <c r="R759" s="5"/>
      <c r="S759" s="5"/>
      <c r="T759" s="5"/>
      <c r="U759" s="5"/>
      <c r="V759" s="5"/>
      <c r="W759" s="5"/>
    </row>
    <row r="760" spans="1:23" x14ac:dyDescent="0.3">
      <c r="A760" s="5"/>
      <c r="B760" s="5"/>
      <c r="C760" s="5"/>
      <c r="D760" s="5"/>
      <c r="E760" s="5"/>
      <c r="F760" s="5"/>
      <c r="G760" s="5"/>
      <c r="H760" s="5"/>
      <c r="I760" s="5"/>
      <c r="J760" s="5"/>
      <c r="K760" s="5"/>
      <c r="L760" s="5"/>
      <c r="M760" s="5"/>
      <c r="N760" s="5"/>
      <c r="O760" s="5"/>
      <c r="P760" s="5"/>
      <c r="Q760" s="5"/>
      <c r="R760" s="5"/>
      <c r="S760" s="5"/>
      <c r="T760" s="5"/>
      <c r="U760" s="5"/>
      <c r="V760" s="5"/>
      <c r="W760" s="5"/>
    </row>
    <row r="761" spans="1:23" x14ac:dyDescent="0.3">
      <c r="A761" s="5"/>
      <c r="B761" s="5"/>
      <c r="C761" s="5"/>
      <c r="D761" s="5"/>
      <c r="E761" s="5"/>
      <c r="F761" s="5"/>
      <c r="G761" s="5"/>
      <c r="H761" s="5"/>
      <c r="I761" s="5"/>
      <c r="J761" s="5"/>
      <c r="K761" s="5"/>
      <c r="L761" s="5"/>
      <c r="M761" s="5"/>
      <c r="N761" s="5"/>
      <c r="O761" s="5"/>
      <c r="P761" s="5"/>
      <c r="Q761" s="5"/>
      <c r="R761" s="5"/>
      <c r="S761" s="5"/>
      <c r="T761" s="5"/>
      <c r="U761" s="5"/>
      <c r="V761" s="5"/>
      <c r="W761" s="5"/>
    </row>
    <row r="762" spans="1:23" x14ac:dyDescent="0.3">
      <c r="A762" s="5"/>
      <c r="B762" s="5"/>
      <c r="C762" s="5"/>
      <c r="D762" s="5"/>
      <c r="E762" s="5"/>
      <c r="F762" s="5"/>
      <c r="G762" s="5"/>
      <c r="H762" s="5"/>
      <c r="I762" s="5"/>
      <c r="J762" s="5"/>
      <c r="K762" s="5"/>
      <c r="L762" s="5"/>
      <c r="M762" s="5"/>
      <c r="N762" s="5"/>
      <c r="O762" s="5"/>
      <c r="P762" s="5"/>
      <c r="Q762" s="5"/>
      <c r="R762" s="5"/>
      <c r="S762" s="5"/>
      <c r="T762" s="5"/>
      <c r="U762" s="5"/>
      <c r="V762" s="5"/>
      <c r="W762" s="5"/>
    </row>
    <row r="763" spans="1:23" x14ac:dyDescent="0.3">
      <c r="A763" s="5"/>
      <c r="B763" s="5"/>
      <c r="C763" s="5"/>
      <c r="D763" s="5"/>
      <c r="E763" s="5"/>
      <c r="F763" s="5"/>
      <c r="G763" s="5"/>
      <c r="H763" s="5"/>
      <c r="I763" s="5"/>
      <c r="J763" s="5"/>
      <c r="K763" s="5"/>
      <c r="L763" s="5"/>
      <c r="M763" s="5"/>
      <c r="N763" s="5"/>
      <c r="O763" s="5"/>
      <c r="P763" s="5"/>
      <c r="Q763" s="5"/>
      <c r="R763" s="5"/>
      <c r="S763" s="5"/>
      <c r="T763" s="5"/>
      <c r="U763" s="5"/>
      <c r="V763" s="5"/>
      <c r="W763" s="5"/>
    </row>
    <row r="764" spans="1:23" x14ac:dyDescent="0.3">
      <c r="A764" s="5"/>
      <c r="B764" s="5"/>
      <c r="C764" s="5"/>
      <c r="D764" s="5"/>
      <c r="E764" s="5"/>
      <c r="F764" s="5"/>
      <c r="G764" s="5"/>
      <c r="H764" s="5"/>
      <c r="I764" s="5"/>
      <c r="J764" s="5"/>
      <c r="K764" s="5"/>
      <c r="L764" s="5"/>
      <c r="M764" s="5"/>
      <c r="N764" s="5"/>
      <c r="O764" s="5"/>
      <c r="P764" s="5"/>
      <c r="Q764" s="5"/>
      <c r="R764" s="5"/>
      <c r="S764" s="5"/>
      <c r="T764" s="5"/>
      <c r="U764" s="5"/>
      <c r="V764" s="5"/>
      <c r="W764" s="5"/>
    </row>
    <row r="765" spans="1:23" x14ac:dyDescent="0.3">
      <c r="A765" s="5"/>
      <c r="B765" s="5"/>
      <c r="C765" s="5"/>
      <c r="D765" s="5"/>
      <c r="E765" s="5"/>
      <c r="F765" s="5"/>
      <c r="G765" s="5"/>
      <c r="H765" s="5"/>
      <c r="I765" s="5"/>
      <c r="J765" s="5"/>
      <c r="K765" s="5"/>
      <c r="L765" s="5"/>
      <c r="M765" s="5"/>
      <c r="N765" s="5"/>
      <c r="O765" s="5"/>
      <c r="P765" s="5"/>
      <c r="Q765" s="5"/>
      <c r="R765" s="5"/>
      <c r="S765" s="5"/>
      <c r="T765" s="5"/>
      <c r="U765" s="5"/>
      <c r="V765" s="5"/>
      <c r="W765" s="5"/>
    </row>
    <row r="766" spans="1:23" x14ac:dyDescent="0.3">
      <c r="A766" s="5"/>
      <c r="B766" s="5"/>
      <c r="C766" s="5"/>
      <c r="D766" s="5"/>
      <c r="E766" s="5"/>
      <c r="F766" s="5"/>
      <c r="G766" s="5"/>
      <c r="H766" s="5"/>
      <c r="I766" s="5"/>
      <c r="J766" s="5"/>
      <c r="K766" s="5"/>
      <c r="L766" s="5"/>
      <c r="M766" s="5"/>
      <c r="N766" s="5"/>
      <c r="O766" s="5"/>
      <c r="P766" s="5"/>
      <c r="Q766" s="5"/>
      <c r="R766" s="5"/>
      <c r="S766" s="5"/>
      <c r="T766" s="5"/>
      <c r="U766" s="5"/>
      <c r="V766" s="5"/>
      <c r="W766" s="5"/>
    </row>
    <row r="767" spans="1:23" x14ac:dyDescent="0.3">
      <c r="A767" s="5"/>
      <c r="B767" s="5"/>
      <c r="C767" s="5"/>
      <c r="D767" s="5"/>
      <c r="E767" s="5"/>
      <c r="F767" s="5"/>
      <c r="G767" s="5"/>
      <c r="H767" s="5"/>
      <c r="I767" s="5"/>
      <c r="J767" s="5"/>
      <c r="K767" s="5"/>
      <c r="L767" s="5"/>
      <c r="M767" s="5"/>
      <c r="N767" s="5"/>
      <c r="O767" s="5"/>
      <c r="P767" s="5"/>
      <c r="Q767" s="5"/>
      <c r="R767" s="5"/>
      <c r="S767" s="5"/>
      <c r="T767" s="5"/>
      <c r="U767" s="5"/>
      <c r="V767" s="5"/>
      <c r="W767" s="5"/>
    </row>
    <row r="768" spans="1:23" x14ac:dyDescent="0.3">
      <c r="A768" s="5"/>
      <c r="B768" s="5"/>
      <c r="C768" s="5"/>
      <c r="D768" s="5"/>
      <c r="E768" s="5"/>
      <c r="F768" s="5"/>
      <c r="G768" s="5"/>
      <c r="H768" s="5"/>
      <c r="I768" s="5"/>
      <c r="J768" s="5"/>
      <c r="K768" s="5"/>
      <c r="L768" s="5"/>
      <c r="M768" s="5"/>
      <c r="N768" s="5"/>
      <c r="O768" s="5"/>
      <c r="P768" s="5"/>
      <c r="Q768" s="5"/>
      <c r="R768" s="5"/>
      <c r="S768" s="5"/>
      <c r="T768" s="5"/>
      <c r="U768" s="5"/>
      <c r="V768" s="5"/>
      <c r="W768" s="5"/>
    </row>
    <row r="769" spans="1:23" x14ac:dyDescent="0.3">
      <c r="A769" s="5"/>
      <c r="B769" s="5"/>
      <c r="C769" s="5"/>
      <c r="D769" s="5"/>
      <c r="E769" s="5"/>
      <c r="F769" s="5"/>
      <c r="G769" s="5"/>
      <c r="H769" s="5"/>
      <c r="I769" s="5"/>
      <c r="J769" s="5"/>
      <c r="K769" s="5"/>
      <c r="L769" s="5"/>
      <c r="M769" s="5"/>
      <c r="N769" s="5"/>
      <c r="O769" s="5"/>
      <c r="P769" s="5"/>
      <c r="Q769" s="5"/>
      <c r="R769" s="5"/>
      <c r="S769" s="5"/>
      <c r="T769" s="5"/>
      <c r="U769" s="5"/>
      <c r="V769" s="5"/>
      <c r="W769" s="5"/>
    </row>
    <row r="770" spans="1:23" x14ac:dyDescent="0.3">
      <c r="A770" s="5"/>
      <c r="B770" s="5"/>
      <c r="C770" s="5"/>
      <c r="D770" s="5"/>
      <c r="E770" s="5"/>
      <c r="F770" s="5"/>
      <c r="G770" s="5"/>
      <c r="H770" s="5"/>
      <c r="I770" s="5"/>
      <c r="J770" s="5"/>
      <c r="K770" s="5"/>
      <c r="L770" s="5"/>
      <c r="M770" s="5"/>
      <c r="N770" s="5"/>
      <c r="O770" s="5"/>
      <c r="P770" s="5"/>
      <c r="Q770" s="5"/>
      <c r="R770" s="5"/>
      <c r="S770" s="5"/>
      <c r="T770" s="5"/>
      <c r="U770" s="5"/>
      <c r="V770" s="5"/>
      <c r="W770" s="5"/>
    </row>
    <row r="771" spans="1:23" x14ac:dyDescent="0.3">
      <c r="A771" s="5"/>
      <c r="B771" s="5"/>
      <c r="C771" s="5"/>
      <c r="D771" s="5"/>
      <c r="E771" s="5"/>
      <c r="F771" s="5"/>
      <c r="G771" s="5"/>
      <c r="H771" s="5"/>
      <c r="I771" s="5"/>
      <c r="J771" s="5"/>
      <c r="K771" s="5"/>
      <c r="L771" s="5"/>
      <c r="M771" s="5"/>
      <c r="N771" s="5"/>
      <c r="O771" s="5"/>
      <c r="P771" s="5"/>
      <c r="Q771" s="5"/>
      <c r="R771" s="5"/>
      <c r="S771" s="5"/>
      <c r="T771" s="5"/>
      <c r="U771" s="5"/>
      <c r="V771" s="5"/>
      <c r="W771" s="5"/>
    </row>
    <row r="772" spans="1:23" x14ac:dyDescent="0.3">
      <c r="A772" s="5"/>
      <c r="B772" s="5"/>
      <c r="C772" s="5"/>
      <c r="D772" s="5"/>
      <c r="E772" s="5"/>
      <c r="F772" s="5"/>
      <c r="G772" s="5"/>
      <c r="H772" s="5"/>
      <c r="I772" s="5"/>
      <c r="J772" s="5"/>
      <c r="K772" s="5"/>
      <c r="L772" s="5"/>
      <c r="M772" s="5"/>
      <c r="N772" s="5"/>
      <c r="O772" s="5"/>
      <c r="P772" s="5"/>
      <c r="Q772" s="5"/>
      <c r="R772" s="5"/>
      <c r="S772" s="5"/>
      <c r="T772" s="5"/>
      <c r="U772" s="5"/>
      <c r="V772" s="5"/>
      <c r="W772" s="5"/>
    </row>
    <row r="773" spans="1:23" x14ac:dyDescent="0.3">
      <c r="A773" s="5"/>
      <c r="B773" s="5"/>
      <c r="C773" s="5"/>
      <c r="D773" s="5"/>
      <c r="E773" s="5"/>
      <c r="F773" s="5"/>
      <c r="G773" s="5"/>
      <c r="H773" s="5"/>
      <c r="I773" s="5"/>
      <c r="J773" s="5"/>
      <c r="K773" s="5"/>
      <c r="L773" s="5"/>
      <c r="M773" s="5"/>
      <c r="N773" s="5"/>
      <c r="O773" s="5"/>
      <c r="P773" s="5"/>
      <c r="Q773" s="5"/>
      <c r="R773" s="5"/>
      <c r="S773" s="5"/>
      <c r="T773" s="5"/>
      <c r="U773" s="5"/>
      <c r="V773" s="5"/>
      <c r="W773" s="5"/>
    </row>
    <row r="774" spans="1:23" x14ac:dyDescent="0.3">
      <c r="A774" s="5"/>
      <c r="B774" s="5"/>
      <c r="C774" s="5"/>
      <c r="D774" s="5"/>
      <c r="E774" s="5"/>
      <c r="F774" s="5"/>
      <c r="G774" s="5"/>
      <c r="H774" s="5"/>
      <c r="I774" s="5"/>
      <c r="J774" s="5"/>
      <c r="K774" s="5"/>
      <c r="L774" s="5"/>
      <c r="M774" s="5"/>
      <c r="N774" s="5"/>
      <c r="O774" s="5"/>
      <c r="P774" s="5"/>
      <c r="Q774" s="5"/>
      <c r="R774" s="5"/>
      <c r="S774" s="5"/>
      <c r="T774" s="5"/>
      <c r="U774" s="5"/>
      <c r="V774" s="5"/>
      <c r="W774" s="5"/>
    </row>
    <row r="775" spans="1:23" x14ac:dyDescent="0.3">
      <c r="A775" s="5"/>
      <c r="B775" s="5"/>
      <c r="C775" s="5"/>
      <c r="D775" s="5"/>
      <c r="E775" s="5"/>
      <c r="F775" s="5"/>
      <c r="G775" s="5"/>
      <c r="H775" s="5"/>
      <c r="I775" s="5"/>
      <c r="J775" s="5"/>
      <c r="K775" s="5"/>
      <c r="L775" s="5"/>
      <c r="M775" s="5"/>
      <c r="N775" s="5"/>
      <c r="O775" s="5"/>
      <c r="P775" s="5"/>
      <c r="Q775" s="5"/>
      <c r="R775" s="5"/>
      <c r="S775" s="5"/>
      <c r="T775" s="5"/>
      <c r="U775" s="5"/>
      <c r="V775" s="5"/>
      <c r="W775" s="5"/>
    </row>
    <row r="776" spans="1:23" x14ac:dyDescent="0.3">
      <c r="A776" s="5"/>
      <c r="B776" s="5"/>
      <c r="C776" s="5"/>
      <c r="D776" s="5"/>
      <c r="E776" s="5"/>
      <c r="F776" s="5"/>
      <c r="G776" s="5"/>
      <c r="H776" s="5"/>
      <c r="I776" s="5"/>
      <c r="J776" s="5"/>
      <c r="K776" s="5"/>
      <c r="L776" s="5"/>
      <c r="M776" s="5"/>
      <c r="N776" s="5"/>
      <c r="O776" s="5"/>
      <c r="P776" s="5"/>
      <c r="Q776" s="5"/>
      <c r="R776" s="5"/>
      <c r="S776" s="5"/>
      <c r="T776" s="5"/>
      <c r="U776" s="5"/>
      <c r="V776" s="5"/>
      <c r="W776" s="5"/>
    </row>
    <row r="777" spans="1:23" x14ac:dyDescent="0.3">
      <c r="A777" s="5"/>
      <c r="B777" s="5"/>
      <c r="C777" s="5"/>
      <c r="D777" s="5"/>
      <c r="E777" s="5"/>
      <c r="F777" s="5"/>
      <c r="G777" s="5"/>
      <c r="H777" s="5"/>
      <c r="I777" s="5"/>
      <c r="J777" s="5"/>
      <c r="K777" s="5"/>
      <c r="L777" s="5"/>
      <c r="M777" s="5"/>
      <c r="N777" s="5"/>
      <c r="O777" s="5"/>
      <c r="P777" s="5"/>
      <c r="Q777" s="5"/>
      <c r="R777" s="5"/>
      <c r="S777" s="5"/>
      <c r="T777" s="5"/>
      <c r="U777" s="5"/>
      <c r="V777" s="5"/>
      <c r="W777" s="5"/>
    </row>
    <row r="778" spans="1:23" x14ac:dyDescent="0.3">
      <c r="A778" s="5"/>
      <c r="B778" s="5"/>
      <c r="C778" s="5"/>
      <c r="D778" s="5"/>
      <c r="E778" s="5"/>
      <c r="F778" s="5"/>
      <c r="G778" s="5"/>
      <c r="H778" s="5"/>
      <c r="I778" s="5"/>
      <c r="J778" s="5"/>
      <c r="K778" s="5"/>
      <c r="L778" s="5"/>
      <c r="M778" s="5"/>
      <c r="N778" s="5"/>
      <c r="O778" s="5"/>
      <c r="P778" s="5"/>
      <c r="Q778" s="5"/>
      <c r="R778" s="5"/>
      <c r="S778" s="5"/>
      <c r="T778" s="5"/>
      <c r="U778" s="5"/>
      <c r="V778" s="5"/>
      <c r="W778" s="5"/>
    </row>
    <row r="779" spans="1:23" x14ac:dyDescent="0.3">
      <c r="A779" s="5"/>
      <c r="B779" s="5"/>
      <c r="C779" s="5"/>
      <c r="D779" s="5"/>
      <c r="E779" s="5"/>
      <c r="F779" s="5"/>
      <c r="G779" s="5"/>
      <c r="H779" s="5"/>
      <c r="I779" s="5"/>
      <c r="J779" s="5"/>
      <c r="K779" s="5"/>
      <c r="L779" s="5"/>
      <c r="M779" s="5"/>
      <c r="N779" s="5"/>
      <c r="O779" s="5"/>
      <c r="P779" s="5"/>
      <c r="Q779" s="5"/>
      <c r="R779" s="5"/>
      <c r="S779" s="5"/>
      <c r="T779" s="5"/>
      <c r="U779" s="5"/>
      <c r="V779" s="5"/>
      <c r="W779" s="5"/>
    </row>
    <row r="780" spans="1:23" x14ac:dyDescent="0.3">
      <c r="A780" s="5"/>
      <c r="B780" s="5"/>
      <c r="C780" s="5"/>
      <c r="D780" s="5"/>
      <c r="E780" s="5"/>
      <c r="F780" s="5"/>
      <c r="G780" s="5"/>
      <c r="H780" s="5"/>
      <c r="I780" s="5"/>
      <c r="J780" s="5"/>
      <c r="K780" s="5"/>
      <c r="L780" s="5"/>
      <c r="M780" s="5"/>
      <c r="N780" s="5"/>
      <c r="O780" s="5"/>
      <c r="P780" s="5"/>
      <c r="Q780" s="5"/>
      <c r="R780" s="5"/>
      <c r="S780" s="5"/>
      <c r="T780" s="5"/>
      <c r="U780" s="5"/>
      <c r="V780" s="5"/>
      <c r="W780" s="5"/>
    </row>
    <row r="781" spans="1:23" x14ac:dyDescent="0.3">
      <c r="A781" s="5"/>
      <c r="B781" s="5"/>
      <c r="C781" s="5"/>
      <c r="D781" s="5"/>
      <c r="E781" s="5"/>
      <c r="F781" s="5"/>
      <c r="G781" s="5"/>
      <c r="H781" s="5"/>
      <c r="I781" s="5"/>
      <c r="J781" s="5"/>
      <c r="K781" s="5"/>
      <c r="L781" s="5"/>
      <c r="M781" s="5"/>
      <c r="N781" s="5"/>
      <c r="O781" s="5"/>
      <c r="P781" s="5"/>
      <c r="Q781" s="5"/>
      <c r="R781" s="5"/>
      <c r="S781" s="5"/>
      <c r="T781" s="5"/>
      <c r="U781" s="5"/>
      <c r="V781" s="5"/>
      <c r="W781" s="5"/>
    </row>
    <row r="782" spans="1:23" x14ac:dyDescent="0.3">
      <c r="A782" s="5"/>
      <c r="B782" s="5"/>
      <c r="C782" s="5"/>
      <c r="D782" s="5"/>
      <c r="E782" s="5"/>
      <c r="F782" s="5"/>
      <c r="G782" s="5"/>
      <c r="H782" s="5"/>
      <c r="I782" s="5"/>
      <c r="J782" s="5"/>
      <c r="K782" s="5"/>
      <c r="L782" s="5"/>
      <c r="M782" s="5"/>
      <c r="N782" s="5"/>
      <c r="O782" s="5"/>
      <c r="P782" s="5"/>
      <c r="Q782" s="5"/>
      <c r="R782" s="5"/>
      <c r="S782" s="5"/>
      <c r="T782" s="5"/>
      <c r="U782" s="5"/>
      <c r="V782" s="5"/>
      <c r="W782" s="5"/>
    </row>
    <row r="783" spans="1:23" x14ac:dyDescent="0.3">
      <c r="A783" s="5"/>
      <c r="B783" s="5"/>
      <c r="C783" s="5"/>
      <c r="D783" s="5"/>
      <c r="E783" s="5"/>
      <c r="F783" s="5"/>
      <c r="G783" s="5"/>
      <c r="H783" s="5"/>
      <c r="I783" s="5"/>
      <c r="J783" s="5"/>
      <c r="K783" s="5"/>
      <c r="L783" s="5"/>
      <c r="M783" s="5"/>
      <c r="N783" s="5"/>
      <c r="O783" s="5"/>
      <c r="P783" s="5"/>
      <c r="Q783" s="5"/>
      <c r="R783" s="5"/>
      <c r="S783" s="5"/>
      <c r="T783" s="5"/>
      <c r="U783" s="5"/>
      <c r="V783" s="5"/>
      <c r="W783" s="5"/>
    </row>
    <row r="784" spans="1:23" x14ac:dyDescent="0.3">
      <c r="A784" s="5"/>
      <c r="B784" s="5"/>
      <c r="C784" s="5"/>
      <c r="D784" s="5"/>
      <c r="E784" s="5"/>
      <c r="F784" s="5"/>
      <c r="G784" s="5"/>
      <c r="H784" s="5"/>
      <c r="I784" s="5"/>
      <c r="J784" s="5"/>
      <c r="K784" s="5"/>
      <c r="L784" s="5"/>
      <c r="M784" s="5"/>
      <c r="N784" s="5"/>
      <c r="O784" s="5"/>
      <c r="P784" s="5"/>
      <c r="Q784" s="5"/>
      <c r="R784" s="5"/>
      <c r="S784" s="5"/>
      <c r="T784" s="5"/>
      <c r="U784" s="5"/>
      <c r="V784" s="5"/>
      <c r="W784" s="5"/>
    </row>
    <row r="785" spans="1:23" x14ac:dyDescent="0.3">
      <c r="A785" s="5"/>
      <c r="B785" s="5"/>
      <c r="C785" s="5"/>
      <c r="D785" s="5"/>
      <c r="E785" s="5"/>
      <c r="F785" s="5"/>
      <c r="G785" s="5"/>
      <c r="H785" s="5"/>
      <c r="I785" s="5"/>
      <c r="J785" s="5"/>
      <c r="K785" s="5"/>
      <c r="L785" s="5"/>
      <c r="M785" s="5"/>
      <c r="N785" s="5"/>
      <c r="O785" s="5"/>
      <c r="P785" s="5"/>
      <c r="Q785" s="5"/>
      <c r="R785" s="5"/>
      <c r="S785" s="5"/>
      <c r="T785" s="5"/>
      <c r="U785" s="5"/>
      <c r="V785" s="5"/>
      <c r="W785" s="5"/>
    </row>
    <row r="786" spans="1:23" x14ac:dyDescent="0.3">
      <c r="A786" s="5"/>
      <c r="B786" s="5"/>
      <c r="C786" s="5"/>
      <c r="D786" s="5"/>
      <c r="E786" s="5"/>
      <c r="F786" s="5"/>
      <c r="G786" s="5"/>
      <c r="H786" s="5"/>
      <c r="I786" s="5"/>
      <c r="J786" s="5"/>
      <c r="K786" s="5"/>
      <c r="L786" s="5"/>
      <c r="M786" s="5"/>
      <c r="N786" s="5"/>
      <c r="O786" s="5"/>
      <c r="P786" s="5"/>
      <c r="Q786" s="5"/>
      <c r="R786" s="5"/>
      <c r="S786" s="5"/>
      <c r="T786" s="5"/>
      <c r="U786" s="5"/>
      <c r="V786" s="5"/>
      <c r="W786" s="5"/>
    </row>
    <row r="787" spans="1:23" x14ac:dyDescent="0.3">
      <c r="A787" s="5"/>
      <c r="B787" s="5"/>
      <c r="C787" s="5"/>
      <c r="D787" s="5"/>
      <c r="E787" s="5"/>
      <c r="F787" s="5"/>
      <c r="G787" s="5"/>
      <c r="H787" s="5"/>
      <c r="I787" s="5"/>
      <c r="J787" s="5"/>
      <c r="K787" s="5"/>
      <c r="L787" s="5"/>
      <c r="M787" s="5"/>
      <c r="N787" s="5"/>
      <c r="O787" s="5"/>
      <c r="P787" s="5"/>
      <c r="Q787" s="5"/>
      <c r="R787" s="5"/>
      <c r="S787" s="5"/>
      <c r="T787" s="5"/>
      <c r="U787" s="5"/>
      <c r="V787" s="5"/>
      <c r="W787" s="5"/>
    </row>
    <row r="788" spans="1:23" x14ac:dyDescent="0.3">
      <c r="A788" s="5"/>
      <c r="B788" s="5"/>
      <c r="C788" s="5"/>
      <c r="D788" s="5"/>
      <c r="E788" s="5"/>
      <c r="F788" s="5"/>
      <c r="G788" s="5"/>
      <c r="H788" s="5"/>
      <c r="I788" s="5"/>
      <c r="J788" s="5"/>
      <c r="K788" s="5"/>
      <c r="L788" s="5"/>
      <c r="M788" s="5"/>
      <c r="N788" s="5"/>
      <c r="O788" s="5"/>
      <c r="P788" s="5"/>
      <c r="Q788" s="5"/>
      <c r="R788" s="5"/>
      <c r="S788" s="5"/>
      <c r="T788" s="5"/>
      <c r="U788" s="5"/>
      <c r="V788" s="5"/>
      <c r="W788" s="5"/>
    </row>
    <row r="789" spans="1:23" x14ac:dyDescent="0.3">
      <c r="A789" s="5"/>
      <c r="B789" s="5"/>
      <c r="C789" s="5"/>
      <c r="D789" s="5"/>
      <c r="E789" s="5"/>
      <c r="F789" s="5"/>
      <c r="G789" s="5"/>
      <c r="H789" s="5"/>
      <c r="I789" s="5"/>
      <c r="J789" s="5"/>
      <c r="K789" s="5"/>
      <c r="L789" s="5"/>
      <c r="M789" s="5"/>
      <c r="N789" s="5"/>
      <c r="O789" s="5"/>
      <c r="P789" s="5"/>
      <c r="Q789" s="5"/>
      <c r="R789" s="5"/>
      <c r="S789" s="5"/>
      <c r="T789" s="5"/>
      <c r="U789" s="5"/>
      <c r="V789" s="5"/>
      <c r="W789" s="5"/>
    </row>
    <row r="790" spans="1:23" x14ac:dyDescent="0.3">
      <c r="A790" s="5"/>
      <c r="B790" s="5"/>
      <c r="C790" s="5"/>
      <c r="D790" s="5"/>
      <c r="E790" s="5"/>
      <c r="F790" s="5"/>
      <c r="G790" s="5"/>
      <c r="H790" s="5"/>
      <c r="I790" s="5"/>
      <c r="J790" s="5"/>
      <c r="K790" s="5"/>
      <c r="L790" s="5"/>
      <c r="M790" s="5"/>
      <c r="N790" s="5"/>
      <c r="O790" s="5"/>
      <c r="P790" s="5"/>
      <c r="Q790" s="5"/>
      <c r="R790" s="5"/>
      <c r="S790" s="5"/>
      <c r="T790" s="5"/>
      <c r="U790" s="5"/>
      <c r="V790" s="5"/>
      <c r="W790" s="5"/>
    </row>
    <row r="791" spans="1:23" x14ac:dyDescent="0.3">
      <c r="A791" s="5"/>
      <c r="B791" s="5"/>
      <c r="C791" s="5"/>
      <c r="D791" s="5"/>
      <c r="E791" s="5"/>
      <c r="F791" s="5"/>
      <c r="G791" s="5"/>
      <c r="H791" s="5"/>
      <c r="I791" s="5"/>
      <c r="J791" s="5"/>
      <c r="K791" s="5"/>
      <c r="L791" s="5"/>
      <c r="M791" s="5"/>
      <c r="N791" s="5"/>
      <c r="O791" s="5"/>
      <c r="P791" s="5"/>
      <c r="Q791" s="5"/>
      <c r="R791" s="5"/>
      <c r="S791" s="5"/>
      <c r="T791" s="5"/>
      <c r="U791" s="5"/>
      <c r="V791" s="5"/>
      <c r="W791" s="5"/>
    </row>
    <row r="792" spans="1:23" x14ac:dyDescent="0.3">
      <c r="A792" s="5"/>
      <c r="B792" s="5"/>
      <c r="C792" s="5"/>
      <c r="D792" s="5"/>
      <c r="E792" s="5"/>
      <c r="F792" s="5"/>
      <c r="G792" s="5"/>
      <c r="H792" s="5"/>
      <c r="I792" s="5"/>
      <c r="J792" s="5"/>
      <c r="K792" s="5"/>
      <c r="L792" s="5"/>
      <c r="M792" s="5"/>
      <c r="N792" s="5"/>
      <c r="O792" s="5"/>
      <c r="P792" s="5"/>
      <c r="Q792" s="5"/>
      <c r="R792" s="5"/>
      <c r="S792" s="5"/>
      <c r="T792" s="5"/>
      <c r="U792" s="5"/>
      <c r="V792" s="5"/>
      <c r="W792" s="5"/>
    </row>
    <row r="793" spans="1:23" x14ac:dyDescent="0.3">
      <c r="A793" s="5"/>
      <c r="B793" s="5"/>
      <c r="C793" s="5"/>
      <c r="D793" s="5"/>
      <c r="E793" s="5"/>
      <c r="F793" s="5"/>
      <c r="G793" s="5"/>
      <c r="H793" s="5"/>
      <c r="I793" s="5"/>
      <c r="J793" s="5"/>
      <c r="K793" s="5"/>
      <c r="L793" s="5"/>
      <c r="M793" s="5"/>
      <c r="N793" s="5"/>
      <c r="O793" s="5"/>
      <c r="P793" s="5"/>
      <c r="Q793" s="5"/>
      <c r="R793" s="5"/>
      <c r="S793" s="5"/>
      <c r="T793" s="5"/>
      <c r="U793" s="5"/>
      <c r="V793" s="5"/>
      <c r="W793" s="5"/>
    </row>
    <row r="794" spans="1:23" x14ac:dyDescent="0.3">
      <c r="A794" s="5"/>
      <c r="B794" s="5"/>
      <c r="C794" s="5"/>
      <c r="D794" s="5"/>
      <c r="E794" s="5"/>
      <c r="F794" s="5"/>
      <c r="G794" s="5"/>
      <c r="H794" s="5"/>
      <c r="I794" s="5"/>
      <c r="J794" s="5"/>
      <c r="K794" s="5"/>
      <c r="L794" s="5"/>
      <c r="M794" s="5"/>
      <c r="N794" s="5"/>
      <c r="O794" s="5"/>
      <c r="P794" s="5"/>
      <c r="Q794" s="5"/>
      <c r="R794" s="5"/>
      <c r="S794" s="5"/>
      <c r="T794" s="5"/>
      <c r="U794" s="5"/>
      <c r="V794" s="5"/>
      <c r="W794" s="5"/>
    </row>
    <row r="795" spans="1:23" x14ac:dyDescent="0.3">
      <c r="A795" s="5"/>
      <c r="B795" s="5"/>
      <c r="C795" s="5"/>
      <c r="D795" s="5"/>
      <c r="E795" s="5"/>
      <c r="F795" s="5"/>
      <c r="G795" s="5"/>
      <c r="H795" s="5"/>
      <c r="I795" s="5"/>
      <c r="J795" s="5"/>
      <c r="K795" s="5"/>
      <c r="L795" s="5"/>
      <c r="M795" s="5"/>
      <c r="N795" s="5"/>
      <c r="O795" s="5"/>
      <c r="P795" s="5"/>
      <c r="Q795" s="5"/>
      <c r="R795" s="5"/>
      <c r="S795" s="5"/>
      <c r="T795" s="5"/>
      <c r="U795" s="5"/>
      <c r="V795" s="5"/>
      <c r="W795" s="5"/>
    </row>
    <row r="796" spans="1:23" x14ac:dyDescent="0.3">
      <c r="A796" s="5"/>
      <c r="B796" s="5"/>
      <c r="C796" s="5"/>
      <c r="D796" s="5"/>
      <c r="E796" s="5"/>
      <c r="F796" s="5"/>
      <c r="G796" s="5"/>
      <c r="H796" s="5"/>
      <c r="I796" s="5"/>
      <c r="J796" s="5"/>
      <c r="K796" s="5"/>
      <c r="L796" s="5"/>
      <c r="M796" s="5"/>
      <c r="N796" s="5"/>
      <c r="O796" s="5"/>
      <c r="P796" s="5"/>
      <c r="Q796" s="5"/>
      <c r="R796" s="5"/>
      <c r="S796" s="5"/>
      <c r="T796" s="5"/>
      <c r="U796" s="5"/>
      <c r="V796" s="5"/>
      <c r="W796" s="5"/>
    </row>
    <row r="797" spans="1:23" x14ac:dyDescent="0.3">
      <c r="A797" s="5"/>
      <c r="B797" s="5"/>
      <c r="C797" s="5"/>
      <c r="D797" s="5"/>
      <c r="E797" s="5"/>
      <c r="F797" s="5"/>
      <c r="G797" s="5"/>
      <c r="H797" s="5"/>
      <c r="I797" s="5"/>
      <c r="J797" s="5"/>
      <c r="K797" s="5"/>
      <c r="L797" s="5"/>
      <c r="M797" s="5"/>
      <c r="N797" s="5"/>
      <c r="O797" s="5"/>
      <c r="P797" s="5"/>
      <c r="Q797" s="5"/>
      <c r="R797" s="5"/>
      <c r="S797" s="5"/>
      <c r="T797" s="5"/>
      <c r="U797" s="5"/>
      <c r="V797" s="5"/>
      <c r="W797" s="5"/>
    </row>
    <row r="798" spans="1:23" x14ac:dyDescent="0.3">
      <c r="A798" s="5"/>
      <c r="B798" s="5"/>
      <c r="C798" s="5"/>
      <c r="D798" s="5"/>
      <c r="E798" s="5"/>
      <c r="F798" s="5"/>
      <c r="G798" s="5"/>
      <c r="H798" s="5"/>
      <c r="I798" s="5"/>
      <c r="J798" s="5"/>
      <c r="K798" s="5"/>
      <c r="L798" s="5"/>
      <c r="M798" s="5"/>
      <c r="N798" s="5"/>
      <c r="O798" s="5"/>
      <c r="P798" s="5"/>
      <c r="Q798" s="5"/>
      <c r="R798" s="5"/>
      <c r="S798" s="5"/>
      <c r="T798" s="5"/>
      <c r="U798" s="5"/>
      <c r="V798" s="5"/>
      <c r="W798" s="5"/>
    </row>
    <row r="799" spans="1:23" x14ac:dyDescent="0.3">
      <c r="A799" s="5"/>
      <c r="B799" s="5"/>
      <c r="C799" s="5"/>
      <c r="D799" s="5"/>
      <c r="E799" s="5"/>
      <c r="F799" s="5"/>
      <c r="G799" s="5"/>
      <c r="H799" s="5"/>
      <c r="I799" s="5"/>
      <c r="J799" s="5"/>
      <c r="K799" s="5"/>
      <c r="L799" s="5"/>
      <c r="M799" s="5"/>
      <c r="N799" s="5"/>
      <c r="O799" s="5"/>
      <c r="P799" s="5"/>
      <c r="Q799" s="5"/>
      <c r="R799" s="5"/>
      <c r="S799" s="5"/>
      <c r="T799" s="5"/>
      <c r="U799" s="5"/>
      <c r="V799" s="5"/>
      <c r="W799" s="5"/>
    </row>
    <row r="800" spans="1:23" x14ac:dyDescent="0.3">
      <c r="A800" s="5"/>
      <c r="B800" s="5"/>
      <c r="C800" s="5"/>
      <c r="D800" s="5"/>
      <c r="E800" s="5"/>
      <c r="F800" s="5"/>
      <c r="G800" s="5"/>
      <c r="H800" s="5"/>
      <c r="I800" s="5"/>
      <c r="J800" s="5"/>
      <c r="K800" s="5"/>
      <c r="L800" s="5"/>
      <c r="M800" s="5"/>
      <c r="N800" s="5"/>
      <c r="O800" s="5"/>
      <c r="P800" s="5"/>
      <c r="Q800" s="5"/>
      <c r="R800" s="5"/>
      <c r="S800" s="5"/>
      <c r="T800" s="5"/>
      <c r="U800" s="5"/>
      <c r="V800" s="5"/>
      <c r="W800" s="5"/>
    </row>
    <row r="801" spans="1:23" x14ac:dyDescent="0.3">
      <c r="A801" s="5"/>
      <c r="B801" s="5"/>
      <c r="C801" s="5"/>
      <c r="D801" s="5"/>
      <c r="E801" s="5"/>
      <c r="F801" s="5"/>
      <c r="G801" s="5"/>
      <c r="H801" s="5"/>
      <c r="I801" s="5"/>
      <c r="J801" s="5"/>
      <c r="K801" s="5"/>
      <c r="L801" s="5"/>
      <c r="M801" s="5"/>
      <c r="N801" s="5"/>
      <c r="O801" s="5"/>
      <c r="P801" s="5"/>
      <c r="Q801" s="5"/>
      <c r="R801" s="5"/>
      <c r="S801" s="5"/>
      <c r="T801" s="5"/>
      <c r="U801" s="5"/>
      <c r="V801" s="5"/>
      <c r="W801" s="5"/>
    </row>
    <row r="802" spans="1:23" x14ac:dyDescent="0.3">
      <c r="A802" s="5"/>
      <c r="B802" s="5"/>
      <c r="C802" s="5"/>
      <c r="D802" s="5"/>
      <c r="E802" s="5"/>
      <c r="F802" s="5"/>
      <c r="G802" s="5"/>
      <c r="H802" s="5"/>
      <c r="I802" s="5"/>
      <c r="J802" s="5"/>
      <c r="K802" s="5"/>
      <c r="L802" s="5"/>
      <c r="M802" s="5"/>
      <c r="N802" s="5"/>
      <c r="O802" s="5"/>
      <c r="P802" s="5"/>
      <c r="Q802" s="5"/>
      <c r="R802" s="5"/>
      <c r="S802" s="5"/>
      <c r="T802" s="5"/>
      <c r="U802" s="5"/>
      <c r="V802" s="5"/>
      <c r="W802" s="5"/>
    </row>
    <row r="803" spans="1:23" x14ac:dyDescent="0.3">
      <c r="A803" s="5"/>
      <c r="B803" s="5"/>
      <c r="C803" s="5"/>
      <c r="D803" s="5"/>
      <c r="E803" s="5"/>
      <c r="F803" s="5"/>
      <c r="G803" s="5"/>
      <c r="H803" s="5"/>
      <c r="I803" s="5"/>
      <c r="J803" s="5"/>
      <c r="K803" s="5"/>
      <c r="L803" s="5"/>
      <c r="M803" s="5"/>
      <c r="N803" s="5"/>
      <c r="O803" s="5"/>
      <c r="P803" s="5"/>
      <c r="Q803" s="5"/>
      <c r="R803" s="5"/>
      <c r="S803" s="5"/>
      <c r="T803" s="5"/>
      <c r="U803" s="5"/>
      <c r="V803" s="5"/>
      <c r="W803" s="5"/>
    </row>
    <row r="804" spans="1:23" x14ac:dyDescent="0.3">
      <c r="A804" s="5"/>
      <c r="B804" s="5"/>
      <c r="C804" s="5"/>
      <c r="D804" s="5"/>
      <c r="E804" s="5"/>
      <c r="F804" s="5"/>
      <c r="G804" s="5"/>
      <c r="H804" s="5"/>
      <c r="I804" s="5"/>
      <c r="J804" s="5"/>
      <c r="K804" s="5"/>
      <c r="L804" s="5"/>
      <c r="M804" s="5"/>
      <c r="N804" s="5"/>
      <c r="O804" s="5"/>
      <c r="P804" s="5"/>
      <c r="Q804" s="5"/>
      <c r="R804" s="5"/>
      <c r="S804" s="5"/>
      <c r="T804" s="5"/>
      <c r="U804" s="5"/>
      <c r="V804" s="5"/>
      <c r="W804" s="5"/>
    </row>
    <row r="805" spans="1:23" x14ac:dyDescent="0.3">
      <c r="A805" s="5"/>
      <c r="B805" s="5"/>
      <c r="C805" s="5"/>
      <c r="D805" s="5"/>
      <c r="E805" s="5"/>
      <c r="F805" s="5"/>
      <c r="G805" s="5"/>
      <c r="H805" s="5"/>
      <c r="I805" s="5"/>
      <c r="J805" s="5"/>
      <c r="K805" s="5"/>
      <c r="L805" s="5"/>
      <c r="M805" s="5"/>
      <c r="N805" s="5"/>
      <c r="O805" s="5"/>
      <c r="P805" s="5"/>
      <c r="Q805" s="5"/>
      <c r="R805" s="5"/>
      <c r="S805" s="5"/>
      <c r="T805" s="5"/>
      <c r="U805" s="5"/>
      <c r="V805" s="5"/>
      <c r="W805" s="5"/>
    </row>
    <row r="806" spans="1:23" x14ac:dyDescent="0.3">
      <c r="A806" s="5"/>
      <c r="B806" s="5"/>
      <c r="C806" s="5"/>
      <c r="D806" s="5"/>
      <c r="E806" s="5"/>
      <c r="F806" s="5"/>
      <c r="G806" s="5"/>
      <c r="H806" s="5"/>
      <c r="I806" s="5"/>
      <c r="J806" s="5"/>
      <c r="K806" s="5"/>
      <c r="L806" s="5"/>
      <c r="M806" s="5"/>
      <c r="N806" s="5"/>
      <c r="O806" s="5"/>
      <c r="P806" s="5"/>
      <c r="Q806" s="5"/>
      <c r="R806" s="5"/>
      <c r="S806" s="5"/>
      <c r="T806" s="5"/>
      <c r="U806" s="5"/>
      <c r="V806" s="5"/>
      <c r="W806" s="5"/>
    </row>
    <row r="807" spans="1:23" x14ac:dyDescent="0.3">
      <c r="A807" s="5"/>
      <c r="B807" s="5"/>
      <c r="C807" s="5"/>
      <c r="D807" s="5"/>
      <c r="E807" s="5"/>
      <c r="F807" s="5"/>
      <c r="G807" s="5"/>
      <c r="H807" s="5"/>
      <c r="I807" s="5"/>
      <c r="J807" s="5"/>
      <c r="K807" s="5"/>
      <c r="L807" s="5"/>
      <c r="M807" s="5"/>
      <c r="N807" s="5"/>
      <c r="O807" s="5"/>
      <c r="P807" s="5"/>
      <c r="Q807" s="5"/>
      <c r="R807" s="5"/>
      <c r="S807" s="5"/>
      <c r="T807" s="5"/>
      <c r="U807" s="5"/>
      <c r="V807" s="5"/>
      <c r="W807" s="5"/>
    </row>
    <row r="808" spans="1:23" x14ac:dyDescent="0.3">
      <c r="A808" s="5"/>
      <c r="B808" s="5"/>
      <c r="C808" s="5"/>
      <c r="D808" s="5"/>
      <c r="E808" s="5"/>
      <c r="F808" s="5"/>
      <c r="G808" s="5"/>
      <c r="H808" s="5"/>
      <c r="I808" s="5"/>
      <c r="J808" s="5"/>
      <c r="K808" s="5"/>
      <c r="L808" s="5"/>
      <c r="M808" s="5"/>
      <c r="N808" s="5"/>
      <c r="O808" s="5"/>
      <c r="P808" s="5"/>
      <c r="Q808" s="5"/>
      <c r="R808" s="5"/>
      <c r="S808" s="5"/>
      <c r="T808" s="5"/>
      <c r="U808" s="5"/>
      <c r="V808" s="5"/>
      <c r="W808" s="5"/>
    </row>
    <row r="809" spans="1:23" x14ac:dyDescent="0.3">
      <c r="A809" s="5"/>
      <c r="B809" s="5"/>
      <c r="C809" s="5"/>
      <c r="D809" s="5"/>
      <c r="E809" s="5"/>
      <c r="F809" s="5"/>
      <c r="G809" s="5"/>
      <c r="H809" s="5"/>
      <c r="I809" s="5"/>
      <c r="J809" s="5"/>
      <c r="K809" s="5"/>
      <c r="L809" s="5"/>
      <c r="M809" s="5"/>
      <c r="N809" s="5"/>
      <c r="O809" s="5"/>
      <c r="P809" s="5"/>
      <c r="Q809" s="5"/>
      <c r="R809" s="5"/>
      <c r="S809" s="5"/>
      <c r="T809" s="5"/>
      <c r="U809" s="5"/>
      <c r="V809" s="5"/>
      <c r="W809" s="5"/>
    </row>
    <row r="810" spans="1:23" x14ac:dyDescent="0.3">
      <c r="A810" s="5"/>
      <c r="B810" s="5"/>
      <c r="C810" s="5"/>
      <c r="D810" s="5"/>
      <c r="E810" s="5"/>
      <c r="F810" s="5"/>
      <c r="G810" s="5"/>
      <c r="H810" s="5"/>
      <c r="I810" s="5"/>
      <c r="J810" s="5"/>
      <c r="K810" s="5"/>
      <c r="L810" s="5"/>
      <c r="M810" s="5"/>
      <c r="N810" s="5"/>
      <c r="O810" s="5"/>
      <c r="P810" s="5"/>
      <c r="Q810" s="5"/>
      <c r="R810" s="5"/>
      <c r="S810" s="5"/>
      <c r="T810" s="5"/>
      <c r="U810" s="5"/>
      <c r="V810" s="5"/>
      <c r="W810" s="5"/>
    </row>
    <row r="811" spans="1:23" x14ac:dyDescent="0.3">
      <c r="A811" s="5"/>
      <c r="B811" s="5"/>
      <c r="C811" s="5"/>
      <c r="D811" s="5"/>
      <c r="E811" s="5"/>
      <c r="F811" s="5"/>
      <c r="G811" s="5"/>
      <c r="H811" s="5"/>
      <c r="I811" s="5"/>
      <c r="J811" s="5"/>
      <c r="K811" s="5"/>
      <c r="L811" s="5"/>
      <c r="M811" s="5"/>
      <c r="N811" s="5"/>
      <c r="O811" s="5"/>
      <c r="P811" s="5"/>
      <c r="Q811" s="5"/>
      <c r="R811" s="5"/>
      <c r="S811" s="5"/>
      <c r="T811" s="5"/>
      <c r="U811" s="5"/>
      <c r="V811" s="5"/>
      <c r="W811" s="5"/>
    </row>
    <row r="812" spans="1:23" x14ac:dyDescent="0.3">
      <c r="A812" s="5"/>
      <c r="B812" s="5"/>
      <c r="C812" s="5"/>
      <c r="D812" s="5"/>
      <c r="E812" s="5"/>
      <c r="F812" s="5"/>
      <c r="G812" s="5"/>
      <c r="H812" s="5"/>
      <c r="I812" s="5"/>
      <c r="J812" s="5"/>
      <c r="K812" s="5"/>
      <c r="L812" s="5"/>
      <c r="M812" s="5"/>
      <c r="N812" s="5"/>
      <c r="O812" s="5"/>
      <c r="P812" s="5"/>
      <c r="Q812" s="5"/>
      <c r="R812" s="5"/>
      <c r="S812" s="5"/>
      <c r="T812" s="5"/>
      <c r="U812" s="5"/>
      <c r="V812" s="5"/>
      <c r="W812" s="5"/>
    </row>
    <row r="813" spans="1:23" x14ac:dyDescent="0.3">
      <c r="A813" s="5"/>
      <c r="B813" s="5"/>
      <c r="C813" s="5"/>
      <c r="D813" s="5"/>
      <c r="E813" s="5"/>
      <c r="F813" s="5"/>
      <c r="G813" s="5"/>
      <c r="H813" s="5"/>
      <c r="I813" s="5"/>
      <c r="J813" s="5"/>
      <c r="K813" s="5"/>
      <c r="L813" s="5"/>
      <c r="M813" s="5"/>
      <c r="N813" s="5"/>
      <c r="O813" s="5"/>
      <c r="P813" s="5"/>
      <c r="Q813" s="5"/>
      <c r="R813" s="5"/>
      <c r="S813" s="5"/>
      <c r="T813" s="5"/>
      <c r="U813" s="5"/>
      <c r="V813" s="5"/>
      <c r="W813" s="5"/>
    </row>
    <row r="814" spans="1:23" x14ac:dyDescent="0.3">
      <c r="A814" s="5"/>
      <c r="B814" s="5"/>
      <c r="C814" s="5"/>
      <c r="D814" s="5"/>
      <c r="E814" s="5"/>
      <c r="F814" s="5"/>
      <c r="G814" s="5"/>
      <c r="H814" s="5"/>
      <c r="I814" s="5"/>
      <c r="J814" s="5"/>
      <c r="K814" s="5"/>
      <c r="L814" s="5"/>
      <c r="M814" s="5"/>
      <c r="N814" s="5"/>
      <c r="O814" s="5"/>
      <c r="P814" s="5"/>
      <c r="Q814" s="5"/>
      <c r="R814" s="5"/>
      <c r="S814" s="5"/>
      <c r="T814" s="5"/>
      <c r="U814" s="5"/>
      <c r="V814" s="5"/>
      <c r="W814" s="5"/>
    </row>
    <row r="815" spans="1:23" x14ac:dyDescent="0.3">
      <c r="A815" s="5"/>
      <c r="B815" s="5"/>
      <c r="C815" s="5"/>
      <c r="D815" s="5"/>
      <c r="E815" s="5"/>
      <c r="F815" s="5"/>
      <c r="G815" s="5"/>
      <c r="H815" s="5"/>
      <c r="I815" s="5"/>
      <c r="J815" s="5"/>
      <c r="K815" s="5"/>
      <c r="L815" s="5"/>
      <c r="M815" s="5"/>
      <c r="N815" s="5"/>
      <c r="O815" s="5"/>
      <c r="P815" s="5"/>
      <c r="Q815" s="5"/>
      <c r="R815" s="5"/>
      <c r="S815" s="5"/>
      <c r="T815" s="5"/>
      <c r="U815" s="5"/>
      <c r="V815" s="5"/>
      <c r="W815" s="5"/>
    </row>
    <row r="816" spans="1:23" x14ac:dyDescent="0.3">
      <c r="A816" s="5"/>
      <c r="B816" s="5"/>
      <c r="C816" s="5"/>
      <c r="D816" s="5"/>
      <c r="E816" s="5"/>
      <c r="F816" s="5"/>
      <c r="G816" s="5"/>
      <c r="H816" s="5"/>
      <c r="I816" s="5"/>
      <c r="J816" s="5"/>
      <c r="K816" s="5"/>
      <c r="L816" s="5"/>
      <c r="M816" s="5"/>
      <c r="N816" s="5"/>
      <c r="O816" s="5"/>
      <c r="P816" s="5"/>
      <c r="Q816" s="5"/>
      <c r="R816" s="5"/>
      <c r="S816" s="5"/>
      <c r="T816" s="5"/>
      <c r="U816" s="5"/>
      <c r="V816" s="5"/>
      <c r="W816" s="5"/>
    </row>
    <row r="817" spans="1:23" x14ac:dyDescent="0.3">
      <c r="A817" s="5"/>
      <c r="B817" s="5"/>
      <c r="C817" s="5"/>
      <c r="D817" s="5"/>
      <c r="E817" s="5"/>
      <c r="F817" s="5"/>
      <c r="G817" s="5"/>
      <c r="H817" s="5"/>
      <c r="I817" s="5"/>
      <c r="J817" s="5"/>
      <c r="K817" s="5"/>
      <c r="L817" s="5"/>
      <c r="M817" s="5"/>
      <c r="N817" s="5"/>
      <c r="O817" s="5"/>
      <c r="P817" s="5"/>
      <c r="Q817" s="5"/>
      <c r="R817" s="5"/>
      <c r="S817" s="5"/>
      <c r="T817" s="5"/>
      <c r="U817" s="5"/>
      <c r="V817" s="5"/>
      <c r="W817" s="5"/>
    </row>
    <row r="818" spans="1:23" x14ac:dyDescent="0.3">
      <c r="A818" s="5"/>
      <c r="B818" s="5"/>
      <c r="C818" s="5"/>
      <c r="D818" s="5"/>
      <c r="E818" s="5"/>
      <c r="F818" s="5"/>
      <c r="G818" s="5"/>
      <c r="H818" s="5"/>
      <c r="I818" s="5"/>
      <c r="J818" s="5"/>
      <c r="K818" s="5"/>
      <c r="L818" s="5"/>
      <c r="M818" s="5"/>
      <c r="N818" s="5"/>
      <c r="O818" s="5"/>
      <c r="P818" s="5"/>
      <c r="Q818" s="5"/>
      <c r="R818" s="5"/>
      <c r="S818" s="5"/>
      <c r="T818" s="5"/>
      <c r="U818" s="5"/>
      <c r="V818" s="5"/>
      <c r="W818" s="5"/>
    </row>
    <row r="819" spans="1:23" x14ac:dyDescent="0.3">
      <c r="A819" s="5"/>
      <c r="B819" s="5"/>
      <c r="C819" s="5"/>
      <c r="D819" s="5"/>
      <c r="E819" s="5"/>
      <c r="F819" s="5"/>
      <c r="G819" s="5"/>
      <c r="H819" s="5"/>
      <c r="I819" s="5"/>
      <c r="J819" s="5"/>
      <c r="K819" s="5"/>
      <c r="L819" s="5"/>
      <c r="M819" s="5"/>
      <c r="N819" s="5"/>
      <c r="O819" s="5"/>
      <c r="P819" s="5"/>
      <c r="Q819" s="5"/>
      <c r="R819" s="5"/>
      <c r="S819" s="5"/>
      <c r="T819" s="5"/>
      <c r="U819" s="5"/>
      <c r="V819" s="5"/>
      <c r="W819" s="5"/>
    </row>
    <row r="820" spans="1:23" x14ac:dyDescent="0.3">
      <c r="A820" s="5"/>
      <c r="B820" s="5"/>
      <c r="C820" s="5"/>
      <c r="D820" s="5"/>
      <c r="E820" s="5"/>
      <c r="F820" s="5"/>
      <c r="G820" s="5"/>
      <c r="H820" s="5"/>
      <c r="I820" s="5"/>
      <c r="J820" s="5"/>
      <c r="K820" s="5"/>
      <c r="L820" s="5"/>
      <c r="M820" s="5"/>
      <c r="N820" s="5"/>
      <c r="O820" s="5"/>
      <c r="P820" s="5"/>
      <c r="Q820" s="5"/>
      <c r="R820" s="5"/>
      <c r="S820" s="5"/>
      <c r="T820" s="5"/>
      <c r="U820" s="5"/>
      <c r="V820" s="5"/>
      <c r="W820" s="5"/>
    </row>
    <row r="821" spans="1:23" x14ac:dyDescent="0.3">
      <c r="A821" s="5"/>
      <c r="B821" s="5"/>
      <c r="C821" s="5"/>
      <c r="D821" s="5"/>
      <c r="E821" s="5"/>
      <c r="F821" s="5"/>
      <c r="G821" s="5"/>
      <c r="H821" s="5"/>
      <c r="I821" s="5"/>
      <c r="J821" s="5"/>
      <c r="K821" s="5"/>
      <c r="L821" s="5"/>
      <c r="M821" s="5"/>
      <c r="N821" s="5"/>
      <c r="O821" s="5"/>
      <c r="P821" s="5"/>
      <c r="Q821" s="5"/>
      <c r="R821" s="5"/>
      <c r="S821" s="5"/>
      <c r="T821" s="5"/>
      <c r="U821" s="5"/>
      <c r="V821" s="5"/>
      <c r="W821" s="5"/>
    </row>
    <row r="822" spans="1:23" x14ac:dyDescent="0.3">
      <c r="A822" s="5"/>
      <c r="B822" s="5"/>
      <c r="C822" s="5"/>
      <c r="D822" s="5"/>
      <c r="E822" s="5"/>
      <c r="F822" s="5"/>
      <c r="G822" s="5"/>
      <c r="H822" s="5"/>
      <c r="I822" s="5"/>
      <c r="J822" s="5"/>
      <c r="K822" s="5"/>
      <c r="L822" s="5"/>
      <c r="M822" s="5"/>
      <c r="N822" s="5"/>
      <c r="O822" s="5"/>
      <c r="P822" s="5"/>
      <c r="Q822" s="5"/>
      <c r="R822" s="5"/>
      <c r="S822" s="5"/>
      <c r="T822" s="5"/>
      <c r="U822" s="5"/>
      <c r="V822" s="5"/>
      <c r="W822" s="5"/>
    </row>
    <row r="823" spans="1:23" x14ac:dyDescent="0.3">
      <c r="A823" s="5"/>
      <c r="B823" s="5"/>
      <c r="C823" s="5"/>
      <c r="D823" s="5"/>
      <c r="E823" s="5"/>
      <c r="F823" s="5"/>
      <c r="G823" s="5"/>
      <c r="H823" s="5"/>
      <c r="I823" s="5"/>
      <c r="J823" s="5"/>
      <c r="K823" s="5"/>
      <c r="L823" s="5"/>
      <c r="M823" s="5"/>
      <c r="N823" s="5"/>
      <c r="O823" s="5"/>
      <c r="P823" s="5"/>
      <c r="Q823" s="5"/>
      <c r="R823" s="5"/>
      <c r="S823" s="5"/>
      <c r="T823" s="5"/>
      <c r="U823" s="5"/>
      <c r="V823" s="5"/>
      <c r="W823" s="5"/>
    </row>
    <row r="824" spans="1:23" x14ac:dyDescent="0.3">
      <c r="A824" s="5"/>
      <c r="B824" s="5"/>
      <c r="C824" s="5"/>
      <c r="D824" s="5"/>
      <c r="E824" s="5"/>
      <c r="F824" s="5"/>
      <c r="G824" s="5"/>
      <c r="H824" s="5"/>
      <c r="I824" s="5"/>
      <c r="J824" s="5"/>
      <c r="K824" s="5"/>
      <c r="L824" s="5"/>
      <c r="M824" s="5"/>
      <c r="N824" s="5"/>
      <c r="O824" s="5"/>
      <c r="P824" s="5"/>
      <c r="Q824" s="5"/>
      <c r="R824" s="5"/>
      <c r="S824" s="5"/>
      <c r="T824" s="5"/>
      <c r="U824" s="5"/>
      <c r="V824" s="5"/>
      <c r="W824" s="5"/>
    </row>
    <row r="825" spans="1:23" x14ac:dyDescent="0.3">
      <c r="A825" s="5"/>
      <c r="B825" s="5"/>
      <c r="C825" s="5"/>
      <c r="D825" s="5"/>
      <c r="E825" s="5"/>
      <c r="F825" s="5"/>
      <c r="G825" s="5"/>
      <c r="H825" s="5"/>
      <c r="I825" s="5"/>
      <c r="J825" s="5"/>
      <c r="K825" s="5"/>
      <c r="L825" s="5"/>
      <c r="M825" s="5"/>
      <c r="N825" s="5"/>
      <c r="O825" s="5"/>
      <c r="P825" s="5"/>
      <c r="Q825" s="5"/>
      <c r="R825" s="5"/>
      <c r="S825" s="5"/>
      <c r="T825" s="5"/>
      <c r="U825" s="5"/>
      <c r="V825" s="5"/>
      <c r="W825" s="5"/>
    </row>
    <row r="826" spans="1:23" x14ac:dyDescent="0.3">
      <c r="A826" s="5"/>
      <c r="B826" s="5"/>
      <c r="C826" s="5"/>
      <c r="D826" s="5"/>
      <c r="E826" s="5"/>
      <c r="F826" s="5"/>
      <c r="G826" s="5"/>
      <c r="H826" s="5"/>
      <c r="I826" s="5"/>
      <c r="J826" s="5"/>
      <c r="K826" s="5"/>
      <c r="L826" s="5"/>
      <c r="M826" s="5"/>
      <c r="N826" s="5"/>
      <c r="O826" s="5"/>
      <c r="P826" s="5"/>
      <c r="Q826" s="5"/>
      <c r="R826" s="5"/>
      <c r="S826" s="5"/>
      <c r="T826" s="5"/>
      <c r="U826" s="5"/>
      <c r="V826" s="5"/>
      <c r="W826" s="5"/>
    </row>
    <row r="827" spans="1:23" x14ac:dyDescent="0.3">
      <c r="A827" s="5"/>
      <c r="B827" s="5"/>
      <c r="C827" s="5"/>
      <c r="D827" s="5"/>
      <c r="E827" s="5"/>
      <c r="F827" s="5"/>
      <c r="G827" s="5"/>
      <c r="H827" s="5"/>
      <c r="I827" s="5"/>
      <c r="J827" s="5"/>
      <c r="K827" s="5"/>
      <c r="L827" s="5"/>
      <c r="M827" s="5"/>
      <c r="N827" s="5"/>
      <c r="O827" s="5"/>
      <c r="P827" s="5"/>
      <c r="Q827" s="5"/>
      <c r="R827" s="5"/>
      <c r="S827" s="5"/>
      <c r="T827" s="5"/>
      <c r="U827" s="5"/>
      <c r="V827" s="5"/>
      <c r="W827" s="5"/>
    </row>
    <row r="828" spans="1:23" x14ac:dyDescent="0.3">
      <c r="A828" s="5"/>
      <c r="B828" s="5"/>
      <c r="C828" s="5"/>
      <c r="D828" s="5"/>
      <c r="E828" s="5"/>
      <c r="F828" s="5"/>
      <c r="G828" s="5"/>
      <c r="H828" s="5"/>
      <c r="I828" s="5"/>
      <c r="J828" s="5"/>
      <c r="K828" s="5"/>
      <c r="L828" s="5"/>
      <c r="M828" s="5"/>
      <c r="N828" s="5"/>
      <c r="O828" s="5"/>
      <c r="P828" s="5"/>
      <c r="Q828" s="5"/>
      <c r="R828" s="5"/>
      <c r="S828" s="5"/>
      <c r="T828" s="5"/>
      <c r="U828" s="5"/>
      <c r="V828" s="5"/>
      <c r="W828" s="5"/>
    </row>
    <row r="829" spans="1:23" x14ac:dyDescent="0.3">
      <c r="A829" s="5"/>
      <c r="B829" s="5"/>
      <c r="C829" s="5"/>
      <c r="D829" s="5"/>
      <c r="E829" s="5"/>
      <c r="F829" s="5"/>
      <c r="G829" s="5"/>
      <c r="H829" s="5"/>
      <c r="I829" s="5"/>
      <c r="J829" s="5"/>
      <c r="K829" s="5"/>
      <c r="L829" s="5"/>
      <c r="M829" s="5"/>
      <c r="N829" s="5"/>
      <c r="O829" s="5"/>
      <c r="P829" s="5"/>
      <c r="Q829" s="5"/>
      <c r="R829" s="5"/>
      <c r="S829" s="5"/>
      <c r="T829" s="5"/>
      <c r="U829" s="5"/>
      <c r="V829" s="5"/>
      <c r="W829" s="5"/>
    </row>
    <row r="830" spans="1:23" x14ac:dyDescent="0.3">
      <c r="A830" s="5"/>
      <c r="B830" s="5"/>
      <c r="C830" s="5"/>
      <c r="D830" s="5"/>
      <c r="E830" s="5"/>
      <c r="F830" s="5"/>
      <c r="G830" s="5"/>
      <c r="H830" s="5"/>
      <c r="I830" s="5"/>
      <c r="J830" s="5"/>
      <c r="K830" s="5"/>
      <c r="L830" s="5"/>
      <c r="M830" s="5"/>
      <c r="N830" s="5"/>
      <c r="O830" s="5"/>
      <c r="P830" s="5"/>
      <c r="Q830" s="5"/>
      <c r="R830" s="5"/>
      <c r="S830" s="5"/>
      <c r="T830" s="5"/>
      <c r="U830" s="5"/>
      <c r="V830" s="5"/>
      <c r="W830" s="5"/>
    </row>
    <row r="831" spans="1:23" x14ac:dyDescent="0.3">
      <c r="A831" s="5"/>
      <c r="B831" s="5"/>
      <c r="C831" s="5"/>
      <c r="D831" s="5"/>
      <c r="E831" s="5"/>
      <c r="F831" s="5"/>
      <c r="G831" s="5"/>
      <c r="H831" s="5"/>
      <c r="I831" s="5"/>
      <c r="J831" s="5"/>
      <c r="K831" s="5"/>
      <c r="L831" s="5"/>
      <c r="M831" s="5"/>
      <c r="N831" s="5"/>
      <c r="O831" s="5"/>
      <c r="P831" s="5"/>
      <c r="Q831" s="5"/>
      <c r="R831" s="5"/>
      <c r="S831" s="5"/>
      <c r="T831" s="5"/>
      <c r="U831" s="5"/>
      <c r="V831" s="5"/>
      <c r="W831" s="5"/>
    </row>
    <row r="832" spans="1:23" x14ac:dyDescent="0.3">
      <c r="A832" s="5"/>
      <c r="B832" s="5"/>
      <c r="C832" s="5"/>
      <c r="D832" s="5"/>
      <c r="E832" s="5"/>
      <c r="F832" s="5"/>
      <c r="G832" s="5"/>
      <c r="H832" s="5"/>
      <c r="I832" s="5"/>
      <c r="J832" s="5"/>
      <c r="K832" s="5"/>
      <c r="L832" s="5"/>
      <c r="M832" s="5"/>
      <c r="N832" s="5"/>
      <c r="O832" s="5"/>
      <c r="P832" s="5"/>
      <c r="Q832" s="5"/>
      <c r="R832" s="5"/>
      <c r="S832" s="5"/>
      <c r="T832" s="5"/>
      <c r="U832" s="5"/>
      <c r="V832" s="5"/>
      <c r="W832" s="5"/>
    </row>
    <row r="833" spans="1:23" x14ac:dyDescent="0.3">
      <c r="A833" s="5"/>
      <c r="B833" s="5"/>
      <c r="C833" s="5"/>
      <c r="D833" s="5"/>
      <c r="E833" s="5"/>
      <c r="F833" s="5"/>
      <c r="G833" s="5"/>
      <c r="H833" s="5"/>
      <c r="I833" s="5"/>
      <c r="J833" s="5"/>
      <c r="K833" s="5"/>
      <c r="L833" s="5"/>
      <c r="M833" s="5"/>
      <c r="N833" s="5"/>
      <c r="O833" s="5"/>
      <c r="P833" s="5"/>
      <c r="Q833" s="5"/>
      <c r="R833" s="5"/>
      <c r="S833" s="5"/>
      <c r="T833" s="5"/>
      <c r="U833" s="5"/>
      <c r="V833" s="5"/>
      <c r="W833" s="5"/>
    </row>
    <row r="834" spans="1:23" x14ac:dyDescent="0.3">
      <c r="A834" s="5"/>
      <c r="B834" s="5"/>
      <c r="C834" s="5"/>
      <c r="D834" s="5"/>
      <c r="E834" s="5"/>
      <c r="F834" s="5"/>
      <c r="G834" s="5"/>
      <c r="H834" s="5"/>
      <c r="I834" s="5"/>
      <c r="J834" s="5"/>
      <c r="K834" s="5"/>
      <c r="L834" s="5"/>
      <c r="M834" s="5"/>
      <c r="N834" s="5"/>
      <c r="O834" s="5"/>
      <c r="P834" s="5"/>
      <c r="Q834" s="5"/>
      <c r="R834" s="5"/>
      <c r="S834" s="5"/>
      <c r="T834" s="5"/>
      <c r="U834" s="5"/>
      <c r="V834" s="5"/>
      <c r="W834" s="5"/>
    </row>
    <row r="835" spans="1:23" x14ac:dyDescent="0.3">
      <c r="A835" s="5"/>
      <c r="B835" s="5"/>
      <c r="C835" s="5"/>
      <c r="D835" s="5"/>
      <c r="E835" s="5"/>
      <c r="F835" s="5"/>
      <c r="G835" s="5"/>
      <c r="H835" s="5"/>
      <c r="I835" s="5"/>
      <c r="J835" s="5"/>
      <c r="K835" s="5"/>
      <c r="L835" s="5"/>
      <c r="M835" s="5"/>
      <c r="N835" s="5"/>
      <c r="O835" s="5"/>
      <c r="P835" s="5"/>
      <c r="Q835" s="5"/>
      <c r="R835" s="5"/>
      <c r="S835" s="5"/>
      <c r="T835" s="5"/>
      <c r="U835" s="5"/>
      <c r="V835" s="5"/>
      <c r="W835" s="5"/>
    </row>
    <row r="836" spans="1:23" x14ac:dyDescent="0.3">
      <c r="A836" s="5"/>
      <c r="B836" s="5"/>
      <c r="C836" s="5"/>
      <c r="D836" s="5"/>
      <c r="E836" s="5"/>
      <c r="F836" s="5"/>
      <c r="G836" s="5"/>
      <c r="H836" s="5"/>
      <c r="I836" s="5"/>
      <c r="J836" s="5"/>
      <c r="K836" s="5"/>
      <c r="L836" s="5"/>
      <c r="M836" s="5"/>
      <c r="N836" s="5"/>
      <c r="O836" s="5"/>
      <c r="P836" s="5"/>
      <c r="Q836" s="5"/>
      <c r="R836" s="5"/>
      <c r="S836" s="5"/>
      <c r="T836" s="5"/>
      <c r="U836" s="5"/>
      <c r="V836" s="5"/>
      <c r="W836" s="5"/>
    </row>
    <row r="837" spans="1:23" x14ac:dyDescent="0.3">
      <c r="A837" s="5"/>
      <c r="B837" s="5"/>
      <c r="C837" s="5"/>
      <c r="D837" s="5"/>
      <c r="E837" s="5"/>
      <c r="F837" s="5"/>
      <c r="G837" s="5"/>
      <c r="H837" s="5"/>
      <c r="I837" s="5"/>
      <c r="J837" s="5"/>
      <c r="K837" s="5"/>
      <c r="L837" s="5"/>
      <c r="M837" s="5"/>
      <c r="N837" s="5"/>
      <c r="O837" s="5"/>
      <c r="P837" s="5"/>
      <c r="Q837" s="5"/>
      <c r="R837" s="5"/>
      <c r="S837" s="5"/>
      <c r="T837" s="5"/>
      <c r="U837" s="5"/>
      <c r="V837" s="5"/>
      <c r="W837" s="5"/>
    </row>
    <row r="838" spans="1:23" x14ac:dyDescent="0.3">
      <c r="A838" s="5"/>
      <c r="B838" s="5"/>
      <c r="C838" s="5"/>
      <c r="D838" s="5"/>
      <c r="E838" s="5"/>
      <c r="F838" s="5"/>
      <c r="G838" s="5"/>
      <c r="H838" s="5"/>
      <c r="I838" s="5"/>
      <c r="J838" s="5"/>
      <c r="K838" s="5"/>
      <c r="L838" s="5"/>
      <c r="M838" s="5"/>
      <c r="N838" s="5"/>
      <c r="O838" s="5"/>
      <c r="P838" s="5"/>
      <c r="Q838" s="5"/>
      <c r="R838" s="5"/>
      <c r="S838" s="5"/>
      <c r="T838" s="5"/>
      <c r="U838" s="5"/>
      <c r="V838" s="5"/>
      <c r="W838" s="5"/>
    </row>
    <row r="839" spans="1:23" x14ac:dyDescent="0.3">
      <c r="A839" s="5"/>
      <c r="B839" s="5"/>
      <c r="C839" s="5"/>
      <c r="D839" s="5"/>
      <c r="E839" s="5"/>
      <c r="F839" s="5"/>
      <c r="G839" s="5"/>
      <c r="H839" s="5"/>
      <c r="I839" s="5"/>
      <c r="J839" s="5"/>
      <c r="K839" s="5"/>
      <c r="L839" s="5"/>
      <c r="M839" s="5"/>
      <c r="N839" s="5"/>
      <c r="O839" s="5"/>
      <c r="P839" s="5"/>
      <c r="Q839" s="5"/>
      <c r="R839" s="5"/>
      <c r="S839" s="5"/>
      <c r="T839" s="5"/>
      <c r="U839" s="5"/>
      <c r="V839" s="5"/>
      <c r="W839" s="5"/>
    </row>
    <row r="840" spans="1:23" x14ac:dyDescent="0.3">
      <c r="A840" s="5"/>
      <c r="B840" s="5"/>
      <c r="C840" s="5"/>
      <c r="D840" s="5"/>
      <c r="E840" s="5"/>
      <c r="F840" s="5"/>
      <c r="G840" s="5"/>
      <c r="H840" s="5"/>
      <c r="I840" s="5"/>
      <c r="J840" s="5"/>
      <c r="K840" s="5"/>
      <c r="L840" s="5"/>
      <c r="M840" s="5"/>
      <c r="N840" s="5"/>
      <c r="O840" s="5"/>
      <c r="P840" s="5"/>
      <c r="Q840" s="5"/>
      <c r="R840" s="5"/>
      <c r="S840" s="5"/>
      <c r="T840" s="5"/>
      <c r="U840" s="5"/>
      <c r="V840" s="5"/>
      <c r="W840" s="5"/>
    </row>
    <row r="841" spans="1:23" x14ac:dyDescent="0.3">
      <c r="A841" s="5"/>
      <c r="B841" s="5"/>
      <c r="C841" s="5"/>
      <c r="D841" s="5"/>
      <c r="E841" s="5"/>
      <c r="F841" s="5"/>
      <c r="G841" s="5"/>
      <c r="H841" s="5"/>
      <c r="I841" s="5"/>
      <c r="J841" s="5"/>
      <c r="K841" s="5"/>
      <c r="L841" s="5"/>
      <c r="M841" s="5"/>
      <c r="N841" s="5"/>
      <c r="O841" s="5"/>
      <c r="P841" s="5"/>
      <c r="Q841" s="5"/>
      <c r="R841" s="5"/>
      <c r="S841" s="5"/>
      <c r="T841" s="5"/>
      <c r="U841" s="5"/>
      <c r="V841" s="5"/>
      <c r="W841" s="5"/>
    </row>
    <row r="842" spans="1:23" x14ac:dyDescent="0.3">
      <c r="A842" s="5"/>
      <c r="B842" s="5"/>
      <c r="C842" s="5"/>
      <c r="D842" s="5"/>
      <c r="E842" s="5"/>
      <c r="F842" s="5"/>
      <c r="G842" s="5"/>
      <c r="H842" s="5"/>
      <c r="I842" s="5"/>
      <c r="J842" s="5"/>
      <c r="K842" s="5"/>
      <c r="L842" s="5"/>
      <c r="M842" s="5"/>
      <c r="N842" s="5"/>
      <c r="O842" s="5"/>
      <c r="P842" s="5"/>
      <c r="Q842" s="5"/>
      <c r="R842" s="5"/>
      <c r="S842" s="5"/>
      <c r="T842" s="5"/>
      <c r="U842" s="5"/>
      <c r="V842" s="5"/>
      <c r="W842" s="5"/>
    </row>
    <row r="843" spans="1:23" x14ac:dyDescent="0.3">
      <c r="A843" s="5"/>
      <c r="B843" s="5"/>
      <c r="C843" s="5"/>
      <c r="D843" s="5"/>
      <c r="E843" s="5"/>
      <c r="F843" s="5"/>
      <c r="G843" s="5"/>
      <c r="H843" s="5"/>
      <c r="I843" s="5"/>
      <c r="J843" s="5"/>
      <c r="K843" s="5"/>
      <c r="L843" s="5"/>
      <c r="M843" s="5"/>
      <c r="N843" s="5"/>
      <c r="O843" s="5"/>
      <c r="P843" s="5"/>
      <c r="Q843" s="5"/>
      <c r="R843" s="5"/>
      <c r="S843" s="5"/>
      <c r="T843" s="5"/>
      <c r="U843" s="5"/>
      <c r="V843" s="5"/>
      <c r="W843" s="5"/>
    </row>
    <row r="844" spans="1:23" x14ac:dyDescent="0.3">
      <c r="A844" s="5"/>
      <c r="B844" s="5"/>
      <c r="C844" s="5"/>
      <c r="D844" s="5"/>
      <c r="E844" s="5"/>
      <c r="F844" s="5"/>
      <c r="G844" s="5"/>
      <c r="H844" s="5"/>
      <c r="I844" s="5"/>
      <c r="J844" s="5"/>
      <c r="K844" s="5"/>
      <c r="L844" s="5"/>
      <c r="M844" s="5"/>
      <c r="N844" s="5"/>
      <c r="O844" s="5"/>
      <c r="P844" s="5"/>
      <c r="Q844" s="5"/>
      <c r="R844" s="5"/>
      <c r="S844" s="5"/>
      <c r="T844" s="5"/>
      <c r="U844" s="5"/>
      <c r="V844" s="5"/>
      <c r="W844" s="5"/>
    </row>
    <row r="845" spans="1:23" x14ac:dyDescent="0.3">
      <c r="A845" s="5"/>
      <c r="B845" s="5"/>
      <c r="C845" s="5"/>
      <c r="D845" s="5"/>
      <c r="E845" s="5"/>
      <c r="F845" s="5"/>
      <c r="G845" s="5"/>
      <c r="H845" s="5"/>
      <c r="I845" s="5"/>
      <c r="J845" s="5"/>
      <c r="K845" s="5"/>
      <c r="L845" s="5"/>
      <c r="M845" s="5"/>
      <c r="N845" s="5"/>
      <c r="O845" s="5"/>
      <c r="P845" s="5"/>
      <c r="Q845" s="5"/>
      <c r="R845" s="5"/>
      <c r="S845" s="5"/>
      <c r="T845" s="5"/>
      <c r="U845" s="5"/>
      <c r="V845" s="5"/>
      <c r="W845" s="5"/>
    </row>
    <row r="846" spans="1:23" x14ac:dyDescent="0.3">
      <c r="A846" s="5"/>
      <c r="B846" s="5"/>
      <c r="C846" s="5"/>
      <c r="D846" s="5"/>
      <c r="E846" s="5"/>
      <c r="F846" s="5"/>
      <c r="G846" s="5"/>
      <c r="H846" s="5"/>
      <c r="I846" s="5"/>
      <c r="J846" s="5"/>
      <c r="K846" s="5"/>
      <c r="L846" s="5"/>
      <c r="M846" s="5"/>
      <c r="N846" s="5"/>
      <c r="O846" s="5"/>
      <c r="P846" s="5"/>
      <c r="Q846" s="5"/>
      <c r="R846" s="5"/>
      <c r="S846" s="5"/>
      <c r="T846" s="5"/>
      <c r="U846" s="5"/>
      <c r="V846" s="5"/>
      <c r="W846" s="5"/>
    </row>
    <row r="847" spans="1:23" x14ac:dyDescent="0.3">
      <c r="A847" s="5"/>
      <c r="B847" s="5"/>
      <c r="C847" s="5"/>
      <c r="D847" s="5"/>
      <c r="E847" s="5"/>
      <c r="F847" s="5"/>
      <c r="G847" s="5"/>
      <c r="H847" s="5"/>
      <c r="I847" s="5"/>
      <c r="J847" s="5"/>
      <c r="K847" s="5"/>
      <c r="L847" s="5"/>
      <c r="M847" s="5"/>
      <c r="N847" s="5"/>
      <c r="O847" s="5"/>
      <c r="P847" s="5"/>
      <c r="Q847" s="5"/>
      <c r="R847" s="5"/>
      <c r="S847" s="5"/>
      <c r="T847" s="5"/>
      <c r="U847" s="5"/>
      <c r="V847" s="5"/>
      <c r="W847" s="5"/>
    </row>
    <row r="848" spans="1:23" x14ac:dyDescent="0.3">
      <c r="A848" s="5"/>
      <c r="B848" s="5"/>
      <c r="C848" s="5"/>
      <c r="D848" s="5"/>
      <c r="E848" s="5"/>
      <c r="F848" s="5"/>
      <c r="G848" s="5"/>
      <c r="H848" s="5"/>
      <c r="I848" s="5"/>
      <c r="J848" s="5"/>
      <c r="K848" s="5"/>
      <c r="L848" s="5"/>
      <c r="M848" s="5"/>
      <c r="N848" s="5"/>
      <c r="O848" s="5"/>
      <c r="P848" s="5"/>
      <c r="Q848" s="5"/>
      <c r="R848" s="5"/>
      <c r="S848" s="5"/>
      <c r="T848" s="5"/>
      <c r="U848" s="5"/>
      <c r="V848" s="5"/>
      <c r="W848" s="5"/>
    </row>
    <row r="849" spans="1:23" x14ac:dyDescent="0.3">
      <c r="A849" s="5"/>
      <c r="B849" s="5"/>
      <c r="C849" s="5"/>
      <c r="D849" s="5"/>
      <c r="E849" s="5"/>
      <c r="F849" s="5"/>
      <c r="G849" s="5"/>
      <c r="H849" s="5"/>
      <c r="I849" s="5"/>
      <c r="J849" s="5"/>
      <c r="K849" s="5"/>
      <c r="L849" s="5"/>
      <c r="M849" s="5"/>
      <c r="N849" s="5"/>
      <c r="O849" s="5"/>
      <c r="P849" s="5"/>
      <c r="Q849" s="5"/>
      <c r="R849" s="5"/>
      <c r="S849" s="5"/>
      <c r="T849" s="5"/>
      <c r="U849" s="5"/>
      <c r="V849" s="5"/>
      <c r="W849" s="5"/>
    </row>
    <row r="850" spans="1:23" x14ac:dyDescent="0.3">
      <c r="A850" s="5"/>
      <c r="B850" s="5"/>
      <c r="C850" s="5"/>
      <c r="D850" s="5"/>
      <c r="E850" s="5"/>
      <c r="F850" s="5"/>
      <c r="G850" s="5"/>
      <c r="H850" s="5"/>
      <c r="I850" s="5"/>
      <c r="J850" s="5"/>
      <c r="K850" s="5"/>
      <c r="L850" s="5"/>
      <c r="M850" s="5"/>
      <c r="N850" s="5"/>
      <c r="O850" s="5"/>
      <c r="P850" s="5"/>
      <c r="Q850" s="5"/>
      <c r="R850" s="5"/>
      <c r="S850" s="5"/>
      <c r="T850" s="5"/>
      <c r="U850" s="5"/>
      <c r="V850" s="5"/>
      <c r="W850" s="5"/>
    </row>
    <row r="851" spans="1:23" x14ac:dyDescent="0.3">
      <c r="A851" s="5"/>
      <c r="B851" s="5"/>
      <c r="C851" s="5"/>
      <c r="D851" s="5"/>
      <c r="E851" s="5"/>
      <c r="F851" s="5"/>
      <c r="G851" s="5"/>
      <c r="H851" s="5"/>
      <c r="I851" s="5"/>
      <c r="J851" s="5"/>
      <c r="K851" s="5"/>
      <c r="L851" s="5"/>
      <c r="M851" s="5"/>
      <c r="N851" s="5"/>
      <c r="O851" s="5"/>
      <c r="P851" s="5"/>
      <c r="Q851" s="5"/>
      <c r="R851" s="5"/>
      <c r="S851" s="5"/>
      <c r="T851" s="5"/>
      <c r="U851" s="5"/>
      <c r="V851" s="5"/>
      <c r="W851" s="5"/>
    </row>
    <row r="852" spans="1:23" x14ac:dyDescent="0.3">
      <c r="A852" s="5"/>
      <c r="B852" s="5"/>
      <c r="C852" s="5"/>
      <c r="D852" s="5"/>
      <c r="E852" s="5"/>
      <c r="F852" s="5"/>
      <c r="G852" s="5"/>
      <c r="H852" s="5"/>
      <c r="I852" s="5"/>
      <c r="J852" s="5"/>
      <c r="K852" s="5"/>
      <c r="L852" s="5"/>
      <c r="M852" s="5"/>
      <c r="N852" s="5"/>
      <c r="O852" s="5"/>
      <c r="P852" s="5"/>
      <c r="Q852" s="5"/>
      <c r="R852" s="5"/>
      <c r="S852" s="5"/>
      <c r="T852" s="5"/>
      <c r="U852" s="5"/>
      <c r="V852" s="5"/>
      <c r="W852" s="5"/>
    </row>
    <row r="853" spans="1:23" x14ac:dyDescent="0.3">
      <c r="A853" s="5"/>
      <c r="B853" s="5"/>
      <c r="C853" s="5"/>
      <c r="D853" s="5"/>
      <c r="E853" s="5"/>
      <c r="F853" s="5"/>
      <c r="G853" s="5"/>
      <c r="H853" s="5"/>
      <c r="I853" s="5"/>
      <c r="J853" s="5"/>
      <c r="K853" s="5"/>
      <c r="L853" s="5"/>
      <c r="M853" s="5"/>
      <c r="N853" s="5"/>
      <c r="O853" s="5"/>
      <c r="P853" s="5"/>
      <c r="Q853" s="5"/>
      <c r="R853" s="5"/>
      <c r="S853" s="5"/>
      <c r="T853" s="5"/>
      <c r="U853" s="5"/>
      <c r="V853" s="5"/>
      <c r="W853" s="5"/>
    </row>
    <row r="854" spans="1:23" x14ac:dyDescent="0.3">
      <c r="A854" s="5"/>
      <c r="B854" s="5"/>
      <c r="C854" s="5"/>
      <c r="D854" s="5"/>
      <c r="E854" s="5"/>
      <c r="F854" s="5"/>
      <c r="G854" s="5"/>
      <c r="H854" s="5"/>
      <c r="I854" s="5"/>
      <c r="J854" s="5"/>
      <c r="K854" s="5"/>
      <c r="L854" s="5"/>
      <c r="M854" s="5"/>
      <c r="N854" s="5"/>
      <c r="O854" s="5"/>
      <c r="P854" s="5"/>
      <c r="Q854" s="5"/>
      <c r="R854" s="5"/>
      <c r="S854" s="5"/>
      <c r="T854" s="5"/>
      <c r="U854" s="5"/>
      <c r="V854" s="5"/>
      <c r="W854" s="5"/>
    </row>
    <row r="855" spans="1:23" x14ac:dyDescent="0.3">
      <c r="A855" s="5"/>
      <c r="B855" s="5"/>
      <c r="C855" s="5"/>
      <c r="D855" s="5"/>
      <c r="E855" s="5"/>
      <c r="F855" s="5"/>
      <c r="G855" s="5"/>
      <c r="H855" s="5"/>
      <c r="I855" s="5"/>
      <c r="J855" s="5"/>
      <c r="K855" s="5"/>
      <c r="L855" s="5"/>
      <c r="M855" s="5"/>
      <c r="N855" s="5"/>
      <c r="O855" s="5"/>
      <c r="P855" s="5"/>
      <c r="Q855" s="5"/>
      <c r="R855" s="5"/>
      <c r="S855" s="5"/>
      <c r="T855" s="5"/>
      <c r="U855" s="5"/>
      <c r="V855" s="5"/>
      <c r="W855" s="5"/>
    </row>
    <row r="856" spans="1:23" x14ac:dyDescent="0.3">
      <c r="A856" s="5"/>
      <c r="B856" s="5"/>
      <c r="C856" s="5"/>
      <c r="D856" s="5"/>
      <c r="E856" s="5"/>
      <c r="F856" s="5"/>
      <c r="G856" s="5"/>
      <c r="H856" s="5"/>
      <c r="I856" s="5"/>
      <c r="J856" s="5"/>
      <c r="K856" s="5"/>
      <c r="L856" s="5"/>
      <c r="M856" s="5"/>
      <c r="N856" s="5"/>
      <c r="O856" s="5"/>
      <c r="P856" s="5"/>
      <c r="Q856" s="5"/>
      <c r="R856" s="5"/>
      <c r="S856" s="5"/>
      <c r="T856" s="5"/>
      <c r="U856" s="5"/>
      <c r="V856" s="5"/>
      <c r="W856" s="5"/>
    </row>
    <row r="857" spans="1:23" x14ac:dyDescent="0.3">
      <c r="A857" s="5"/>
      <c r="B857" s="5"/>
      <c r="C857" s="5"/>
      <c r="D857" s="5"/>
      <c r="E857" s="5"/>
      <c r="F857" s="5"/>
      <c r="G857" s="5"/>
      <c r="H857" s="5"/>
      <c r="I857" s="5"/>
      <c r="J857" s="5"/>
      <c r="K857" s="5"/>
      <c r="L857" s="5"/>
      <c r="M857" s="5"/>
      <c r="N857" s="5"/>
      <c r="O857" s="5"/>
      <c r="P857" s="5"/>
      <c r="Q857" s="5"/>
      <c r="R857" s="5"/>
      <c r="S857" s="5"/>
      <c r="T857" s="5"/>
      <c r="U857" s="5"/>
      <c r="V857" s="5"/>
      <c r="W857" s="5"/>
    </row>
    <row r="858" spans="1:23" x14ac:dyDescent="0.3">
      <c r="A858" s="5"/>
      <c r="B858" s="5"/>
      <c r="C858" s="5"/>
      <c r="D858" s="5"/>
      <c r="E858" s="5"/>
      <c r="F858" s="5"/>
      <c r="G858" s="5"/>
      <c r="H858" s="5"/>
      <c r="I858" s="5"/>
      <c r="J858" s="5"/>
      <c r="K858" s="5"/>
      <c r="L858" s="5"/>
      <c r="M858" s="5"/>
      <c r="N858" s="5"/>
      <c r="O858" s="5"/>
      <c r="P858" s="5"/>
      <c r="Q858" s="5"/>
      <c r="R858" s="5"/>
      <c r="S858" s="5"/>
      <c r="T858" s="5"/>
      <c r="U858" s="5"/>
      <c r="V858" s="5"/>
      <c r="W858" s="5"/>
    </row>
    <row r="859" spans="1:23" x14ac:dyDescent="0.3">
      <c r="A859" s="5"/>
      <c r="B859" s="5"/>
      <c r="C859" s="5"/>
      <c r="D859" s="5"/>
      <c r="E859" s="5"/>
      <c r="F859" s="5"/>
      <c r="G859" s="5"/>
      <c r="H859" s="5"/>
      <c r="I859" s="5"/>
      <c r="J859" s="5"/>
      <c r="K859" s="5"/>
      <c r="L859" s="5"/>
      <c r="M859" s="5"/>
      <c r="N859" s="5"/>
      <c r="O859" s="5"/>
      <c r="P859" s="5"/>
      <c r="Q859" s="5"/>
      <c r="R859" s="5"/>
      <c r="S859" s="5"/>
      <c r="T859" s="5"/>
      <c r="U859" s="5"/>
      <c r="V859" s="5"/>
      <c r="W859" s="5"/>
    </row>
    <row r="860" spans="1:23" x14ac:dyDescent="0.3">
      <c r="A860" s="5"/>
      <c r="B860" s="5"/>
      <c r="C860" s="5"/>
      <c r="D860" s="5"/>
      <c r="E860" s="5"/>
      <c r="F860" s="5"/>
      <c r="G860" s="5"/>
      <c r="H860" s="5"/>
      <c r="I860" s="5"/>
      <c r="J860" s="5"/>
      <c r="K860" s="5"/>
      <c r="L860" s="5"/>
      <c r="M860" s="5"/>
      <c r="N860" s="5"/>
      <c r="O860" s="5"/>
      <c r="P860" s="5"/>
      <c r="Q860" s="5"/>
      <c r="R860" s="5"/>
      <c r="S860" s="5"/>
      <c r="T860" s="5"/>
      <c r="U860" s="5"/>
      <c r="V860" s="5"/>
      <c r="W860" s="5"/>
    </row>
    <row r="861" spans="1:23" x14ac:dyDescent="0.3">
      <c r="A861" s="5"/>
      <c r="B861" s="5"/>
      <c r="C861" s="5"/>
      <c r="D861" s="5"/>
      <c r="E861" s="5"/>
      <c r="F861" s="5"/>
      <c r="G861" s="5"/>
      <c r="H861" s="5"/>
      <c r="I861" s="5"/>
      <c r="J861" s="5"/>
      <c r="K861" s="5"/>
      <c r="L861" s="5"/>
      <c r="M861" s="5"/>
      <c r="N861" s="5"/>
      <c r="O861" s="5"/>
      <c r="P861" s="5"/>
      <c r="Q861" s="5"/>
      <c r="R861" s="5"/>
      <c r="S861" s="5"/>
      <c r="T861" s="5"/>
      <c r="U861" s="5"/>
      <c r="V861" s="5"/>
      <c r="W861" s="5"/>
    </row>
    <row r="862" spans="1:23" x14ac:dyDescent="0.3">
      <c r="A862" s="5"/>
      <c r="B862" s="5"/>
      <c r="C862" s="5"/>
      <c r="D862" s="5"/>
      <c r="E862" s="5"/>
      <c r="F862" s="5"/>
      <c r="G862" s="5"/>
      <c r="H862" s="5"/>
      <c r="I862" s="5"/>
      <c r="J862" s="5"/>
      <c r="K862" s="5"/>
      <c r="L862" s="5"/>
      <c r="M862" s="5"/>
      <c r="N862" s="5"/>
      <c r="O862" s="5"/>
      <c r="P862" s="5"/>
      <c r="Q862" s="5"/>
      <c r="R862" s="5"/>
      <c r="S862" s="5"/>
      <c r="T862" s="5"/>
      <c r="U862" s="5"/>
      <c r="V862" s="5"/>
      <c r="W862" s="5"/>
    </row>
    <row r="863" spans="1:23" x14ac:dyDescent="0.3">
      <c r="A863" s="5"/>
      <c r="B863" s="5"/>
      <c r="C863" s="5"/>
      <c r="D863" s="5"/>
      <c r="E863" s="5"/>
      <c r="F863" s="5"/>
      <c r="G863" s="5"/>
      <c r="H863" s="5"/>
      <c r="I863" s="5"/>
      <c r="J863" s="5"/>
      <c r="K863" s="5"/>
      <c r="L863" s="5"/>
      <c r="M863" s="5"/>
      <c r="N863" s="5"/>
      <c r="O863" s="5"/>
      <c r="P863" s="5"/>
      <c r="Q863" s="5"/>
      <c r="R863" s="5"/>
      <c r="S863" s="5"/>
      <c r="T863" s="5"/>
      <c r="U863" s="5"/>
      <c r="V863" s="5"/>
      <c r="W863" s="5"/>
    </row>
    <row r="864" spans="1:23" x14ac:dyDescent="0.3">
      <c r="A864" s="5"/>
      <c r="B864" s="5"/>
      <c r="C864" s="5"/>
      <c r="D864" s="5"/>
      <c r="E864" s="5"/>
      <c r="F864" s="5"/>
      <c r="G864" s="5"/>
      <c r="H864" s="5"/>
      <c r="I864" s="5"/>
      <c r="J864" s="5"/>
      <c r="K864" s="5"/>
      <c r="L864" s="5"/>
      <c r="M864" s="5"/>
      <c r="N864" s="5"/>
      <c r="O864" s="5"/>
      <c r="P864" s="5"/>
      <c r="Q864" s="5"/>
      <c r="R864" s="5"/>
      <c r="S864" s="5"/>
      <c r="T864" s="5"/>
      <c r="U864" s="5"/>
      <c r="V864" s="5"/>
      <c r="W864" s="5"/>
    </row>
    <row r="865" spans="1:23" x14ac:dyDescent="0.3">
      <c r="A865" s="5"/>
      <c r="B865" s="5"/>
      <c r="C865" s="5"/>
      <c r="D865" s="5"/>
      <c r="E865" s="5"/>
      <c r="F865" s="5"/>
      <c r="G865" s="5"/>
      <c r="H865" s="5"/>
      <c r="I865" s="5"/>
      <c r="J865" s="5"/>
      <c r="K865" s="5"/>
      <c r="L865" s="5"/>
      <c r="M865" s="5"/>
      <c r="N865" s="5"/>
      <c r="O865" s="5"/>
      <c r="P865" s="5"/>
      <c r="Q865" s="5"/>
      <c r="R865" s="5"/>
      <c r="S865" s="5"/>
      <c r="T865" s="5"/>
      <c r="U865" s="5"/>
      <c r="V865" s="5"/>
      <c r="W865" s="5"/>
    </row>
    <row r="866" spans="1:23" x14ac:dyDescent="0.3">
      <c r="A866" s="5"/>
      <c r="B866" s="5"/>
      <c r="C866" s="5"/>
      <c r="D866" s="5"/>
      <c r="E866" s="5"/>
      <c r="F866" s="5"/>
      <c r="G866" s="5"/>
      <c r="H866" s="5"/>
      <c r="I866" s="5"/>
      <c r="J866" s="5"/>
      <c r="K866" s="5"/>
      <c r="L866" s="5"/>
      <c r="M866" s="5"/>
      <c r="N866" s="5"/>
      <c r="O866" s="5"/>
      <c r="P866" s="5"/>
      <c r="Q866" s="5"/>
      <c r="R866" s="5"/>
      <c r="S866" s="5"/>
      <c r="T866" s="5"/>
      <c r="U866" s="5"/>
      <c r="V866" s="5"/>
      <c r="W866" s="5"/>
    </row>
    <row r="867" spans="1:23" x14ac:dyDescent="0.3">
      <c r="A867" s="5"/>
      <c r="B867" s="5"/>
      <c r="C867" s="5"/>
      <c r="D867" s="5"/>
      <c r="E867" s="5"/>
      <c r="F867" s="5"/>
      <c r="G867" s="5"/>
      <c r="H867" s="5"/>
      <c r="I867" s="5"/>
      <c r="J867" s="5"/>
      <c r="K867" s="5"/>
      <c r="L867" s="5"/>
      <c r="M867" s="5"/>
      <c r="N867" s="5"/>
      <c r="O867" s="5"/>
      <c r="P867" s="5"/>
      <c r="Q867" s="5"/>
      <c r="R867" s="5"/>
      <c r="S867" s="5"/>
      <c r="T867" s="5"/>
      <c r="U867" s="5"/>
      <c r="V867" s="5"/>
      <c r="W867" s="5"/>
    </row>
    <row r="868" spans="1:23" x14ac:dyDescent="0.3">
      <c r="A868" s="5"/>
      <c r="B868" s="5"/>
      <c r="C868" s="5"/>
      <c r="D868" s="5"/>
      <c r="E868" s="5"/>
      <c r="F868" s="5"/>
      <c r="G868" s="5"/>
      <c r="H868" s="5"/>
      <c r="I868" s="5"/>
      <c r="J868" s="5"/>
      <c r="K868" s="5"/>
      <c r="L868" s="5"/>
      <c r="M868" s="5"/>
      <c r="N868" s="5"/>
      <c r="O868" s="5"/>
      <c r="P868" s="5"/>
      <c r="Q868" s="5"/>
      <c r="R868" s="5"/>
      <c r="S868" s="5"/>
      <c r="T868" s="5"/>
      <c r="U868" s="5"/>
      <c r="V868" s="5"/>
      <c r="W868" s="5"/>
    </row>
    <row r="869" spans="1:23" x14ac:dyDescent="0.3">
      <c r="A869" s="5"/>
      <c r="B869" s="5"/>
      <c r="C869" s="5"/>
      <c r="D869" s="5"/>
      <c r="E869" s="5"/>
      <c r="F869" s="5"/>
      <c r="G869" s="5"/>
      <c r="H869" s="5"/>
      <c r="I869" s="5"/>
      <c r="J869" s="5"/>
      <c r="K869" s="5"/>
      <c r="L869" s="5"/>
      <c r="M869" s="5"/>
      <c r="N869" s="5"/>
      <c r="O869" s="5"/>
      <c r="P869" s="5"/>
      <c r="Q869" s="5"/>
      <c r="R869" s="5"/>
      <c r="S869" s="5"/>
      <c r="T869" s="5"/>
      <c r="U869" s="5"/>
      <c r="V869" s="5"/>
      <c r="W869" s="5"/>
    </row>
    <row r="870" spans="1:23" x14ac:dyDescent="0.3">
      <c r="A870" s="5"/>
      <c r="B870" s="5"/>
      <c r="C870" s="5"/>
      <c r="D870" s="5"/>
      <c r="E870" s="5"/>
      <c r="F870" s="5"/>
      <c r="G870" s="5"/>
      <c r="H870" s="5"/>
      <c r="I870" s="5"/>
      <c r="J870" s="5"/>
      <c r="K870" s="5"/>
      <c r="L870" s="5"/>
      <c r="M870" s="5"/>
      <c r="N870" s="5"/>
      <c r="O870" s="5"/>
      <c r="P870" s="5"/>
      <c r="Q870" s="5"/>
      <c r="R870" s="5"/>
      <c r="S870" s="5"/>
      <c r="T870" s="5"/>
      <c r="U870" s="5"/>
      <c r="V870" s="5"/>
      <c r="W870" s="5"/>
    </row>
    <row r="871" spans="1:23" x14ac:dyDescent="0.3">
      <c r="A871" s="5"/>
      <c r="B871" s="5"/>
      <c r="C871" s="5"/>
      <c r="D871" s="5"/>
      <c r="E871" s="5"/>
      <c r="F871" s="5"/>
      <c r="G871" s="5"/>
      <c r="H871" s="5"/>
      <c r="I871" s="5"/>
      <c r="J871" s="5"/>
      <c r="K871" s="5"/>
      <c r="L871" s="5"/>
      <c r="M871" s="5"/>
      <c r="N871" s="5"/>
      <c r="O871" s="5"/>
      <c r="P871" s="5"/>
      <c r="Q871" s="5"/>
      <c r="R871" s="5"/>
      <c r="S871" s="5"/>
      <c r="T871" s="5"/>
      <c r="U871" s="5"/>
      <c r="V871" s="5"/>
      <c r="W871" s="5"/>
    </row>
    <row r="872" spans="1:23" x14ac:dyDescent="0.3">
      <c r="A872" s="5"/>
      <c r="B872" s="5"/>
      <c r="C872" s="5"/>
      <c r="D872" s="5"/>
      <c r="E872" s="5"/>
      <c r="F872" s="5"/>
      <c r="G872" s="5"/>
      <c r="H872" s="5"/>
      <c r="I872" s="5"/>
      <c r="J872" s="5"/>
      <c r="K872" s="5"/>
      <c r="L872" s="5"/>
      <c r="M872" s="5"/>
      <c r="N872" s="5"/>
      <c r="O872" s="5"/>
      <c r="P872" s="5"/>
      <c r="Q872" s="5"/>
      <c r="R872" s="5"/>
      <c r="S872" s="5"/>
      <c r="T872" s="5"/>
      <c r="U872" s="5"/>
      <c r="V872" s="5"/>
      <c r="W872" s="5"/>
    </row>
    <row r="873" spans="1:23" x14ac:dyDescent="0.3">
      <c r="A873" s="5"/>
      <c r="B873" s="5"/>
      <c r="C873" s="5"/>
      <c r="D873" s="5"/>
      <c r="E873" s="5"/>
      <c r="F873" s="5"/>
      <c r="G873" s="5"/>
      <c r="H873" s="5"/>
      <c r="I873" s="5"/>
      <c r="J873" s="5"/>
      <c r="K873" s="5"/>
      <c r="L873" s="5"/>
      <c r="M873" s="5"/>
      <c r="N873" s="5"/>
      <c r="O873" s="5"/>
      <c r="P873" s="5"/>
      <c r="Q873" s="5"/>
      <c r="R873" s="5"/>
      <c r="S873" s="5"/>
      <c r="T873" s="5"/>
      <c r="U873" s="5"/>
      <c r="V873" s="5"/>
      <c r="W873" s="5"/>
    </row>
    <row r="874" spans="1:23" x14ac:dyDescent="0.3">
      <c r="A874" s="5"/>
      <c r="B874" s="5"/>
      <c r="C874" s="5"/>
      <c r="D874" s="5"/>
      <c r="E874" s="5"/>
      <c r="F874" s="5"/>
      <c r="G874" s="5"/>
      <c r="H874" s="5"/>
      <c r="I874" s="5"/>
      <c r="J874" s="5"/>
      <c r="K874" s="5"/>
      <c r="L874" s="5"/>
      <c r="M874" s="5"/>
      <c r="N874" s="5"/>
      <c r="O874" s="5"/>
      <c r="P874" s="5"/>
      <c r="Q874" s="5"/>
      <c r="R874" s="5"/>
      <c r="S874" s="5"/>
      <c r="T874" s="5"/>
      <c r="U874" s="5"/>
      <c r="V874" s="5"/>
      <c r="W874" s="5"/>
    </row>
    <row r="875" spans="1:23" x14ac:dyDescent="0.3">
      <c r="A875" s="5"/>
      <c r="B875" s="5"/>
      <c r="C875" s="5"/>
      <c r="D875" s="5"/>
      <c r="E875" s="5"/>
      <c r="F875" s="5"/>
      <c r="G875" s="5"/>
      <c r="H875" s="5"/>
      <c r="I875" s="5"/>
      <c r="J875" s="5"/>
      <c r="K875" s="5"/>
      <c r="L875" s="5"/>
      <c r="M875" s="5"/>
      <c r="N875" s="5"/>
      <c r="O875" s="5"/>
      <c r="P875" s="5"/>
      <c r="Q875" s="5"/>
      <c r="R875" s="5"/>
      <c r="S875" s="5"/>
      <c r="T875" s="5"/>
      <c r="U875" s="5"/>
      <c r="V875" s="5"/>
      <c r="W875" s="5"/>
    </row>
    <row r="876" spans="1:23" x14ac:dyDescent="0.3">
      <c r="A876" s="5"/>
      <c r="B876" s="5"/>
      <c r="C876" s="5"/>
      <c r="D876" s="5"/>
      <c r="E876" s="5"/>
      <c r="F876" s="5"/>
      <c r="G876" s="5"/>
      <c r="H876" s="5"/>
      <c r="I876" s="5"/>
      <c r="J876" s="5"/>
      <c r="K876" s="5"/>
      <c r="L876" s="5"/>
      <c r="M876" s="5"/>
      <c r="N876" s="5"/>
      <c r="O876" s="5"/>
      <c r="P876" s="5"/>
      <c r="Q876" s="5"/>
      <c r="R876" s="5"/>
      <c r="S876" s="5"/>
      <c r="T876" s="5"/>
      <c r="U876" s="5"/>
      <c r="V876" s="5"/>
      <c r="W876" s="5"/>
    </row>
    <row r="877" spans="1:23" x14ac:dyDescent="0.3">
      <c r="A877" s="5"/>
      <c r="B877" s="5"/>
      <c r="C877" s="5"/>
      <c r="D877" s="5"/>
      <c r="E877" s="5"/>
      <c r="F877" s="5"/>
      <c r="G877" s="5"/>
      <c r="H877" s="5"/>
      <c r="I877" s="5"/>
      <c r="J877" s="5"/>
      <c r="K877" s="5"/>
      <c r="L877" s="5"/>
      <c r="M877" s="5"/>
      <c r="N877" s="5"/>
      <c r="O877" s="5"/>
      <c r="P877" s="5"/>
      <c r="Q877" s="5"/>
      <c r="R877" s="5"/>
      <c r="S877" s="5"/>
      <c r="T877" s="5"/>
      <c r="U877" s="5"/>
      <c r="V877" s="5"/>
      <c r="W877" s="5"/>
    </row>
    <row r="878" spans="1:23" x14ac:dyDescent="0.3">
      <c r="A878" s="5"/>
      <c r="B878" s="5"/>
      <c r="C878" s="5"/>
      <c r="D878" s="5"/>
      <c r="E878" s="5"/>
      <c r="F878" s="5"/>
      <c r="G878" s="5"/>
      <c r="H878" s="5"/>
      <c r="I878" s="5"/>
      <c r="J878" s="5"/>
      <c r="K878" s="5"/>
      <c r="L878" s="5"/>
      <c r="M878" s="5"/>
      <c r="N878" s="5"/>
      <c r="O878" s="5"/>
      <c r="P878" s="5"/>
      <c r="Q878" s="5"/>
      <c r="R878" s="5"/>
      <c r="S878" s="5"/>
      <c r="T878" s="5"/>
      <c r="U878" s="5"/>
      <c r="V878" s="5"/>
      <c r="W878" s="5"/>
    </row>
    <row r="879" spans="1:23" x14ac:dyDescent="0.3">
      <c r="A879" s="5"/>
      <c r="B879" s="5"/>
      <c r="C879" s="5"/>
      <c r="D879" s="5"/>
      <c r="E879" s="5"/>
      <c r="F879" s="5"/>
      <c r="G879" s="5"/>
      <c r="H879" s="5"/>
      <c r="I879" s="5"/>
      <c r="J879" s="5"/>
      <c r="K879" s="5"/>
      <c r="L879" s="5"/>
      <c r="M879" s="5"/>
      <c r="N879" s="5"/>
      <c r="O879" s="5"/>
      <c r="P879" s="5"/>
      <c r="Q879" s="5"/>
      <c r="R879" s="5"/>
      <c r="S879" s="5"/>
      <c r="T879" s="5"/>
      <c r="U879" s="5"/>
      <c r="V879" s="5"/>
      <c r="W879" s="5"/>
    </row>
    <row r="880" spans="1:23" x14ac:dyDescent="0.3">
      <c r="A880" s="5"/>
      <c r="B880" s="5"/>
      <c r="C880" s="5"/>
      <c r="D880" s="5"/>
      <c r="E880" s="5"/>
      <c r="F880" s="5"/>
      <c r="G880" s="5"/>
      <c r="H880" s="5"/>
      <c r="I880" s="5"/>
      <c r="J880" s="5"/>
      <c r="K880" s="5"/>
      <c r="L880" s="5"/>
      <c r="M880" s="5"/>
      <c r="N880" s="5"/>
      <c r="O880" s="5"/>
      <c r="P880" s="5"/>
      <c r="Q880" s="5"/>
      <c r="R880" s="5"/>
      <c r="S880" s="5"/>
      <c r="T880" s="5"/>
      <c r="U880" s="5"/>
      <c r="V880" s="5"/>
      <c r="W880" s="5"/>
    </row>
    <row r="881" spans="1:23" x14ac:dyDescent="0.3">
      <c r="A881" s="5"/>
      <c r="B881" s="5"/>
      <c r="C881" s="5"/>
      <c r="D881" s="5"/>
      <c r="E881" s="5"/>
      <c r="F881" s="5"/>
      <c r="G881" s="5"/>
      <c r="H881" s="5"/>
      <c r="I881" s="5"/>
      <c r="J881" s="5"/>
      <c r="K881" s="5"/>
      <c r="L881" s="5"/>
      <c r="M881" s="5"/>
      <c r="N881" s="5"/>
      <c r="O881" s="5"/>
      <c r="P881" s="5"/>
      <c r="Q881" s="5"/>
      <c r="R881" s="5"/>
      <c r="S881" s="5"/>
      <c r="T881" s="5"/>
      <c r="U881" s="5"/>
      <c r="V881" s="5"/>
      <c r="W881" s="5"/>
    </row>
    <row r="882" spans="1:23" x14ac:dyDescent="0.3">
      <c r="A882" s="5"/>
      <c r="B882" s="5"/>
      <c r="C882" s="5"/>
      <c r="D882" s="5"/>
      <c r="E882" s="5"/>
      <c r="F882" s="5"/>
      <c r="G882" s="5"/>
      <c r="H882" s="5"/>
      <c r="I882" s="5"/>
      <c r="J882" s="5"/>
      <c r="K882" s="5"/>
      <c r="L882" s="5"/>
      <c r="M882" s="5"/>
      <c r="N882" s="5"/>
      <c r="O882" s="5"/>
      <c r="P882" s="5"/>
      <c r="Q882" s="5"/>
      <c r="R882" s="5"/>
      <c r="S882" s="5"/>
      <c r="T882" s="5"/>
      <c r="U882" s="5"/>
      <c r="V882" s="5"/>
      <c r="W882" s="5"/>
    </row>
    <row r="883" spans="1:23" x14ac:dyDescent="0.3">
      <c r="A883" s="5"/>
      <c r="B883" s="5"/>
      <c r="C883" s="5"/>
      <c r="D883" s="5"/>
      <c r="E883" s="5"/>
      <c r="F883" s="5"/>
      <c r="G883" s="5"/>
      <c r="H883" s="5"/>
      <c r="I883" s="5"/>
      <c r="J883" s="5"/>
      <c r="K883" s="5"/>
      <c r="L883" s="5"/>
      <c r="M883" s="5"/>
      <c r="N883" s="5"/>
      <c r="O883" s="5"/>
      <c r="P883" s="5"/>
      <c r="Q883" s="5"/>
      <c r="R883" s="5"/>
      <c r="S883" s="5"/>
      <c r="T883" s="5"/>
      <c r="U883" s="5"/>
      <c r="V883" s="5"/>
      <c r="W883" s="5"/>
    </row>
    <row r="884" spans="1:23" x14ac:dyDescent="0.3">
      <c r="A884" s="5"/>
      <c r="B884" s="5"/>
      <c r="C884" s="5"/>
      <c r="D884" s="5"/>
      <c r="E884" s="5"/>
      <c r="F884" s="5"/>
      <c r="G884" s="5"/>
      <c r="H884" s="5"/>
      <c r="I884" s="5"/>
      <c r="J884" s="5"/>
      <c r="K884" s="5"/>
      <c r="L884" s="5"/>
      <c r="M884" s="5"/>
      <c r="N884" s="5"/>
      <c r="O884" s="5"/>
      <c r="P884" s="5"/>
      <c r="Q884" s="5"/>
      <c r="R884" s="5"/>
      <c r="S884" s="5"/>
      <c r="T884" s="5"/>
      <c r="U884" s="5"/>
      <c r="V884" s="5"/>
      <c r="W884" s="5"/>
    </row>
    <row r="885" spans="1:23" x14ac:dyDescent="0.3">
      <c r="A885" s="5"/>
      <c r="B885" s="5"/>
      <c r="C885" s="5"/>
      <c r="D885" s="5"/>
      <c r="E885" s="5"/>
      <c r="F885" s="5"/>
      <c r="G885" s="5"/>
      <c r="H885" s="5"/>
      <c r="I885" s="5"/>
      <c r="J885" s="5"/>
      <c r="K885" s="5"/>
      <c r="L885" s="5"/>
      <c r="M885" s="5"/>
      <c r="N885" s="5"/>
      <c r="O885" s="5"/>
      <c r="P885" s="5"/>
      <c r="Q885" s="5"/>
      <c r="R885" s="5"/>
      <c r="S885" s="5"/>
      <c r="T885" s="5"/>
      <c r="U885" s="5"/>
      <c r="V885" s="5"/>
      <c r="W885" s="5"/>
    </row>
    <row r="886" spans="1:23" x14ac:dyDescent="0.3">
      <c r="A886" s="5"/>
      <c r="B886" s="5"/>
      <c r="C886" s="5"/>
      <c r="D886" s="5"/>
      <c r="E886" s="5"/>
      <c r="F886" s="5"/>
      <c r="G886" s="5"/>
      <c r="H886" s="5"/>
      <c r="I886" s="5"/>
      <c r="J886" s="5"/>
      <c r="K886" s="5"/>
      <c r="L886" s="5"/>
      <c r="M886" s="5"/>
      <c r="N886" s="5"/>
      <c r="O886" s="5"/>
      <c r="P886" s="5"/>
      <c r="Q886" s="5"/>
      <c r="R886" s="5"/>
      <c r="S886" s="5"/>
      <c r="T886" s="5"/>
      <c r="U886" s="5"/>
      <c r="V886" s="5"/>
      <c r="W886" s="5"/>
    </row>
    <row r="887" spans="1:23" x14ac:dyDescent="0.3">
      <c r="A887" s="5"/>
      <c r="B887" s="5"/>
      <c r="C887" s="5"/>
      <c r="D887" s="5"/>
      <c r="E887" s="5"/>
      <c r="F887" s="5"/>
      <c r="G887" s="5"/>
      <c r="H887" s="5"/>
      <c r="I887" s="5"/>
      <c r="J887" s="5"/>
      <c r="K887" s="5"/>
      <c r="L887" s="5"/>
      <c r="M887" s="5"/>
      <c r="N887" s="5"/>
      <c r="O887" s="5"/>
      <c r="P887" s="5"/>
      <c r="Q887" s="5"/>
      <c r="R887" s="5"/>
      <c r="S887" s="5"/>
      <c r="T887" s="5"/>
      <c r="U887" s="5"/>
      <c r="V887" s="5"/>
      <c r="W887" s="5"/>
    </row>
    <row r="888" spans="1:23" x14ac:dyDescent="0.3">
      <c r="A888" s="5"/>
      <c r="B888" s="5"/>
      <c r="C888" s="5"/>
      <c r="D888" s="5"/>
      <c r="E888" s="5"/>
      <c r="F888" s="5"/>
      <c r="G888" s="5"/>
      <c r="H888" s="5"/>
      <c r="I888" s="5"/>
      <c r="J888" s="5"/>
      <c r="K888" s="5"/>
      <c r="L888" s="5"/>
      <c r="M888" s="5"/>
      <c r="N888" s="5"/>
      <c r="O888" s="5"/>
      <c r="P888" s="5"/>
      <c r="Q888" s="5"/>
      <c r="R888" s="5"/>
      <c r="S888" s="5"/>
      <c r="T888" s="5"/>
      <c r="U888" s="5"/>
      <c r="V888" s="5"/>
      <c r="W888" s="5"/>
    </row>
    <row r="889" spans="1:23" x14ac:dyDescent="0.3">
      <c r="A889" s="5"/>
      <c r="B889" s="5"/>
      <c r="C889" s="5"/>
      <c r="D889" s="5"/>
      <c r="E889" s="5"/>
      <c r="F889" s="5"/>
      <c r="G889" s="5"/>
      <c r="H889" s="5"/>
      <c r="I889" s="5"/>
      <c r="J889" s="5"/>
      <c r="K889" s="5"/>
      <c r="L889" s="5"/>
      <c r="M889" s="5"/>
      <c r="N889" s="5"/>
      <c r="O889" s="5"/>
      <c r="P889" s="5"/>
      <c r="Q889" s="5"/>
      <c r="R889" s="5"/>
      <c r="S889" s="5"/>
      <c r="T889" s="5"/>
      <c r="U889" s="5"/>
      <c r="V889" s="5"/>
      <c r="W889" s="5"/>
    </row>
    <row r="890" spans="1:23" x14ac:dyDescent="0.3">
      <c r="A890" s="5"/>
      <c r="B890" s="5"/>
      <c r="C890" s="5"/>
      <c r="D890" s="5"/>
      <c r="E890" s="5"/>
      <c r="F890" s="5"/>
      <c r="G890" s="5"/>
      <c r="H890" s="5"/>
      <c r="I890" s="5"/>
      <c r="J890" s="5"/>
      <c r="K890" s="5"/>
      <c r="L890" s="5"/>
      <c r="M890" s="5"/>
      <c r="N890" s="5"/>
      <c r="O890" s="5"/>
      <c r="P890" s="5"/>
      <c r="Q890" s="5"/>
      <c r="R890" s="5"/>
      <c r="S890" s="5"/>
      <c r="T890" s="5"/>
      <c r="U890" s="5"/>
      <c r="V890" s="5"/>
      <c r="W890" s="5"/>
    </row>
    <row r="891" spans="1:23" x14ac:dyDescent="0.3">
      <c r="A891" s="5"/>
      <c r="B891" s="5"/>
      <c r="C891" s="5"/>
      <c r="D891" s="5"/>
      <c r="E891" s="5"/>
      <c r="F891" s="5"/>
      <c r="G891" s="5"/>
      <c r="H891" s="5"/>
      <c r="I891" s="5"/>
      <c r="J891" s="5"/>
      <c r="K891" s="5"/>
      <c r="L891" s="5"/>
      <c r="M891" s="5"/>
      <c r="N891" s="5"/>
      <c r="O891" s="5"/>
      <c r="P891" s="5"/>
      <c r="Q891" s="5"/>
      <c r="R891" s="5"/>
      <c r="S891" s="5"/>
      <c r="T891" s="5"/>
      <c r="U891" s="5"/>
      <c r="V891" s="5"/>
      <c r="W891" s="5"/>
    </row>
    <row r="892" spans="1:23" x14ac:dyDescent="0.3">
      <c r="A892" s="5"/>
      <c r="B892" s="5"/>
      <c r="C892" s="5"/>
      <c r="D892" s="5"/>
      <c r="E892" s="5"/>
      <c r="F892" s="5"/>
      <c r="G892" s="5"/>
      <c r="H892" s="5"/>
      <c r="I892" s="5"/>
      <c r="J892" s="5"/>
      <c r="K892" s="5"/>
      <c r="L892" s="5"/>
      <c r="M892" s="5"/>
      <c r="N892" s="5"/>
      <c r="O892" s="5"/>
      <c r="P892" s="5"/>
      <c r="Q892" s="5"/>
      <c r="R892" s="5"/>
      <c r="S892" s="5"/>
      <c r="T892" s="5"/>
      <c r="U892" s="5"/>
      <c r="V892" s="5"/>
      <c r="W892" s="5"/>
    </row>
    <row r="893" spans="1:23" x14ac:dyDescent="0.3">
      <c r="A893" s="5"/>
      <c r="B893" s="5"/>
      <c r="C893" s="5"/>
      <c r="D893" s="5"/>
      <c r="E893" s="5"/>
      <c r="F893" s="5"/>
      <c r="G893" s="5"/>
      <c r="H893" s="5"/>
      <c r="I893" s="5"/>
      <c r="J893" s="5"/>
      <c r="K893" s="5"/>
      <c r="L893" s="5"/>
      <c r="M893" s="5"/>
      <c r="N893" s="5"/>
      <c r="O893" s="5"/>
      <c r="P893" s="5"/>
      <c r="Q893" s="5"/>
      <c r="R893" s="5"/>
      <c r="S893" s="5"/>
      <c r="T893" s="5"/>
      <c r="U893" s="5"/>
      <c r="V893" s="5"/>
      <c r="W893" s="5"/>
    </row>
    <row r="894" spans="1:23" x14ac:dyDescent="0.3">
      <c r="A894" s="5"/>
      <c r="B894" s="5"/>
      <c r="C894" s="5"/>
      <c r="D894" s="5"/>
      <c r="E894" s="5"/>
      <c r="F894" s="5"/>
      <c r="G894" s="5"/>
      <c r="H894" s="5"/>
      <c r="I894" s="5"/>
      <c r="J894" s="5"/>
      <c r="K894" s="5"/>
      <c r="L894" s="5"/>
      <c r="M894" s="5"/>
      <c r="N894" s="5"/>
      <c r="O894" s="5"/>
      <c r="P894" s="5"/>
      <c r="Q894" s="5"/>
      <c r="R894" s="5"/>
      <c r="S894" s="5"/>
      <c r="T894" s="5"/>
      <c r="U894" s="5"/>
      <c r="V894" s="5"/>
      <c r="W894" s="5"/>
    </row>
    <row r="895" spans="1:23" x14ac:dyDescent="0.3">
      <c r="A895" s="5"/>
      <c r="B895" s="5"/>
      <c r="C895" s="5"/>
      <c r="D895" s="5"/>
      <c r="E895" s="5"/>
      <c r="F895" s="5"/>
      <c r="G895" s="5"/>
      <c r="H895" s="5"/>
      <c r="I895" s="5"/>
      <c r="J895" s="5"/>
      <c r="K895" s="5"/>
      <c r="L895" s="5"/>
      <c r="M895" s="5"/>
      <c r="N895" s="5"/>
      <c r="O895" s="5"/>
      <c r="P895" s="5"/>
      <c r="Q895" s="5"/>
      <c r="R895" s="5"/>
      <c r="S895" s="5"/>
      <c r="T895" s="5"/>
      <c r="U895" s="5"/>
      <c r="V895" s="5"/>
      <c r="W895" s="5"/>
    </row>
    <row r="896" spans="1:23" x14ac:dyDescent="0.3">
      <c r="A896" s="5"/>
      <c r="B896" s="5"/>
      <c r="C896" s="5"/>
      <c r="D896" s="5"/>
      <c r="E896" s="5"/>
      <c r="F896" s="5"/>
      <c r="G896" s="5"/>
      <c r="H896" s="5"/>
      <c r="I896" s="5"/>
      <c r="J896" s="5"/>
      <c r="K896" s="5"/>
      <c r="L896" s="5"/>
      <c r="M896" s="5"/>
      <c r="N896" s="5"/>
      <c r="O896" s="5"/>
      <c r="P896" s="5"/>
      <c r="Q896" s="5"/>
      <c r="R896" s="5"/>
      <c r="S896" s="5"/>
      <c r="T896" s="5"/>
      <c r="U896" s="5"/>
      <c r="V896" s="5"/>
      <c r="W896" s="5"/>
    </row>
    <row r="897" spans="1:23" x14ac:dyDescent="0.3">
      <c r="A897" s="5"/>
      <c r="B897" s="5"/>
      <c r="C897" s="5"/>
      <c r="D897" s="5"/>
      <c r="E897" s="5"/>
      <c r="F897" s="5"/>
      <c r="G897" s="5"/>
      <c r="H897" s="5"/>
      <c r="I897" s="5"/>
      <c r="J897" s="5"/>
      <c r="K897" s="5"/>
      <c r="L897" s="5"/>
      <c r="M897" s="5"/>
      <c r="N897" s="5"/>
      <c r="O897" s="5"/>
      <c r="P897" s="5"/>
      <c r="Q897" s="5"/>
      <c r="R897" s="5"/>
      <c r="S897" s="5"/>
      <c r="T897" s="5"/>
      <c r="U897" s="5"/>
      <c r="V897" s="5"/>
      <c r="W897" s="5"/>
    </row>
    <row r="898" spans="1:23" x14ac:dyDescent="0.3">
      <c r="A898" s="5"/>
      <c r="B898" s="5"/>
      <c r="C898" s="5"/>
      <c r="D898" s="5"/>
      <c r="E898" s="5"/>
      <c r="F898" s="5"/>
      <c r="G898" s="5"/>
      <c r="H898" s="5"/>
      <c r="I898" s="5"/>
      <c r="J898" s="5"/>
      <c r="K898" s="5"/>
      <c r="L898" s="5"/>
      <c r="M898" s="5"/>
      <c r="N898" s="5"/>
      <c r="O898" s="5"/>
      <c r="P898" s="5"/>
      <c r="Q898" s="5"/>
      <c r="R898" s="5"/>
      <c r="S898" s="5"/>
      <c r="T898" s="5"/>
      <c r="U898" s="5"/>
      <c r="V898" s="5"/>
      <c r="W898" s="5"/>
    </row>
    <row r="899" spans="1:23" x14ac:dyDescent="0.3">
      <c r="A899" s="5"/>
      <c r="B899" s="5"/>
      <c r="C899" s="5"/>
      <c r="D899" s="5"/>
      <c r="E899" s="5"/>
      <c r="F899" s="5"/>
      <c r="G899" s="5"/>
      <c r="H899" s="5"/>
      <c r="I899" s="5"/>
      <c r="J899" s="5"/>
      <c r="K899" s="5"/>
      <c r="L899" s="5"/>
      <c r="M899" s="5"/>
      <c r="N899" s="5"/>
      <c r="O899" s="5"/>
      <c r="P899" s="5"/>
      <c r="Q899" s="5"/>
      <c r="R899" s="5"/>
      <c r="S899" s="5"/>
      <c r="T899" s="5"/>
      <c r="U899" s="5"/>
      <c r="V899" s="5"/>
      <c r="W899" s="5"/>
    </row>
    <row r="900" spans="1:23" x14ac:dyDescent="0.3">
      <c r="A900" s="5"/>
      <c r="B900" s="5"/>
      <c r="C900" s="5"/>
      <c r="D900" s="5"/>
      <c r="E900" s="5"/>
      <c r="F900" s="5"/>
      <c r="G900" s="5"/>
      <c r="H900" s="5"/>
      <c r="I900" s="5"/>
      <c r="J900" s="5"/>
      <c r="K900" s="5"/>
      <c r="L900" s="5"/>
      <c r="M900" s="5"/>
      <c r="N900" s="5"/>
      <c r="O900" s="5"/>
      <c r="P900" s="5"/>
      <c r="Q900" s="5"/>
      <c r="R900" s="5"/>
      <c r="S900" s="5"/>
      <c r="T900" s="5"/>
      <c r="U900" s="5"/>
      <c r="V900" s="5"/>
      <c r="W900" s="5"/>
    </row>
    <row r="901" spans="1:23" x14ac:dyDescent="0.3">
      <c r="A901" s="5"/>
      <c r="B901" s="5"/>
      <c r="C901" s="5"/>
      <c r="D901" s="5"/>
      <c r="E901" s="5"/>
      <c r="F901" s="5"/>
      <c r="G901" s="5"/>
      <c r="H901" s="5"/>
      <c r="I901" s="5"/>
      <c r="J901" s="5"/>
      <c r="K901" s="5"/>
      <c r="L901" s="5"/>
      <c r="M901" s="5"/>
      <c r="N901" s="5"/>
      <c r="O901" s="5"/>
      <c r="P901" s="5"/>
      <c r="Q901" s="5"/>
      <c r="R901" s="5"/>
      <c r="S901" s="5"/>
      <c r="T901" s="5"/>
      <c r="U901" s="5"/>
      <c r="V901" s="5"/>
      <c r="W901" s="5"/>
    </row>
    <row r="902" spans="1:23" x14ac:dyDescent="0.3">
      <c r="A902" s="5"/>
      <c r="B902" s="5"/>
      <c r="C902" s="5"/>
      <c r="D902" s="5"/>
      <c r="E902" s="5"/>
      <c r="F902" s="5"/>
      <c r="G902" s="5"/>
      <c r="H902" s="5"/>
      <c r="I902" s="5"/>
      <c r="J902" s="5"/>
      <c r="K902" s="5"/>
      <c r="L902" s="5"/>
      <c r="M902" s="5"/>
      <c r="N902" s="5"/>
      <c r="O902" s="5"/>
      <c r="P902" s="5"/>
      <c r="Q902" s="5"/>
      <c r="R902" s="5"/>
      <c r="S902" s="5"/>
      <c r="T902" s="5"/>
      <c r="U902" s="5"/>
      <c r="V902" s="5"/>
      <c r="W902" s="5"/>
    </row>
    <row r="903" spans="1:23" x14ac:dyDescent="0.3">
      <c r="A903" s="5"/>
      <c r="B903" s="5"/>
      <c r="C903" s="5"/>
      <c r="D903" s="5"/>
      <c r="E903" s="5"/>
      <c r="F903" s="5"/>
      <c r="G903" s="5"/>
      <c r="H903" s="5"/>
      <c r="I903" s="5"/>
      <c r="J903" s="5"/>
      <c r="K903" s="5"/>
      <c r="L903" s="5"/>
      <c r="M903" s="5"/>
      <c r="N903" s="5"/>
      <c r="O903" s="5"/>
      <c r="P903" s="5"/>
      <c r="Q903" s="5"/>
      <c r="R903" s="5"/>
      <c r="S903" s="5"/>
      <c r="T903" s="5"/>
      <c r="U903" s="5"/>
      <c r="V903" s="5"/>
      <c r="W903" s="5"/>
    </row>
    <row r="904" spans="1:23" x14ac:dyDescent="0.3">
      <c r="A904" s="5"/>
      <c r="B904" s="5"/>
      <c r="C904" s="5"/>
      <c r="D904" s="5"/>
      <c r="E904" s="5"/>
      <c r="F904" s="5"/>
      <c r="G904" s="5"/>
      <c r="H904" s="5"/>
      <c r="I904" s="5"/>
      <c r="J904" s="5"/>
      <c r="K904" s="5"/>
      <c r="L904" s="5"/>
      <c r="M904" s="5"/>
      <c r="N904" s="5"/>
      <c r="O904" s="5"/>
      <c r="P904" s="5"/>
      <c r="Q904" s="5"/>
      <c r="R904" s="5"/>
      <c r="S904" s="5"/>
      <c r="T904" s="5"/>
      <c r="U904" s="5"/>
      <c r="V904" s="5"/>
      <c r="W904" s="5"/>
    </row>
    <row r="905" spans="1:23" x14ac:dyDescent="0.3">
      <c r="A905" s="5"/>
      <c r="B905" s="5"/>
      <c r="C905" s="5"/>
      <c r="D905" s="5"/>
      <c r="E905" s="5"/>
      <c r="F905" s="5"/>
      <c r="G905" s="5"/>
      <c r="H905" s="5"/>
      <c r="I905" s="5"/>
      <c r="J905" s="5"/>
      <c r="K905" s="5"/>
      <c r="L905" s="5"/>
      <c r="M905" s="5"/>
      <c r="N905" s="5"/>
      <c r="O905" s="5"/>
      <c r="P905" s="5"/>
      <c r="Q905" s="5"/>
      <c r="R905" s="5"/>
      <c r="S905" s="5"/>
      <c r="T905" s="5"/>
      <c r="U905" s="5"/>
      <c r="V905" s="5"/>
      <c r="W905" s="5"/>
    </row>
    <row r="906" spans="1:23" x14ac:dyDescent="0.3">
      <c r="A906" s="5"/>
      <c r="B906" s="5"/>
      <c r="C906" s="5"/>
      <c r="D906" s="5"/>
      <c r="E906" s="5"/>
      <c r="F906" s="5"/>
      <c r="G906" s="5"/>
      <c r="H906" s="5"/>
      <c r="I906" s="5"/>
      <c r="J906" s="5"/>
      <c r="K906" s="5"/>
      <c r="L906" s="5"/>
      <c r="M906" s="5"/>
      <c r="N906" s="5"/>
      <c r="O906" s="5"/>
      <c r="P906" s="5"/>
      <c r="Q906" s="5"/>
      <c r="R906" s="5"/>
      <c r="S906" s="5"/>
      <c r="T906" s="5"/>
      <c r="U906" s="5"/>
      <c r="V906" s="5"/>
      <c r="W906" s="5"/>
    </row>
    <row r="907" spans="1:23" x14ac:dyDescent="0.3">
      <c r="A907" s="5"/>
      <c r="B907" s="5"/>
      <c r="C907" s="5"/>
      <c r="D907" s="5"/>
      <c r="E907" s="5"/>
      <c r="F907" s="5"/>
      <c r="G907" s="5"/>
      <c r="H907" s="5"/>
      <c r="I907" s="5"/>
      <c r="J907" s="5"/>
      <c r="K907" s="5"/>
      <c r="L907" s="5"/>
      <c r="M907" s="5"/>
      <c r="N907" s="5"/>
      <c r="O907" s="5"/>
      <c r="P907" s="5"/>
      <c r="Q907" s="5"/>
      <c r="R907" s="5"/>
      <c r="S907" s="5"/>
      <c r="T907" s="5"/>
      <c r="U907" s="5"/>
      <c r="V907" s="5"/>
      <c r="W907" s="5"/>
    </row>
    <row r="908" spans="1:23" x14ac:dyDescent="0.3">
      <c r="A908" s="5"/>
      <c r="B908" s="5"/>
      <c r="C908" s="5"/>
      <c r="D908" s="5"/>
      <c r="E908" s="5"/>
      <c r="F908" s="5"/>
      <c r="G908" s="5"/>
      <c r="H908" s="5"/>
      <c r="I908" s="5"/>
      <c r="J908" s="5"/>
      <c r="K908" s="5"/>
      <c r="L908" s="5"/>
      <c r="M908" s="5"/>
      <c r="N908" s="5"/>
      <c r="O908" s="5"/>
      <c r="P908" s="5"/>
      <c r="Q908" s="5"/>
      <c r="R908" s="5"/>
      <c r="S908" s="5"/>
      <c r="T908" s="5"/>
      <c r="U908" s="5"/>
      <c r="V908" s="5"/>
      <c r="W908" s="5"/>
    </row>
    <row r="909" spans="1:23" x14ac:dyDescent="0.3">
      <c r="A909" s="5"/>
      <c r="B909" s="5"/>
      <c r="C909" s="5"/>
      <c r="D909" s="5"/>
      <c r="E909" s="5"/>
      <c r="F909" s="5"/>
      <c r="G909" s="5"/>
      <c r="H909" s="5"/>
      <c r="I909" s="5"/>
      <c r="J909" s="5"/>
      <c r="K909" s="5"/>
      <c r="L909" s="5"/>
      <c r="M909" s="5"/>
      <c r="N909" s="5"/>
      <c r="O909" s="5"/>
      <c r="P909" s="5"/>
      <c r="Q909" s="5"/>
      <c r="R909" s="5"/>
      <c r="S909" s="5"/>
      <c r="T909" s="5"/>
      <c r="U909" s="5"/>
      <c r="V909" s="5"/>
      <c r="W909" s="5"/>
    </row>
    <row r="910" spans="1:23" x14ac:dyDescent="0.3">
      <c r="A910" s="5"/>
      <c r="B910" s="5"/>
      <c r="C910" s="5"/>
      <c r="D910" s="5"/>
      <c r="E910" s="5"/>
      <c r="F910" s="5"/>
      <c r="G910" s="5"/>
      <c r="H910" s="5"/>
      <c r="I910" s="5"/>
      <c r="J910" s="5"/>
      <c r="K910" s="5"/>
      <c r="L910" s="5"/>
      <c r="M910" s="5"/>
      <c r="N910" s="5"/>
      <c r="O910" s="5"/>
      <c r="P910" s="5"/>
      <c r="Q910" s="5"/>
      <c r="R910" s="5"/>
      <c r="S910" s="5"/>
      <c r="T910" s="5"/>
      <c r="U910" s="5"/>
      <c r="V910" s="5"/>
      <c r="W910" s="5"/>
    </row>
    <row r="911" spans="1:23" x14ac:dyDescent="0.3">
      <c r="A911" s="5"/>
      <c r="B911" s="5"/>
      <c r="C911" s="5"/>
      <c r="D911" s="5"/>
      <c r="E911" s="5"/>
      <c r="F911" s="5"/>
      <c r="G911" s="5"/>
      <c r="H911" s="5"/>
      <c r="I911" s="5"/>
      <c r="J911" s="5"/>
      <c r="K911" s="5"/>
      <c r="L911" s="5"/>
      <c r="M911" s="5"/>
      <c r="N911" s="5"/>
      <c r="O911" s="5"/>
      <c r="P911" s="5"/>
      <c r="Q911" s="5"/>
      <c r="R911" s="5"/>
      <c r="S911" s="5"/>
      <c r="T911" s="5"/>
      <c r="U911" s="5"/>
      <c r="V911" s="5"/>
      <c r="W911" s="5"/>
    </row>
    <row r="912" spans="1:23" x14ac:dyDescent="0.3">
      <c r="A912" s="5"/>
      <c r="B912" s="5"/>
      <c r="C912" s="5"/>
      <c r="D912" s="5"/>
      <c r="E912" s="5"/>
      <c r="F912" s="5"/>
      <c r="G912" s="5"/>
      <c r="H912" s="5"/>
      <c r="I912" s="5"/>
      <c r="J912" s="5"/>
      <c r="K912" s="5"/>
      <c r="L912" s="5"/>
      <c r="M912" s="5"/>
      <c r="N912" s="5"/>
      <c r="O912" s="5"/>
      <c r="P912" s="5"/>
      <c r="Q912" s="5"/>
      <c r="R912" s="5"/>
      <c r="S912" s="5"/>
      <c r="T912" s="5"/>
      <c r="U912" s="5"/>
      <c r="V912" s="5"/>
      <c r="W912" s="5"/>
    </row>
    <row r="913" spans="1:23" x14ac:dyDescent="0.3">
      <c r="A913" s="5"/>
      <c r="B913" s="5"/>
      <c r="C913" s="5"/>
      <c r="D913" s="5"/>
      <c r="E913" s="5"/>
      <c r="F913" s="5"/>
      <c r="G913" s="5"/>
      <c r="H913" s="5"/>
      <c r="I913" s="5"/>
      <c r="J913" s="5"/>
      <c r="K913" s="5"/>
      <c r="L913" s="5"/>
      <c r="M913" s="5"/>
      <c r="N913" s="5"/>
      <c r="O913" s="5"/>
      <c r="P913" s="5"/>
      <c r="Q913" s="5"/>
      <c r="R913" s="5"/>
      <c r="S913" s="5"/>
      <c r="T913" s="5"/>
      <c r="U913" s="5"/>
      <c r="V913" s="5"/>
      <c r="W913" s="5"/>
    </row>
    <row r="914" spans="1:23" x14ac:dyDescent="0.3">
      <c r="A914" s="5"/>
      <c r="B914" s="5"/>
      <c r="C914" s="5"/>
      <c r="D914" s="5"/>
      <c r="E914" s="5"/>
      <c r="F914" s="5"/>
      <c r="G914" s="5"/>
      <c r="H914" s="5"/>
      <c r="I914" s="5"/>
      <c r="J914" s="5"/>
      <c r="K914" s="5"/>
      <c r="L914" s="5"/>
      <c r="M914" s="5"/>
      <c r="N914" s="5"/>
      <c r="O914" s="5"/>
      <c r="P914" s="5"/>
      <c r="Q914" s="5"/>
      <c r="R914" s="5"/>
      <c r="S914" s="5"/>
      <c r="T914" s="5"/>
      <c r="U914" s="5"/>
      <c r="V914" s="5"/>
      <c r="W914" s="5"/>
    </row>
    <row r="915" spans="1:23" x14ac:dyDescent="0.3">
      <c r="A915" s="5"/>
      <c r="B915" s="5"/>
      <c r="C915" s="5"/>
      <c r="D915" s="5"/>
      <c r="E915" s="5"/>
      <c r="F915" s="5"/>
      <c r="G915" s="5"/>
      <c r="H915" s="5"/>
      <c r="I915" s="5"/>
      <c r="J915" s="5"/>
      <c r="K915" s="5"/>
      <c r="L915" s="5"/>
      <c r="M915" s="5"/>
      <c r="N915" s="5"/>
      <c r="O915" s="5"/>
      <c r="P915" s="5"/>
      <c r="Q915" s="5"/>
      <c r="R915" s="5"/>
      <c r="S915" s="5"/>
      <c r="T915" s="5"/>
      <c r="U915" s="5"/>
      <c r="V915" s="5"/>
      <c r="W915" s="5"/>
    </row>
    <row r="916" spans="1:23" x14ac:dyDescent="0.3">
      <c r="A916" s="5"/>
      <c r="B916" s="5"/>
      <c r="C916" s="5"/>
      <c r="D916" s="5"/>
      <c r="E916" s="5"/>
      <c r="F916" s="5"/>
      <c r="G916" s="5"/>
      <c r="H916" s="5"/>
      <c r="I916" s="5"/>
      <c r="J916" s="5"/>
      <c r="K916" s="5"/>
      <c r="L916" s="5"/>
      <c r="M916" s="5"/>
      <c r="N916" s="5"/>
      <c r="O916" s="5"/>
      <c r="P916" s="5"/>
      <c r="Q916" s="5"/>
      <c r="R916" s="5"/>
      <c r="S916" s="5"/>
      <c r="T916" s="5"/>
      <c r="U916" s="5"/>
      <c r="V916" s="5"/>
      <c r="W916" s="5"/>
    </row>
    <row r="917" spans="1:23" x14ac:dyDescent="0.3">
      <c r="A917" s="5"/>
      <c r="B917" s="5"/>
      <c r="C917" s="5"/>
      <c r="D917" s="5"/>
      <c r="E917" s="5"/>
      <c r="F917" s="5"/>
      <c r="G917" s="5"/>
      <c r="H917" s="5"/>
      <c r="I917" s="5"/>
      <c r="J917" s="5"/>
      <c r="K917" s="5"/>
      <c r="L917" s="5"/>
      <c r="M917" s="5"/>
      <c r="N917" s="5"/>
      <c r="O917" s="5"/>
      <c r="P917" s="5"/>
      <c r="Q917" s="5"/>
      <c r="R917" s="5"/>
      <c r="S917" s="5"/>
      <c r="T917" s="5"/>
      <c r="U917" s="5"/>
      <c r="V917" s="5"/>
      <c r="W917" s="5"/>
    </row>
    <row r="918" spans="1:23" x14ac:dyDescent="0.3">
      <c r="A918" s="5"/>
      <c r="B918" s="5"/>
      <c r="C918" s="5"/>
      <c r="D918" s="5"/>
      <c r="E918" s="5"/>
      <c r="F918" s="5"/>
      <c r="G918" s="5"/>
      <c r="H918" s="5"/>
      <c r="I918" s="5"/>
      <c r="J918" s="5"/>
      <c r="K918" s="5"/>
      <c r="L918" s="5"/>
      <c r="M918" s="5"/>
      <c r="N918" s="5"/>
      <c r="O918" s="5"/>
      <c r="P918" s="5"/>
      <c r="Q918" s="5"/>
      <c r="R918" s="5"/>
      <c r="S918" s="5"/>
      <c r="T918" s="5"/>
      <c r="U918" s="5"/>
      <c r="V918" s="5"/>
      <c r="W918" s="5"/>
    </row>
    <row r="919" spans="1:23" x14ac:dyDescent="0.3">
      <c r="A919" s="5"/>
      <c r="B919" s="5"/>
      <c r="C919" s="5"/>
      <c r="D919" s="5"/>
      <c r="E919" s="5"/>
      <c r="F919" s="5"/>
      <c r="G919" s="5"/>
      <c r="H919" s="5"/>
      <c r="I919" s="5"/>
      <c r="J919" s="5"/>
      <c r="K919" s="5"/>
      <c r="L919" s="5"/>
      <c r="M919" s="5"/>
      <c r="N919" s="5"/>
      <c r="O919" s="5"/>
      <c r="P919" s="5"/>
      <c r="Q919" s="5"/>
      <c r="R919" s="5"/>
      <c r="S919" s="5"/>
      <c r="T919" s="5"/>
      <c r="U919" s="5"/>
      <c r="V919" s="5"/>
      <c r="W919" s="5"/>
    </row>
    <row r="920" spans="1:23" x14ac:dyDescent="0.3">
      <c r="A920" s="5"/>
      <c r="B920" s="5"/>
      <c r="C920" s="5"/>
      <c r="D920" s="5"/>
      <c r="E920" s="5"/>
      <c r="F920" s="5"/>
      <c r="G920" s="5"/>
      <c r="H920" s="5"/>
      <c r="I920" s="5"/>
      <c r="J920" s="5"/>
      <c r="K920" s="5"/>
      <c r="L920" s="5"/>
      <c r="M920" s="5"/>
      <c r="N920" s="5"/>
      <c r="O920" s="5"/>
      <c r="P920" s="5"/>
      <c r="Q920" s="5"/>
      <c r="R920" s="5"/>
      <c r="S920" s="5"/>
      <c r="T920" s="5"/>
      <c r="U920" s="5"/>
      <c r="V920" s="5"/>
      <c r="W920" s="5"/>
    </row>
    <row r="921" spans="1:23" x14ac:dyDescent="0.3">
      <c r="A921" s="5"/>
      <c r="B921" s="5"/>
      <c r="C921" s="5"/>
      <c r="D921" s="5"/>
      <c r="E921" s="5"/>
      <c r="F921" s="5"/>
      <c r="G921" s="5"/>
      <c r="H921" s="5"/>
      <c r="I921" s="5"/>
      <c r="J921" s="5"/>
      <c r="K921" s="5"/>
      <c r="L921" s="5"/>
      <c r="M921" s="5"/>
      <c r="N921" s="5"/>
      <c r="O921" s="5"/>
      <c r="P921" s="5"/>
      <c r="Q921" s="5"/>
      <c r="R921" s="5"/>
      <c r="S921" s="5"/>
      <c r="T921" s="5"/>
      <c r="U921" s="5"/>
      <c r="V921" s="5"/>
      <c r="W921" s="5"/>
    </row>
    <row r="922" spans="1:23" x14ac:dyDescent="0.3">
      <c r="A922" s="5"/>
      <c r="B922" s="5"/>
      <c r="C922" s="5"/>
      <c r="D922" s="5"/>
      <c r="E922" s="5"/>
      <c r="F922" s="5"/>
      <c r="G922" s="5"/>
      <c r="H922" s="5"/>
      <c r="I922" s="5"/>
      <c r="J922" s="5"/>
      <c r="K922" s="5"/>
      <c r="L922" s="5"/>
      <c r="M922" s="5"/>
      <c r="N922" s="5"/>
      <c r="O922" s="5"/>
      <c r="P922" s="5"/>
      <c r="Q922" s="5"/>
      <c r="R922" s="5"/>
      <c r="S922" s="5"/>
      <c r="T922" s="5"/>
      <c r="U922" s="5"/>
      <c r="V922" s="5"/>
      <c r="W922" s="5"/>
    </row>
    <row r="923" spans="1:23" x14ac:dyDescent="0.3">
      <c r="A923" s="5"/>
      <c r="B923" s="5"/>
      <c r="C923" s="5"/>
      <c r="D923" s="5"/>
      <c r="E923" s="5"/>
      <c r="F923" s="5"/>
      <c r="G923" s="5"/>
      <c r="H923" s="5"/>
      <c r="I923" s="5"/>
      <c r="J923" s="5"/>
      <c r="K923" s="5"/>
      <c r="L923" s="5"/>
      <c r="M923" s="5"/>
      <c r="N923" s="5"/>
      <c r="O923" s="5"/>
      <c r="P923" s="5"/>
      <c r="Q923" s="5"/>
      <c r="R923" s="5"/>
      <c r="S923" s="5"/>
      <c r="T923" s="5"/>
      <c r="U923" s="5"/>
      <c r="V923" s="5"/>
      <c r="W923" s="5"/>
    </row>
    <row r="924" spans="1:23" x14ac:dyDescent="0.3">
      <c r="A924" s="5"/>
      <c r="B924" s="5"/>
      <c r="C924" s="5"/>
      <c r="D924" s="5"/>
      <c r="E924" s="5"/>
      <c r="F924" s="5"/>
      <c r="G924" s="5"/>
      <c r="H924" s="5"/>
      <c r="I924" s="5"/>
      <c r="J924" s="5"/>
      <c r="K924" s="5"/>
      <c r="L924" s="5"/>
      <c r="M924" s="5"/>
      <c r="N924" s="5"/>
      <c r="O924" s="5"/>
      <c r="P924" s="5"/>
      <c r="Q924" s="5"/>
      <c r="R924" s="5"/>
      <c r="S924" s="5"/>
      <c r="T924" s="5"/>
      <c r="U924" s="5"/>
      <c r="V924" s="5"/>
      <c r="W924" s="5"/>
    </row>
    <row r="925" spans="1:23" x14ac:dyDescent="0.3">
      <c r="A925" s="5"/>
      <c r="B925" s="5"/>
      <c r="C925" s="5"/>
      <c r="D925" s="5"/>
      <c r="E925" s="5"/>
      <c r="F925" s="5"/>
      <c r="G925" s="5"/>
      <c r="H925" s="5"/>
      <c r="I925" s="5"/>
      <c r="J925" s="5"/>
      <c r="K925" s="5"/>
      <c r="L925" s="5"/>
      <c r="M925" s="5"/>
      <c r="N925" s="5"/>
      <c r="O925" s="5"/>
      <c r="P925" s="5"/>
      <c r="Q925" s="5"/>
      <c r="R925" s="5"/>
      <c r="S925" s="5"/>
      <c r="T925" s="5"/>
      <c r="U925" s="5"/>
      <c r="V925" s="5"/>
      <c r="W925" s="5"/>
    </row>
    <row r="926" spans="1:23" x14ac:dyDescent="0.3">
      <c r="A926" s="5"/>
      <c r="B926" s="5"/>
      <c r="C926" s="5"/>
      <c r="D926" s="5"/>
      <c r="E926" s="5"/>
      <c r="F926" s="5"/>
      <c r="G926" s="5"/>
      <c r="H926" s="5"/>
      <c r="I926" s="5"/>
      <c r="J926" s="5"/>
      <c r="K926" s="5"/>
      <c r="L926" s="5"/>
      <c r="M926" s="5"/>
      <c r="N926" s="5"/>
      <c r="O926" s="5"/>
      <c r="P926" s="5"/>
      <c r="Q926" s="5"/>
      <c r="R926" s="5"/>
      <c r="S926" s="5"/>
      <c r="T926" s="5"/>
      <c r="U926" s="5"/>
      <c r="V926" s="5"/>
      <c r="W926" s="5"/>
    </row>
    <row r="927" spans="1:23" x14ac:dyDescent="0.3">
      <c r="A927" s="5"/>
      <c r="B927" s="5"/>
      <c r="C927" s="5"/>
      <c r="D927" s="5"/>
      <c r="E927" s="5"/>
      <c r="F927" s="5"/>
      <c r="G927" s="5"/>
      <c r="H927" s="5"/>
      <c r="I927" s="5"/>
      <c r="J927" s="5"/>
      <c r="K927" s="5"/>
      <c r="L927" s="5"/>
      <c r="M927" s="5"/>
      <c r="N927" s="5"/>
      <c r="O927" s="5"/>
      <c r="P927" s="5"/>
      <c r="Q927" s="5"/>
      <c r="R927" s="5"/>
      <c r="S927" s="5"/>
      <c r="T927" s="5"/>
      <c r="U927" s="5"/>
      <c r="V927" s="5"/>
      <c r="W927" s="5"/>
    </row>
    <row r="928" spans="1:23" x14ac:dyDescent="0.3">
      <c r="A928" s="5"/>
      <c r="B928" s="5"/>
      <c r="C928" s="5"/>
      <c r="D928" s="5"/>
      <c r="E928" s="5"/>
      <c r="F928" s="5"/>
      <c r="G928" s="5"/>
      <c r="H928" s="5"/>
      <c r="I928" s="5"/>
      <c r="J928" s="5"/>
      <c r="K928" s="5"/>
      <c r="L928" s="5"/>
      <c r="M928" s="5"/>
      <c r="N928" s="5"/>
      <c r="O928" s="5"/>
      <c r="P928" s="5"/>
      <c r="Q928" s="5"/>
      <c r="R928" s="5"/>
      <c r="S928" s="5"/>
      <c r="T928" s="5"/>
      <c r="U928" s="5"/>
      <c r="V928" s="5"/>
      <c r="W928" s="5"/>
    </row>
    <row r="929" spans="1:23" x14ac:dyDescent="0.3">
      <c r="A929" s="5"/>
      <c r="B929" s="5"/>
      <c r="C929" s="5"/>
      <c r="D929" s="5"/>
      <c r="E929" s="5"/>
      <c r="F929" s="5"/>
      <c r="G929" s="5"/>
      <c r="H929" s="5"/>
      <c r="I929" s="5"/>
      <c r="J929" s="5"/>
      <c r="K929" s="5"/>
      <c r="L929" s="5"/>
      <c r="M929" s="5"/>
      <c r="N929" s="5"/>
      <c r="O929" s="5"/>
      <c r="P929" s="5"/>
      <c r="Q929" s="5"/>
      <c r="R929" s="5"/>
      <c r="S929" s="5"/>
      <c r="T929" s="5"/>
      <c r="U929" s="5"/>
      <c r="V929" s="5"/>
      <c r="W929" s="5"/>
    </row>
    <row r="930" spans="1:23" x14ac:dyDescent="0.3">
      <c r="A930" s="5"/>
      <c r="B930" s="5"/>
      <c r="C930" s="5"/>
      <c r="D930" s="5"/>
      <c r="E930" s="5"/>
      <c r="F930" s="5"/>
      <c r="G930" s="5"/>
      <c r="H930" s="5"/>
      <c r="I930" s="5"/>
      <c r="J930" s="5"/>
      <c r="K930" s="5"/>
      <c r="L930" s="5"/>
      <c r="M930" s="5"/>
      <c r="N930" s="5"/>
      <c r="O930" s="5"/>
      <c r="P930" s="5"/>
      <c r="Q930" s="5"/>
      <c r="R930" s="5"/>
      <c r="S930" s="5"/>
      <c r="T930" s="5"/>
      <c r="U930" s="5"/>
      <c r="V930" s="5"/>
      <c r="W930" s="5"/>
    </row>
    <row r="931" spans="1:23" x14ac:dyDescent="0.3">
      <c r="A931" s="5"/>
      <c r="B931" s="5"/>
      <c r="C931" s="5"/>
      <c r="D931" s="5"/>
      <c r="E931" s="5"/>
      <c r="F931" s="5"/>
      <c r="G931" s="5"/>
      <c r="H931" s="5"/>
      <c r="I931" s="5"/>
      <c r="J931" s="5"/>
      <c r="K931" s="5"/>
      <c r="L931" s="5"/>
      <c r="M931" s="5"/>
      <c r="N931" s="5"/>
      <c r="O931" s="5"/>
      <c r="P931" s="5"/>
      <c r="Q931" s="5"/>
      <c r="R931" s="5"/>
      <c r="S931" s="5"/>
      <c r="T931" s="5"/>
      <c r="U931" s="5"/>
      <c r="V931" s="5"/>
      <c r="W931" s="5"/>
    </row>
    <row r="932" spans="1:23" x14ac:dyDescent="0.3">
      <c r="A932" s="5"/>
      <c r="B932" s="5"/>
      <c r="C932" s="5"/>
      <c r="D932" s="5"/>
      <c r="E932" s="5"/>
      <c r="F932" s="5"/>
      <c r="G932" s="5"/>
      <c r="H932" s="5"/>
      <c r="I932" s="5"/>
      <c r="J932" s="5"/>
      <c r="K932" s="5"/>
      <c r="L932" s="5"/>
      <c r="M932" s="5"/>
      <c r="N932" s="5"/>
      <c r="O932" s="5"/>
      <c r="P932" s="5"/>
      <c r="Q932" s="5"/>
      <c r="R932" s="5"/>
      <c r="S932" s="5"/>
      <c r="T932" s="5"/>
      <c r="U932" s="5"/>
      <c r="V932" s="5"/>
      <c r="W932" s="5"/>
    </row>
    <row r="933" spans="1:23" x14ac:dyDescent="0.3">
      <c r="A933" s="5"/>
      <c r="B933" s="5"/>
      <c r="C933" s="5"/>
      <c r="D933" s="5"/>
      <c r="E933" s="5"/>
      <c r="F933" s="5"/>
      <c r="G933" s="5"/>
      <c r="H933" s="5"/>
      <c r="I933" s="5"/>
      <c r="J933" s="5"/>
      <c r="K933" s="5"/>
      <c r="L933" s="5"/>
      <c r="M933" s="5"/>
      <c r="N933" s="5"/>
      <c r="O933" s="5"/>
      <c r="P933" s="5"/>
      <c r="Q933" s="5"/>
      <c r="R933" s="5"/>
      <c r="S933" s="5"/>
      <c r="T933" s="5"/>
      <c r="U933" s="5"/>
      <c r="V933" s="5"/>
      <c r="W933" s="5"/>
    </row>
    <row r="934" spans="1:23" x14ac:dyDescent="0.3">
      <c r="A934" s="5"/>
      <c r="B934" s="5"/>
      <c r="C934" s="5"/>
      <c r="D934" s="5"/>
      <c r="E934" s="5"/>
      <c r="F934" s="5"/>
      <c r="G934" s="5"/>
      <c r="H934" s="5"/>
      <c r="I934" s="5"/>
      <c r="J934" s="5"/>
      <c r="K934" s="5"/>
      <c r="L934" s="5"/>
      <c r="M934" s="5"/>
      <c r="N934" s="5"/>
      <c r="O934" s="5"/>
      <c r="P934" s="5"/>
      <c r="Q934" s="5"/>
      <c r="R934" s="5"/>
      <c r="S934" s="5"/>
      <c r="T934" s="5"/>
      <c r="U934" s="5"/>
      <c r="V934" s="5"/>
      <c r="W934" s="5"/>
    </row>
    <row r="935" spans="1:23" x14ac:dyDescent="0.3">
      <c r="A935" s="5"/>
      <c r="B935" s="5"/>
      <c r="C935" s="5"/>
      <c r="D935" s="5"/>
      <c r="E935" s="5"/>
      <c r="F935" s="5"/>
      <c r="G935" s="5"/>
      <c r="H935" s="5"/>
      <c r="I935" s="5"/>
      <c r="J935" s="5"/>
      <c r="K935" s="5"/>
      <c r="L935" s="5"/>
      <c r="M935" s="5"/>
      <c r="N935" s="5"/>
      <c r="O935" s="5"/>
      <c r="P935" s="5"/>
      <c r="Q935" s="5"/>
      <c r="R935" s="5"/>
      <c r="S935" s="5"/>
      <c r="T935" s="5"/>
      <c r="U935" s="5"/>
      <c r="V935" s="5"/>
      <c r="W935" s="5"/>
    </row>
    <row r="936" spans="1:23" x14ac:dyDescent="0.3">
      <c r="A936" s="5"/>
      <c r="B936" s="5"/>
      <c r="C936" s="5"/>
      <c r="D936" s="5"/>
      <c r="E936" s="5"/>
      <c r="F936" s="5"/>
      <c r="G936" s="5"/>
      <c r="H936" s="5"/>
      <c r="I936" s="5"/>
      <c r="J936" s="5"/>
      <c r="K936" s="5"/>
      <c r="L936" s="5"/>
      <c r="M936" s="5"/>
      <c r="N936" s="5"/>
      <c r="O936" s="5"/>
      <c r="P936" s="5"/>
      <c r="Q936" s="5"/>
      <c r="R936" s="5"/>
      <c r="S936" s="5"/>
      <c r="T936" s="5"/>
      <c r="U936" s="5"/>
      <c r="V936" s="5"/>
      <c r="W936" s="5"/>
    </row>
    <row r="937" spans="1:23" x14ac:dyDescent="0.3">
      <c r="A937" s="5"/>
      <c r="B937" s="5"/>
      <c r="C937" s="5"/>
      <c r="D937" s="5"/>
      <c r="E937" s="5"/>
      <c r="F937" s="5"/>
      <c r="G937" s="5"/>
      <c r="H937" s="5"/>
      <c r="I937" s="5"/>
      <c r="J937" s="5"/>
      <c r="K937" s="5"/>
      <c r="L937" s="5"/>
      <c r="M937" s="5"/>
      <c r="N937" s="5"/>
      <c r="O937" s="5"/>
      <c r="P937" s="5"/>
      <c r="Q937" s="5"/>
      <c r="R937" s="5"/>
      <c r="S937" s="5"/>
      <c r="T937" s="5"/>
      <c r="U937" s="5"/>
      <c r="V937" s="5"/>
      <c r="W937" s="5"/>
    </row>
    <row r="938" spans="1:23" x14ac:dyDescent="0.3">
      <c r="A938" s="5"/>
      <c r="B938" s="5"/>
      <c r="C938" s="5"/>
      <c r="D938" s="5"/>
      <c r="E938" s="5"/>
      <c r="F938" s="5"/>
      <c r="G938" s="5"/>
      <c r="H938" s="5"/>
      <c r="I938" s="5"/>
      <c r="J938" s="5"/>
      <c r="K938" s="5"/>
      <c r="L938" s="5"/>
      <c r="M938" s="5"/>
      <c r="N938" s="5"/>
      <c r="O938" s="5"/>
      <c r="P938" s="5"/>
      <c r="Q938" s="5"/>
      <c r="R938" s="5"/>
      <c r="S938" s="5"/>
      <c r="T938" s="5"/>
      <c r="U938" s="5"/>
      <c r="V938" s="5"/>
      <c r="W938" s="5"/>
    </row>
    <row r="939" spans="1:23" x14ac:dyDescent="0.3">
      <c r="A939" s="5"/>
      <c r="B939" s="5"/>
      <c r="C939" s="5"/>
      <c r="D939" s="5"/>
      <c r="E939" s="5"/>
      <c r="F939" s="5"/>
      <c r="G939" s="5"/>
      <c r="H939" s="5"/>
      <c r="I939" s="5"/>
      <c r="J939" s="5"/>
      <c r="K939" s="5"/>
      <c r="L939" s="5"/>
      <c r="M939" s="5"/>
      <c r="N939" s="5"/>
      <c r="O939" s="5"/>
      <c r="P939" s="5"/>
      <c r="Q939" s="5"/>
      <c r="R939" s="5"/>
      <c r="S939" s="5"/>
      <c r="T939" s="5"/>
      <c r="U939" s="5"/>
      <c r="V939" s="5"/>
      <c r="W939" s="5"/>
    </row>
    <row r="940" spans="1:23" x14ac:dyDescent="0.3">
      <c r="A940" s="5"/>
      <c r="B940" s="5"/>
      <c r="C940" s="5"/>
      <c r="D940" s="5"/>
      <c r="E940" s="5"/>
      <c r="F940" s="5"/>
      <c r="G940" s="5"/>
      <c r="H940" s="5"/>
      <c r="I940" s="5"/>
      <c r="J940" s="5"/>
      <c r="K940" s="5"/>
      <c r="L940" s="5"/>
      <c r="M940" s="5"/>
      <c r="N940" s="5"/>
      <c r="O940" s="5"/>
      <c r="P940" s="5"/>
      <c r="Q940" s="5"/>
      <c r="R940" s="5"/>
      <c r="S940" s="5"/>
      <c r="T940" s="5"/>
      <c r="U940" s="5"/>
      <c r="V940" s="5"/>
      <c r="W940" s="5"/>
    </row>
    <row r="941" spans="1:23" x14ac:dyDescent="0.3">
      <c r="A941" s="5"/>
      <c r="B941" s="5"/>
      <c r="C941" s="5"/>
      <c r="D941" s="5"/>
      <c r="E941" s="5"/>
      <c r="F941" s="5"/>
      <c r="G941" s="5"/>
      <c r="H941" s="5"/>
      <c r="I941" s="5"/>
      <c r="J941" s="5"/>
      <c r="K941" s="5"/>
      <c r="L941" s="5"/>
      <c r="M941" s="5"/>
      <c r="N941" s="5"/>
      <c r="O941" s="5"/>
      <c r="P941" s="5"/>
      <c r="Q941" s="5"/>
      <c r="R941" s="5"/>
      <c r="S941" s="5"/>
      <c r="T941" s="5"/>
      <c r="U941" s="5"/>
      <c r="V941" s="5"/>
      <c r="W941" s="5"/>
    </row>
    <row r="942" spans="1:23" x14ac:dyDescent="0.3">
      <c r="A942" s="5"/>
      <c r="B942" s="5"/>
      <c r="C942" s="5"/>
      <c r="D942" s="5"/>
      <c r="E942" s="5"/>
      <c r="F942" s="5"/>
      <c r="G942" s="5"/>
      <c r="H942" s="5"/>
      <c r="I942" s="5"/>
      <c r="J942" s="5"/>
      <c r="K942" s="5"/>
      <c r="L942" s="5"/>
      <c r="M942" s="5"/>
      <c r="N942" s="5"/>
      <c r="O942" s="5"/>
      <c r="P942" s="5"/>
      <c r="Q942" s="5"/>
      <c r="R942" s="5"/>
      <c r="S942" s="5"/>
      <c r="T942" s="5"/>
      <c r="U942" s="5"/>
      <c r="V942" s="5"/>
      <c r="W942" s="5"/>
    </row>
    <row r="943" spans="1:23" x14ac:dyDescent="0.3">
      <c r="A943" s="5"/>
      <c r="B943" s="5"/>
      <c r="C943" s="5"/>
      <c r="D943" s="5"/>
      <c r="E943" s="5"/>
      <c r="F943" s="5"/>
      <c r="G943" s="5"/>
      <c r="H943" s="5"/>
      <c r="I943" s="5"/>
      <c r="J943" s="5"/>
      <c r="K943" s="5"/>
      <c r="L943" s="5"/>
      <c r="M943" s="5"/>
      <c r="N943" s="5"/>
      <c r="O943" s="5"/>
      <c r="P943" s="5"/>
      <c r="Q943" s="5"/>
      <c r="R943" s="5"/>
      <c r="S943" s="5"/>
      <c r="T943" s="5"/>
      <c r="U943" s="5"/>
      <c r="V943" s="5"/>
      <c r="W943" s="5"/>
    </row>
    <row r="944" spans="1:23" x14ac:dyDescent="0.3">
      <c r="A944" s="5"/>
      <c r="B944" s="5"/>
      <c r="C944" s="5"/>
      <c r="D944" s="5"/>
      <c r="E944" s="5"/>
      <c r="F944" s="5"/>
      <c r="G944" s="5"/>
      <c r="H944" s="5"/>
      <c r="I944" s="5"/>
      <c r="J944" s="5"/>
      <c r="K944" s="5"/>
      <c r="L944" s="5"/>
      <c r="M944" s="5"/>
      <c r="N944" s="5"/>
      <c r="O944" s="5"/>
      <c r="P944" s="5"/>
      <c r="Q944" s="5"/>
      <c r="R944" s="5"/>
      <c r="S944" s="5"/>
      <c r="T944" s="5"/>
      <c r="U944" s="5"/>
      <c r="V944" s="5"/>
      <c r="W944" s="5"/>
    </row>
    <row r="945" spans="1:23" x14ac:dyDescent="0.3">
      <c r="A945" s="5"/>
      <c r="B945" s="5"/>
      <c r="C945" s="5"/>
      <c r="D945" s="5"/>
      <c r="E945" s="5"/>
      <c r="F945" s="5"/>
      <c r="G945" s="5"/>
      <c r="H945" s="5"/>
      <c r="I945" s="5"/>
      <c r="J945" s="5"/>
      <c r="K945" s="5"/>
      <c r="L945" s="5"/>
      <c r="M945" s="5"/>
      <c r="N945" s="5"/>
      <c r="O945" s="5"/>
      <c r="P945" s="5"/>
      <c r="Q945" s="5"/>
      <c r="R945" s="5"/>
      <c r="S945" s="5"/>
      <c r="T945" s="5"/>
      <c r="U945" s="5"/>
      <c r="V945" s="5"/>
      <c r="W945" s="5"/>
    </row>
    <row r="946" spans="1:23" x14ac:dyDescent="0.3">
      <c r="A946" s="5"/>
      <c r="B946" s="5"/>
      <c r="C946" s="5"/>
      <c r="D946" s="5"/>
      <c r="E946" s="5"/>
      <c r="F946" s="5"/>
      <c r="G946" s="5"/>
      <c r="H946" s="5"/>
      <c r="I946" s="5"/>
      <c r="J946" s="5"/>
      <c r="K946" s="5"/>
      <c r="L946" s="5"/>
      <c r="M946" s="5"/>
      <c r="N946" s="5"/>
      <c r="O946" s="5"/>
      <c r="P946" s="5"/>
      <c r="Q946" s="5"/>
      <c r="R946" s="5"/>
      <c r="S946" s="5"/>
      <c r="T946" s="5"/>
      <c r="U946" s="5"/>
      <c r="V946" s="5"/>
      <c r="W946" s="5"/>
    </row>
    <row r="947" spans="1:23" x14ac:dyDescent="0.3">
      <c r="A947" s="5"/>
      <c r="B947" s="5"/>
      <c r="C947" s="5"/>
      <c r="D947" s="5"/>
      <c r="E947" s="5"/>
      <c r="F947" s="5"/>
      <c r="G947" s="5"/>
      <c r="H947" s="5"/>
      <c r="I947" s="5"/>
      <c r="J947" s="5"/>
      <c r="K947" s="5"/>
      <c r="L947" s="5"/>
      <c r="M947" s="5"/>
      <c r="N947" s="5"/>
      <c r="O947" s="5"/>
      <c r="P947" s="5"/>
      <c r="Q947" s="5"/>
      <c r="R947" s="5"/>
      <c r="S947" s="5"/>
      <c r="T947" s="5"/>
      <c r="U947" s="5"/>
      <c r="V947" s="5"/>
      <c r="W947" s="5"/>
    </row>
    <row r="948" spans="1:23" x14ac:dyDescent="0.3">
      <c r="A948" s="5"/>
      <c r="B948" s="5"/>
      <c r="C948" s="5"/>
      <c r="D948" s="5"/>
      <c r="E948" s="5"/>
      <c r="F948" s="5"/>
      <c r="G948" s="5"/>
      <c r="H948" s="5"/>
      <c r="I948" s="5"/>
      <c r="J948" s="5"/>
      <c r="K948" s="5"/>
      <c r="L948" s="5"/>
      <c r="M948" s="5"/>
      <c r="N948" s="5"/>
      <c r="O948" s="5"/>
      <c r="P948" s="5"/>
      <c r="Q948" s="5"/>
      <c r="R948" s="5"/>
      <c r="S948" s="5"/>
      <c r="T948" s="5"/>
      <c r="U948" s="5"/>
      <c r="V948" s="5"/>
      <c r="W948" s="5"/>
    </row>
    <row r="949" spans="1:23" x14ac:dyDescent="0.3">
      <c r="A949" s="5"/>
      <c r="B949" s="5"/>
      <c r="C949" s="5"/>
      <c r="D949" s="5"/>
      <c r="E949" s="5"/>
      <c r="F949" s="5"/>
      <c r="G949" s="5"/>
      <c r="H949" s="5"/>
      <c r="I949" s="5"/>
      <c r="J949" s="5"/>
      <c r="K949" s="5"/>
      <c r="L949" s="5"/>
      <c r="M949" s="5"/>
      <c r="N949" s="5"/>
      <c r="O949" s="5"/>
      <c r="P949" s="5"/>
      <c r="Q949" s="5"/>
      <c r="R949" s="5"/>
      <c r="S949" s="5"/>
      <c r="T949" s="5"/>
      <c r="U949" s="5"/>
      <c r="V949" s="5"/>
      <c r="W949" s="5"/>
    </row>
    <row r="950" spans="1:23" x14ac:dyDescent="0.3">
      <c r="A950" s="5"/>
      <c r="B950" s="5"/>
      <c r="C950" s="5"/>
      <c r="D950" s="5"/>
      <c r="E950" s="5"/>
      <c r="F950" s="5"/>
      <c r="G950" s="5"/>
      <c r="H950" s="5"/>
      <c r="I950" s="5"/>
      <c r="J950" s="5"/>
      <c r="K950" s="5"/>
      <c r="L950" s="5"/>
      <c r="M950" s="5"/>
      <c r="N950" s="5"/>
      <c r="O950" s="5"/>
      <c r="P950" s="5"/>
      <c r="Q950" s="5"/>
      <c r="R950" s="5"/>
      <c r="S950" s="5"/>
      <c r="T950" s="5"/>
      <c r="U950" s="5"/>
      <c r="V950" s="5"/>
      <c r="W950" s="5"/>
    </row>
    <row r="951" spans="1:23" x14ac:dyDescent="0.3">
      <c r="A951" s="5"/>
      <c r="B951" s="5"/>
      <c r="C951" s="5"/>
      <c r="D951" s="5"/>
      <c r="E951" s="5"/>
      <c r="F951" s="5"/>
      <c r="G951" s="5"/>
      <c r="H951" s="5"/>
      <c r="I951" s="5"/>
      <c r="J951" s="5"/>
      <c r="K951" s="5"/>
      <c r="L951" s="5"/>
      <c r="M951" s="5"/>
      <c r="N951" s="5"/>
      <c r="O951" s="5"/>
      <c r="P951" s="5"/>
      <c r="Q951" s="5"/>
      <c r="R951" s="5"/>
      <c r="S951" s="5"/>
      <c r="T951" s="5"/>
      <c r="U951" s="5"/>
      <c r="V951" s="5"/>
      <c r="W951" s="5"/>
    </row>
    <row r="952" spans="1:23" x14ac:dyDescent="0.3">
      <c r="A952" s="5"/>
      <c r="B952" s="5"/>
      <c r="C952" s="5"/>
      <c r="D952" s="5"/>
      <c r="E952" s="5"/>
      <c r="F952" s="5"/>
      <c r="G952" s="5"/>
      <c r="H952" s="5"/>
      <c r="I952" s="5"/>
      <c r="J952" s="5"/>
      <c r="K952" s="5"/>
      <c r="L952" s="5"/>
      <c r="M952" s="5"/>
      <c r="N952" s="5"/>
      <c r="O952" s="5"/>
      <c r="P952" s="5"/>
      <c r="Q952" s="5"/>
      <c r="R952" s="5"/>
      <c r="S952" s="5"/>
      <c r="T952" s="5"/>
      <c r="U952" s="5"/>
      <c r="V952" s="5"/>
      <c r="W952" s="5"/>
    </row>
    <row r="953" spans="1:23" x14ac:dyDescent="0.3">
      <c r="A953" s="5"/>
      <c r="B953" s="5"/>
      <c r="C953" s="5"/>
      <c r="D953" s="5"/>
      <c r="E953" s="5"/>
      <c r="F953" s="5"/>
      <c r="G953" s="5"/>
      <c r="H953" s="5"/>
      <c r="I953" s="5"/>
      <c r="J953" s="5"/>
      <c r="K953" s="5"/>
      <c r="L953" s="5"/>
      <c r="M953" s="5"/>
      <c r="N953" s="5"/>
      <c r="O953" s="5"/>
      <c r="P953" s="5"/>
      <c r="Q953" s="5"/>
      <c r="R953" s="5"/>
      <c r="S953" s="5"/>
      <c r="T953" s="5"/>
      <c r="U953" s="5"/>
      <c r="V953" s="5"/>
      <c r="W953" s="5"/>
    </row>
    <row r="954" spans="1:23" x14ac:dyDescent="0.3">
      <c r="A954" s="5"/>
      <c r="B954" s="5"/>
      <c r="C954" s="5"/>
      <c r="D954" s="5"/>
      <c r="E954" s="5"/>
      <c r="F954" s="5"/>
      <c r="G954" s="5"/>
      <c r="H954" s="5"/>
      <c r="I954" s="5"/>
      <c r="J954" s="5"/>
      <c r="K954" s="5"/>
      <c r="L954" s="5"/>
      <c r="M954" s="5"/>
      <c r="N954" s="5"/>
      <c r="O954" s="5"/>
      <c r="P954" s="5"/>
      <c r="Q954" s="5"/>
      <c r="R954" s="5"/>
      <c r="S954" s="5"/>
      <c r="T954" s="5"/>
      <c r="U954" s="5"/>
      <c r="V954" s="5"/>
      <c r="W954" s="5"/>
    </row>
    <row r="955" spans="1:23" x14ac:dyDescent="0.3">
      <c r="A955" s="5"/>
      <c r="B955" s="5"/>
      <c r="C955" s="5"/>
      <c r="D955" s="5"/>
      <c r="E955" s="5"/>
      <c r="F955" s="5"/>
      <c r="G955" s="5"/>
      <c r="H955" s="5"/>
      <c r="I955" s="5"/>
      <c r="J955" s="5"/>
      <c r="K955" s="5"/>
      <c r="L955" s="5"/>
      <c r="M955" s="5"/>
      <c r="N955" s="5"/>
      <c r="O955" s="5"/>
      <c r="P955" s="5"/>
      <c r="Q955" s="5"/>
      <c r="R955" s="5"/>
      <c r="S955" s="5"/>
      <c r="T955" s="5"/>
      <c r="U955" s="5"/>
      <c r="V955" s="5"/>
      <c r="W955" s="5"/>
    </row>
    <row r="956" spans="1:23" x14ac:dyDescent="0.3">
      <c r="A956" s="5"/>
      <c r="B956" s="5"/>
      <c r="C956" s="5"/>
      <c r="D956" s="5"/>
      <c r="E956" s="5"/>
      <c r="F956" s="5"/>
      <c r="G956" s="5"/>
      <c r="H956" s="5"/>
      <c r="I956" s="5"/>
      <c r="J956" s="5"/>
      <c r="K956" s="5"/>
      <c r="L956" s="5"/>
      <c r="M956" s="5"/>
      <c r="N956" s="5"/>
      <c r="O956" s="5"/>
      <c r="P956" s="5"/>
      <c r="Q956" s="5"/>
      <c r="R956" s="5"/>
      <c r="S956" s="5"/>
      <c r="T956" s="5"/>
      <c r="U956" s="5"/>
      <c r="V956" s="5"/>
      <c r="W956" s="5"/>
    </row>
    <row r="957" spans="1:23" x14ac:dyDescent="0.3">
      <c r="A957" s="5"/>
      <c r="B957" s="5"/>
      <c r="C957" s="5"/>
      <c r="D957" s="5"/>
      <c r="E957" s="5"/>
      <c r="F957" s="5"/>
      <c r="G957" s="5"/>
      <c r="H957" s="5"/>
      <c r="I957" s="5"/>
      <c r="J957" s="5"/>
      <c r="K957" s="5"/>
      <c r="L957" s="5"/>
      <c r="M957" s="5"/>
      <c r="N957" s="5"/>
      <c r="O957" s="5"/>
      <c r="P957" s="5"/>
      <c r="Q957" s="5"/>
      <c r="R957" s="5"/>
      <c r="S957" s="5"/>
      <c r="T957" s="5"/>
      <c r="U957" s="5"/>
      <c r="V957" s="5"/>
      <c r="W957" s="5"/>
    </row>
    <row r="958" spans="1:23" x14ac:dyDescent="0.3">
      <c r="A958" s="5"/>
      <c r="B958" s="5"/>
      <c r="C958" s="5"/>
      <c r="D958" s="5"/>
      <c r="E958" s="5"/>
      <c r="F958" s="5"/>
      <c r="G958" s="5"/>
      <c r="H958" s="5"/>
      <c r="I958" s="5"/>
      <c r="J958" s="5"/>
      <c r="K958" s="5"/>
      <c r="L958" s="5"/>
      <c r="M958" s="5"/>
      <c r="N958" s="5"/>
      <c r="O958" s="5"/>
      <c r="P958" s="5"/>
      <c r="Q958" s="5"/>
      <c r="R958" s="5"/>
      <c r="S958" s="5"/>
      <c r="T958" s="5"/>
      <c r="U958" s="5"/>
      <c r="V958" s="5"/>
      <c r="W958" s="5"/>
    </row>
    <row r="959" spans="1:23" x14ac:dyDescent="0.3">
      <c r="A959" s="5"/>
      <c r="B959" s="5"/>
      <c r="C959" s="5"/>
      <c r="D959" s="5"/>
      <c r="E959" s="5"/>
      <c r="F959" s="5"/>
      <c r="G959" s="5"/>
      <c r="H959" s="5"/>
      <c r="I959" s="5"/>
      <c r="J959" s="5"/>
      <c r="K959" s="5"/>
      <c r="L959" s="5"/>
      <c r="M959" s="5"/>
      <c r="N959" s="5"/>
      <c r="O959" s="5"/>
      <c r="P959" s="5"/>
      <c r="Q959" s="5"/>
      <c r="R959" s="5"/>
      <c r="S959" s="5"/>
      <c r="T959" s="5"/>
      <c r="U959" s="5"/>
      <c r="V959" s="5"/>
      <c r="W959" s="5"/>
    </row>
    <row r="960" spans="1:23" x14ac:dyDescent="0.3">
      <c r="A960" s="5"/>
      <c r="B960" s="5"/>
      <c r="C960" s="5"/>
      <c r="D960" s="5"/>
      <c r="E960" s="5"/>
      <c r="F960" s="5"/>
      <c r="G960" s="5"/>
      <c r="H960" s="5"/>
      <c r="I960" s="5"/>
      <c r="J960" s="5"/>
      <c r="K960" s="5"/>
      <c r="L960" s="5"/>
      <c r="M960" s="5"/>
      <c r="N960" s="5"/>
      <c r="O960" s="5"/>
      <c r="P960" s="5"/>
      <c r="Q960" s="5"/>
      <c r="R960" s="5"/>
      <c r="S960" s="5"/>
      <c r="T960" s="5"/>
      <c r="U960" s="5"/>
      <c r="V960" s="5"/>
      <c r="W960" s="5"/>
    </row>
    <row r="961" spans="1:23" x14ac:dyDescent="0.3">
      <c r="A961" s="5"/>
      <c r="B961" s="5"/>
      <c r="C961" s="5"/>
      <c r="D961" s="5"/>
      <c r="E961" s="5"/>
      <c r="F961" s="5"/>
      <c r="G961" s="5"/>
      <c r="H961" s="5"/>
      <c r="I961" s="5"/>
      <c r="J961" s="5"/>
      <c r="K961" s="5"/>
      <c r="L961" s="5"/>
      <c r="M961" s="5"/>
      <c r="N961" s="5"/>
      <c r="O961" s="5"/>
      <c r="P961" s="5"/>
      <c r="Q961" s="5"/>
      <c r="R961" s="5"/>
      <c r="S961" s="5"/>
      <c r="T961" s="5"/>
      <c r="U961" s="5"/>
      <c r="V961" s="5"/>
      <c r="W961" s="5"/>
    </row>
    <row r="962" spans="1:23" x14ac:dyDescent="0.3">
      <c r="A962" s="5"/>
      <c r="B962" s="5"/>
      <c r="C962" s="5"/>
      <c r="D962" s="5"/>
      <c r="E962" s="5"/>
      <c r="F962" s="5"/>
      <c r="G962" s="5"/>
      <c r="H962" s="5"/>
      <c r="I962" s="5"/>
      <c r="J962" s="5"/>
      <c r="K962" s="5"/>
      <c r="L962" s="5"/>
      <c r="M962" s="5"/>
      <c r="N962" s="5"/>
      <c r="O962" s="5"/>
      <c r="P962" s="5"/>
      <c r="Q962" s="5"/>
      <c r="R962" s="5"/>
      <c r="S962" s="5"/>
      <c r="T962" s="5"/>
      <c r="U962" s="5"/>
      <c r="V962" s="5"/>
      <c r="W962" s="5"/>
    </row>
    <row r="963" spans="1:23" x14ac:dyDescent="0.3">
      <c r="A963" s="5"/>
      <c r="B963" s="5"/>
      <c r="C963" s="5"/>
      <c r="D963" s="5"/>
      <c r="E963" s="5"/>
      <c r="F963" s="5"/>
      <c r="G963" s="5"/>
      <c r="H963" s="5"/>
      <c r="I963" s="5"/>
      <c r="J963" s="5"/>
      <c r="K963" s="5"/>
      <c r="L963" s="5"/>
      <c r="M963" s="5"/>
      <c r="N963" s="5"/>
      <c r="O963" s="5"/>
      <c r="P963" s="5"/>
      <c r="Q963" s="5"/>
      <c r="R963" s="5"/>
      <c r="S963" s="5"/>
      <c r="T963" s="5"/>
      <c r="U963" s="5"/>
      <c r="V963" s="5"/>
      <c r="W963" s="5"/>
    </row>
    <row r="964" spans="1:23" x14ac:dyDescent="0.3">
      <c r="A964" s="5"/>
      <c r="B964" s="5"/>
      <c r="C964" s="5"/>
      <c r="D964" s="5"/>
      <c r="E964" s="5"/>
      <c r="F964" s="5"/>
      <c r="G964" s="5"/>
      <c r="H964" s="5"/>
      <c r="I964" s="5"/>
      <c r="J964" s="5"/>
      <c r="K964" s="5"/>
      <c r="L964" s="5"/>
      <c r="M964" s="5"/>
      <c r="N964" s="5"/>
      <c r="O964" s="5"/>
      <c r="P964" s="5"/>
      <c r="Q964" s="5"/>
      <c r="R964" s="5"/>
      <c r="S964" s="5"/>
      <c r="T964" s="5"/>
      <c r="U964" s="5"/>
      <c r="V964" s="5"/>
      <c r="W964" s="5"/>
    </row>
    <row r="965" spans="1:23" x14ac:dyDescent="0.3">
      <c r="A965" s="5"/>
      <c r="B965" s="5"/>
      <c r="C965" s="5"/>
      <c r="D965" s="5"/>
      <c r="E965" s="5"/>
      <c r="F965" s="5"/>
      <c r="G965" s="5"/>
      <c r="H965" s="5"/>
      <c r="I965" s="5"/>
      <c r="J965" s="5"/>
      <c r="K965" s="5"/>
      <c r="L965" s="5"/>
      <c r="M965" s="5"/>
      <c r="N965" s="5"/>
      <c r="O965" s="5"/>
      <c r="P965" s="5"/>
      <c r="Q965" s="5"/>
      <c r="R965" s="5"/>
      <c r="S965" s="5"/>
      <c r="T965" s="5"/>
      <c r="U965" s="5"/>
      <c r="V965" s="5"/>
      <c r="W965" s="5"/>
    </row>
    <row r="966" spans="1:23" x14ac:dyDescent="0.3">
      <c r="A966" s="5"/>
      <c r="B966" s="5"/>
      <c r="C966" s="5"/>
      <c r="D966" s="5"/>
      <c r="E966" s="5"/>
      <c r="F966" s="5"/>
      <c r="G966" s="5"/>
      <c r="H966" s="5"/>
      <c r="I966" s="5"/>
      <c r="J966" s="5"/>
      <c r="K966" s="5"/>
      <c r="L966" s="5"/>
      <c r="M966" s="5"/>
      <c r="N966" s="5"/>
      <c r="O966" s="5"/>
      <c r="P966" s="5"/>
      <c r="Q966" s="5"/>
      <c r="R966" s="5"/>
      <c r="S966" s="5"/>
      <c r="T966" s="5"/>
      <c r="U966" s="5"/>
      <c r="V966" s="5"/>
      <c r="W966" s="5"/>
    </row>
    <row r="967" spans="1:23" x14ac:dyDescent="0.3">
      <c r="A967" s="5"/>
      <c r="B967" s="5"/>
      <c r="C967" s="5"/>
      <c r="D967" s="5"/>
      <c r="E967" s="5"/>
      <c r="F967" s="5"/>
      <c r="G967" s="5"/>
      <c r="H967" s="5"/>
      <c r="I967" s="5"/>
      <c r="J967" s="5"/>
      <c r="K967" s="5"/>
      <c r="L967" s="5"/>
      <c r="M967" s="5"/>
      <c r="N967" s="5"/>
      <c r="O967" s="5"/>
      <c r="P967" s="5"/>
      <c r="Q967" s="5"/>
      <c r="R967" s="5"/>
      <c r="S967" s="5"/>
      <c r="T967" s="5"/>
      <c r="U967" s="5"/>
      <c r="V967" s="5"/>
      <c r="W967" s="5"/>
    </row>
    <row r="968" spans="1:23" x14ac:dyDescent="0.3">
      <c r="A968" s="5"/>
      <c r="B968" s="5"/>
      <c r="C968" s="5"/>
      <c r="D968" s="5"/>
      <c r="E968" s="5"/>
      <c r="F968" s="5"/>
      <c r="G968" s="5"/>
      <c r="H968" s="5"/>
      <c r="I968" s="5"/>
      <c r="J968" s="5"/>
      <c r="K968" s="5"/>
      <c r="L968" s="5"/>
      <c r="M968" s="5"/>
      <c r="N968" s="5"/>
      <c r="O968" s="5"/>
      <c r="P968" s="5"/>
      <c r="Q968" s="5"/>
      <c r="R968" s="5"/>
      <c r="S968" s="5"/>
      <c r="T968" s="5"/>
      <c r="U968" s="5"/>
      <c r="V968" s="5"/>
      <c r="W968" s="5"/>
    </row>
    <row r="969" spans="1:23" x14ac:dyDescent="0.3">
      <c r="A969" s="5"/>
      <c r="B969" s="5"/>
      <c r="C969" s="5"/>
      <c r="D969" s="5"/>
      <c r="E969" s="5"/>
      <c r="F969" s="5"/>
      <c r="G969" s="5"/>
      <c r="H969" s="5"/>
      <c r="I969" s="5"/>
      <c r="J969" s="5"/>
      <c r="K969" s="5"/>
      <c r="L969" s="5"/>
      <c r="M969" s="5"/>
      <c r="N969" s="5"/>
      <c r="O969" s="5"/>
      <c r="P969" s="5"/>
      <c r="Q969" s="5"/>
      <c r="R969" s="5"/>
      <c r="S969" s="5"/>
      <c r="T969" s="5"/>
      <c r="U969" s="5"/>
      <c r="V969" s="5"/>
      <c r="W969" s="5"/>
    </row>
    <row r="970" spans="1:23" x14ac:dyDescent="0.3">
      <c r="A970" s="5"/>
      <c r="B970" s="5"/>
      <c r="C970" s="5"/>
      <c r="D970" s="5"/>
      <c r="E970" s="5"/>
      <c r="F970" s="5"/>
      <c r="G970" s="5"/>
      <c r="H970" s="5"/>
      <c r="I970" s="5"/>
      <c r="J970" s="5"/>
      <c r="K970" s="5"/>
      <c r="L970" s="5"/>
      <c r="M970" s="5"/>
      <c r="N970" s="5"/>
      <c r="O970" s="5"/>
      <c r="P970" s="5"/>
      <c r="Q970" s="5"/>
      <c r="R970" s="5"/>
      <c r="S970" s="5"/>
      <c r="T970" s="5"/>
      <c r="U970" s="5"/>
      <c r="V970" s="5"/>
      <c r="W970" s="5"/>
    </row>
    <row r="971" spans="1:23" x14ac:dyDescent="0.3">
      <c r="A971" s="5"/>
      <c r="B971" s="5"/>
      <c r="C971" s="5"/>
      <c r="D971" s="5"/>
      <c r="E971" s="5"/>
      <c r="F971" s="5"/>
      <c r="G971" s="5"/>
      <c r="H971" s="5"/>
      <c r="I971" s="5"/>
      <c r="J971" s="5"/>
      <c r="K971" s="5"/>
      <c r="L971" s="5"/>
      <c r="M971" s="5"/>
      <c r="N971" s="5"/>
      <c r="O971" s="5"/>
      <c r="P971" s="5"/>
      <c r="Q971" s="5"/>
      <c r="R971" s="5"/>
      <c r="S971" s="5"/>
      <c r="T971" s="5"/>
      <c r="U971" s="5"/>
      <c r="V971" s="5"/>
      <c r="W971" s="5"/>
    </row>
    <row r="972" spans="1:23" x14ac:dyDescent="0.3">
      <c r="A972" s="5"/>
      <c r="B972" s="5"/>
      <c r="C972" s="5"/>
      <c r="D972" s="5"/>
      <c r="E972" s="5"/>
      <c r="F972" s="5"/>
      <c r="G972" s="5"/>
      <c r="H972" s="5"/>
      <c r="I972" s="5"/>
      <c r="J972" s="5"/>
      <c r="K972" s="5"/>
      <c r="L972" s="5"/>
      <c r="M972" s="5"/>
      <c r="N972" s="5"/>
      <c r="O972" s="5"/>
      <c r="P972" s="5"/>
      <c r="Q972" s="5"/>
      <c r="R972" s="5"/>
      <c r="S972" s="5"/>
      <c r="T972" s="5"/>
      <c r="U972" s="5"/>
      <c r="V972" s="5"/>
      <c r="W972" s="5"/>
    </row>
    <row r="973" spans="1:23" x14ac:dyDescent="0.3">
      <c r="A973" s="5"/>
      <c r="B973" s="5"/>
      <c r="C973" s="5"/>
      <c r="D973" s="5"/>
      <c r="E973" s="5"/>
      <c r="F973" s="5"/>
      <c r="G973" s="5"/>
      <c r="H973" s="5"/>
      <c r="I973" s="5"/>
      <c r="J973" s="5"/>
      <c r="K973" s="5"/>
      <c r="L973" s="5"/>
      <c r="M973" s="5"/>
      <c r="N973" s="5"/>
      <c r="O973" s="5"/>
      <c r="P973" s="5"/>
      <c r="Q973" s="5"/>
      <c r="R973" s="5"/>
      <c r="S973" s="5"/>
      <c r="T973" s="5"/>
      <c r="U973" s="5"/>
      <c r="V973" s="5"/>
      <c r="W973" s="5"/>
    </row>
    <row r="974" spans="1:23" x14ac:dyDescent="0.3">
      <c r="A974" s="5"/>
      <c r="B974" s="5"/>
      <c r="C974" s="5"/>
      <c r="D974" s="5"/>
      <c r="E974" s="5"/>
      <c r="F974" s="5"/>
      <c r="G974" s="5"/>
      <c r="H974" s="5"/>
      <c r="I974" s="5"/>
      <c r="J974" s="5"/>
      <c r="K974" s="5"/>
      <c r="L974" s="5"/>
      <c r="M974" s="5"/>
      <c r="N974" s="5"/>
      <c r="O974" s="5"/>
      <c r="P974" s="5"/>
      <c r="Q974" s="5"/>
      <c r="R974" s="5"/>
      <c r="S974" s="5"/>
      <c r="T974" s="5"/>
      <c r="U974" s="5"/>
      <c r="V974" s="5"/>
      <c r="W974" s="5"/>
    </row>
    <row r="975" spans="1:23" x14ac:dyDescent="0.3">
      <c r="A975" s="5"/>
      <c r="B975" s="5"/>
      <c r="C975" s="5"/>
      <c r="D975" s="5"/>
      <c r="E975" s="5"/>
      <c r="F975" s="5"/>
      <c r="G975" s="5"/>
      <c r="H975" s="5"/>
      <c r="I975" s="5"/>
      <c r="J975" s="5"/>
      <c r="K975" s="5"/>
      <c r="L975" s="5"/>
      <c r="M975" s="5"/>
      <c r="N975" s="5"/>
      <c r="O975" s="5"/>
      <c r="P975" s="5"/>
      <c r="Q975" s="5"/>
      <c r="R975" s="5"/>
      <c r="S975" s="5"/>
      <c r="T975" s="5"/>
      <c r="U975" s="5"/>
      <c r="V975" s="5"/>
      <c r="W975" s="5"/>
    </row>
    <row r="976" spans="1:23" x14ac:dyDescent="0.3">
      <c r="A976" s="5"/>
      <c r="B976" s="5"/>
      <c r="C976" s="5"/>
      <c r="D976" s="5"/>
      <c r="E976" s="5"/>
      <c r="F976" s="5"/>
      <c r="G976" s="5"/>
      <c r="H976" s="5"/>
      <c r="I976" s="5"/>
      <c r="J976" s="5"/>
      <c r="K976" s="5"/>
      <c r="L976" s="5"/>
      <c r="M976" s="5"/>
      <c r="N976" s="5"/>
      <c r="O976" s="5"/>
      <c r="P976" s="5"/>
      <c r="Q976" s="5"/>
      <c r="R976" s="5"/>
      <c r="S976" s="5"/>
      <c r="T976" s="5"/>
      <c r="U976" s="5"/>
      <c r="V976" s="5"/>
      <c r="W976" s="5"/>
    </row>
    <row r="977" spans="1:23" x14ac:dyDescent="0.3">
      <c r="A977" s="5"/>
      <c r="B977" s="5"/>
      <c r="C977" s="5"/>
      <c r="D977" s="5"/>
      <c r="E977" s="5"/>
      <c r="F977" s="5"/>
      <c r="G977" s="5"/>
      <c r="H977" s="5"/>
      <c r="I977" s="5"/>
      <c r="J977" s="5"/>
      <c r="K977" s="5"/>
      <c r="L977" s="5"/>
      <c r="M977" s="5"/>
      <c r="N977" s="5"/>
      <c r="O977" s="5"/>
      <c r="P977" s="5"/>
      <c r="Q977" s="5"/>
      <c r="R977" s="5"/>
      <c r="S977" s="5"/>
      <c r="T977" s="5"/>
      <c r="U977" s="5"/>
      <c r="V977" s="5"/>
      <c r="W977" s="5"/>
    </row>
    <row r="978" spans="1:23" x14ac:dyDescent="0.3">
      <c r="A978" s="5"/>
      <c r="B978" s="5"/>
      <c r="C978" s="5"/>
      <c r="D978" s="5"/>
      <c r="E978" s="5"/>
      <c r="F978" s="5"/>
      <c r="G978" s="5"/>
      <c r="H978" s="5"/>
      <c r="I978" s="5"/>
      <c r="J978" s="5"/>
      <c r="K978" s="5"/>
      <c r="L978" s="5"/>
      <c r="M978" s="5"/>
      <c r="N978" s="5"/>
      <c r="O978" s="5"/>
      <c r="P978" s="5"/>
      <c r="Q978" s="5"/>
      <c r="R978" s="5"/>
      <c r="S978" s="5"/>
      <c r="T978" s="5"/>
      <c r="U978" s="5"/>
      <c r="V978" s="5"/>
      <c r="W978" s="5"/>
    </row>
    <row r="979" spans="1:23" x14ac:dyDescent="0.3">
      <c r="A979" s="5"/>
      <c r="B979" s="5"/>
      <c r="C979" s="5"/>
      <c r="D979" s="5"/>
      <c r="E979" s="5"/>
      <c r="F979" s="5"/>
      <c r="G979" s="5"/>
      <c r="H979" s="5"/>
      <c r="I979" s="5"/>
      <c r="J979" s="5"/>
      <c r="K979" s="5"/>
      <c r="L979" s="5"/>
      <c r="M979" s="5"/>
      <c r="N979" s="5"/>
      <c r="O979" s="5"/>
      <c r="P979" s="5"/>
      <c r="Q979" s="5"/>
      <c r="R979" s="5"/>
      <c r="S979" s="5"/>
      <c r="T979" s="5"/>
      <c r="U979" s="5"/>
      <c r="V979" s="5"/>
      <c r="W979" s="5"/>
    </row>
    <row r="980" spans="1:23" x14ac:dyDescent="0.3">
      <c r="A980" s="5"/>
      <c r="B980" s="5"/>
      <c r="C980" s="5"/>
      <c r="D980" s="5"/>
      <c r="E980" s="5"/>
      <c r="F980" s="5"/>
      <c r="G980" s="5"/>
      <c r="H980" s="5"/>
      <c r="I980" s="5"/>
      <c r="J980" s="5"/>
      <c r="K980" s="5"/>
      <c r="L980" s="5"/>
      <c r="M980" s="5"/>
      <c r="N980" s="5"/>
      <c r="O980" s="5"/>
      <c r="P980" s="5"/>
      <c r="Q980" s="5"/>
      <c r="R980" s="5"/>
      <c r="S980" s="5"/>
      <c r="T980" s="5"/>
      <c r="U980" s="5"/>
      <c r="V980" s="5"/>
      <c r="W980" s="5"/>
    </row>
    <row r="981" spans="1:23" x14ac:dyDescent="0.3">
      <c r="A981" s="5"/>
      <c r="B981" s="5"/>
      <c r="C981" s="5"/>
      <c r="D981" s="5"/>
      <c r="E981" s="5"/>
      <c r="F981" s="5"/>
      <c r="G981" s="5"/>
      <c r="H981" s="5"/>
      <c r="I981" s="5"/>
      <c r="J981" s="5"/>
      <c r="K981" s="5"/>
      <c r="L981" s="5"/>
      <c r="M981" s="5"/>
      <c r="N981" s="5"/>
      <c r="O981" s="5"/>
      <c r="P981" s="5"/>
      <c r="Q981" s="5"/>
      <c r="R981" s="5"/>
      <c r="S981" s="5"/>
      <c r="T981" s="5"/>
      <c r="U981" s="5"/>
      <c r="V981" s="5"/>
      <c r="W981" s="5"/>
    </row>
    <row r="982" spans="1:23" x14ac:dyDescent="0.3">
      <c r="A982" s="5"/>
      <c r="B982" s="5"/>
      <c r="C982" s="5"/>
      <c r="D982" s="5"/>
      <c r="E982" s="5"/>
      <c r="F982" s="5"/>
      <c r="G982" s="5"/>
      <c r="H982" s="5"/>
      <c r="I982" s="5"/>
      <c r="J982" s="5"/>
      <c r="K982" s="5"/>
      <c r="L982" s="5"/>
      <c r="M982" s="5"/>
      <c r="N982" s="5"/>
      <c r="O982" s="5"/>
      <c r="P982" s="5"/>
      <c r="Q982" s="5"/>
      <c r="R982" s="5"/>
      <c r="S982" s="5"/>
      <c r="T982" s="5"/>
      <c r="U982" s="5"/>
      <c r="V982" s="5"/>
      <c r="W982" s="5"/>
    </row>
    <row r="983" spans="1:23" x14ac:dyDescent="0.3">
      <c r="A983" s="5"/>
      <c r="B983" s="5"/>
      <c r="C983" s="5"/>
      <c r="D983" s="5"/>
      <c r="E983" s="5"/>
      <c r="F983" s="5"/>
      <c r="G983" s="5"/>
      <c r="H983" s="5"/>
      <c r="I983" s="5"/>
      <c r="J983" s="5"/>
      <c r="K983" s="5"/>
      <c r="L983" s="5"/>
      <c r="M983" s="5"/>
      <c r="N983" s="5"/>
      <c r="O983" s="5"/>
      <c r="P983" s="5"/>
      <c r="Q983" s="5"/>
      <c r="R983" s="5"/>
      <c r="S983" s="5"/>
      <c r="T983" s="5"/>
      <c r="U983" s="5"/>
      <c r="V983" s="5"/>
      <c r="W983" s="5"/>
    </row>
    <row r="984" spans="1:23" x14ac:dyDescent="0.3">
      <c r="A984" s="5"/>
      <c r="B984" s="5"/>
      <c r="C984" s="5"/>
      <c r="D984" s="5"/>
      <c r="E984" s="5"/>
      <c r="F984" s="5"/>
      <c r="G984" s="5"/>
      <c r="H984" s="5"/>
      <c r="I984" s="5"/>
      <c r="J984" s="5"/>
      <c r="K984" s="5"/>
      <c r="L984" s="5"/>
      <c r="M984" s="5"/>
      <c r="N984" s="5"/>
      <c r="O984" s="5"/>
      <c r="P984" s="5"/>
      <c r="Q984" s="5"/>
      <c r="R984" s="5"/>
      <c r="S984" s="5"/>
      <c r="T984" s="5"/>
      <c r="U984" s="5"/>
      <c r="V984" s="5"/>
      <c r="W984" s="5"/>
    </row>
    <row r="985" spans="1:23" x14ac:dyDescent="0.3">
      <c r="A985" s="5"/>
      <c r="B985" s="5"/>
      <c r="C985" s="5"/>
      <c r="D985" s="5"/>
      <c r="E985" s="5"/>
      <c r="F985" s="5"/>
      <c r="G985" s="5"/>
      <c r="H985" s="5"/>
      <c r="I985" s="5"/>
      <c r="J985" s="5"/>
      <c r="K985" s="5"/>
      <c r="L985" s="5"/>
      <c r="M985" s="5"/>
      <c r="N985" s="5"/>
      <c r="O985" s="5"/>
      <c r="P985" s="5"/>
      <c r="Q985" s="5"/>
      <c r="R985" s="5"/>
      <c r="S985" s="5"/>
      <c r="T985" s="5"/>
      <c r="U985" s="5"/>
      <c r="V985" s="5"/>
      <c r="W985" s="5"/>
    </row>
    <row r="986" spans="1:23" x14ac:dyDescent="0.3">
      <c r="A986" s="5"/>
      <c r="B986" s="5"/>
      <c r="C986" s="5"/>
      <c r="D986" s="5"/>
      <c r="E986" s="5"/>
      <c r="F986" s="5"/>
      <c r="G986" s="5"/>
      <c r="H986" s="5"/>
      <c r="I986" s="5"/>
      <c r="J986" s="5"/>
      <c r="K986" s="5"/>
      <c r="L986" s="5"/>
      <c r="M986" s="5"/>
      <c r="N986" s="5"/>
      <c r="O986" s="5"/>
      <c r="P986" s="5"/>
      <c r="Q986" s="5"/>
      <c r="R986" s="5"/>
      <c r="S986" s="5"/>
      <c r="T986" s="5"/>
      <c r="U986" s="5"/>
      <c r="V986" s="5"/>
      <c r="W986" s="5"/>
    </row>
    <row r="987" spans="1:23" x14ac:dyDescent="0.3">
      <c r="A987" s="5"/>
      <c r="B987" s="5"/>
      <c r="C987" s="5"/>
      <c r="D987" s="5"/>
      <c r="E987" s="5"/>
      <c r="F987" s="5"/>
      <c r="G987" s="5"/>
      <c r="H987" s="5"/>
      <c r="I987" s="5"/>
      <c r="J987" s="5"/>
      <c r="K987" s="5"/>
      <c r="L987" s="5"/>
      <c r="M987" s="5"/>
      <c r="N987" s="5"/>
      <c r="O987" s="5"/>
      <c r="P987" s="5"/>
      <c r="Q987" s="5"/>
      <c r="R987" s="5"/>
      <c r="S987" s="5"/>
      <c r="T987" s="5"/>
      <c r="U987" s="5"/>
      <c r="V987" s="5"/>
      <c r="W987" s="5"/>
    </row>
    <row r="988" spans="1:23" x14ac:dyDescent="0.3">
      <c r="A988" s="5"/>
      <c r="B988" s="5"/>
      <c r="C988" s="5"/>
      <c r="D988" s="5"/>
      <c r="E988" s="5"/>
      <c r="F988" s="5"/>
      <c r="G988" s="5"/>
      <c r="H988" s="5"/>
      <c r="I988" s="5"/>
      <c r="J988" s="5"/>
      <c r="K988" s="5"/>
      <c r="L988" s="5"/>
      <c r="M988" s="5"/>
      <c r="N988" s="5"/>
      <c r="O988" s="5"/>
      <c r="P988" s="5"/>
      <c r="Q988" s="5"/>
      <c r="R988" s="5"/>
      <c r="S988" s="5"/>
      <c r="T988" s="5"/>
      <c r="U988" s="5"/>
      <c r="V988" s="5"/>
      <c r="W988" s="5"/>
    </row>
    <row r="989" spans="1:23" x14ac:dyDescent="0.3">
      <c r="A989" s="5"/>
      <c r="B989" s="5"/>
      <c r="C989" s="5"/>
      <c r="D989" s="5"/>
      <c r="E989" s="5"/>
      <c r="F989" s="5"/>
      <c r="G989" s="5"/>
      <c r="H989" s="5"/>
      <c r="I989" s="5"/>
      <c r="J989" s="5"/>
      <c r="K989" s="5"/>
      <c r="L989" s="5"/>
      <c r="M989" s="5"/>
      <c r="N989" s="5"/>
      <c r="O989" s="5"/>
      <c r="P989" s="5"/>
      <c r="Q989" s="5"/>
      <c r="R989" s="5"/>
      <c r="S989" s="5"/>
      <c r="T989" s="5"/>
      <c r="U989" s="5"/>
      <c r="V989" s="5"/>
      <c r="W989" s="5"/>
    </row>
    <row r="990" spans="1:23" x14ac:dyDescent="0.3">
      <c r="A990" s="5"/>
      <c r="B990" s="5"/>
      <c r="C990" s="5"/>
      <c r="D990" s="5"/>
      <c r="E990" s="5"/>
      <c r="F990" s="5"/>
      <c r="G990" s="5"/>
      <c r="H990" s="5"/>
      <c r="I990" s="5"/>
      <c r="J990" s="5"/>
      <c r="K990" s="5"/>
      <c r="L990" s="5"/>
      <c r="M990" s="5"/>
      <c r="N990" s="5"/>
      <c r="O990" s="5"/>
      <c r="P990" s="5"/>
      <c r="Q990" s="5"/>
      <c r="R990" s="5"/>
      <c r="S990" s="5"/>
      <c r="T990" s="5"/>
      <c r="U990" s="5"/>
      <c r="V990" s="5"/>
      <c r="W990" s="5"/>
    </row>
    <row r="991" spans="1:23" x14ac:dyDescent="0.3">
      <c r="A991" s="5"/>
      <c r="B991" s="5"/>
      <c r="C991" s="5"/>
      <c r="D991" s="5"/>
      <c r="E991" s="5"/>
      <c r="F991" s="5"/>
      <c r="G991" s="5"/>
      <c r="H991" s="5"/>
      <c r="I991" s="5"/>
      <c r="J991" s="5"/>
      <c r="K991" s="5"/>
      <c r="L991" s="5"/>
      <c r="M991" s="5"/>
      <c r="N991" s="5"/>
      <c r="O991" s="5"/>
      <c r="P991" s="5"/>
      <c r="Q991" s="5"/>
      <c r="R991" s="5"/>
      <c r="S991" s="5"/>
      <c r="T991" s="5"/>
      <c r="U991" s="5"/>
      <c r="V991" s="5"/>
      <c r="W991" s="5"/>
    </row>
    <row r="992" spans="1:23" x14ac:dyDescent="0.3">
      <c r="A992" s="5"/>
      <c r="B992" s="5"/>
      <c r="C992" s="5"/>
      <c r="D992" s="5"/>
      <c r="E992" s="5"/>
      <c r="F992" s="5"/>
      <c r="G992" s="5"/>
      <c r="H992" s="5"/>
      <c r="I992" s="5"/>
      <c r="J992" s="5"/>
      <c r="K992" s="5"/>
      <c r="L992" s="5"/>
      <c r="M992" s="5"/>
      <c r="N992" s="5"/>
      <c r="O992" s="5"/>
      <c r="P992" s="5"/>
      <c r="Q992" s="5"/>
      <c r="R992" s="5"/>
      <c r="S992" s="5"/>
      <c r="T992" s="5"/>
      <c r="U992" s="5"/>
      <c r="V992" s="5"/>
      <c r="W992" s="5"/>
    </row>
    <row r="993" spans="1:23" x14ac:dyDescent="0.3">
      <c r="A993" s="5"/>
      <c r="B993" s="5"/>
      <c r="C993" s="5"/>
      <c r="D993" s="5"/>
      <c r="E993" s="5"/>
      <c r="F993" s="5"/>
      <c r="G993" s="5"/>
      <c r="H993" s="5"/>
      <c r="I993" s="5"/>
      <c r="J993" s="5"/>
      <c r="K993" s="5"/>
      <c r="L993" s="5"/>
      <c r="M993" s="5"/>
      <c r="N993" s="5"/>
      <c r="O993" s="5"/>
      <c r="P993" s="5"/>
      <c r="Q993" s="5"/>
      <c r="R993" s="5"/>
      <c r="S993" s="5"/>
      <c r="T993" s="5"/>
      <c r="U993" s="5"/>
      <c r="V993" s="5"/>
      <c r="W993" s="5"/>
    </row>
    <row r="994" spans="1:23" x14ac:dyDescent="0.3">
      <c r="A994" s="5"/>
      <c r="B994" s="5"/>
      <c r="C994" s="5"/>
      <c r="D994" s="5"/>
      <c r="E994" s="5"/>
      <c r="F994" s="5"/>
      <c r="G994" s="5"/>
      <c r="H994" s="5"/>
      <c r="I994" s="5"/>
      <c r="J994" s="5"/>
      <c r="K994" s="5"/>
      <c r="L994" s="5"/>
      <c r="M994" s="5"/>
      <c r="N994" s="5"/>
      <c r="O994" s="5"/>
      <c r="P994" s="5"/>
      <c r="Q994" s="5"/>
      <c r="R994" s="5"/>
      <c r="S994" s="5"/>
      <c r="T994" s="5"/>
      <c r="U994" s="5"/>
      <c r="V994" s="5"/>
      <c r="W994" s="5"/>
    </row>
    <row r="995" spans="1:23" x14ac:dyDescent="0.3">
      <c r="A995" s="5"/>
      <c r="B995" s="5"/>
      <c r="C995" s="5"/>
      <c r="D995" s="5"/>
      <c r="E995" s="5"/>
      <c r="F995" s="5"/>
      <c r="G995" s="5"/>
      <c r="H995" s="5"/>
      <c r="I995" s="5"/>
      <c r="J995" s="5"/>
      <c r="K995" s="5"/>
      <c r="L995" s="5"/>
      <c r="M995" s="5"/>
      <c r="N995" s="5"/>
      <c r="O995" s="5"/>
      <c r="P995" s="5"/>
      <c r="Q995" s="5"/>
      <c r="R995" s="5"/>
      <c r="S995" s="5"/>
      <c r="T995" s="5"/>
      <c r="U995" s="5"/>
      <c r="V995" s="5"/>
      <c r="W995" s="5"/>
    </row>
    <row r="996" spans="1:23" x14ac:dyDescent="0.3">
      <c r="A996" s="5"/>
      <c r="B996" s="5"/>
      <c r="C996" s="5"/>
      <c r="D996" s="5"/>
      <c r="E996" s="5"/>
      <c r="F996" s="5"/>
      <c r="G996" s="5"/>
      <c r="H996" s="5"/>
      <c r="I996" s="5"/>
      <c r="J996" s="5"/>
      <c r="K996" s="5"/>
      <c r="L996" s="5"/>
      <c r="M996" s="5"/>
      <c r="N996" s="5"/>
      <c r="O996" s="5"/>
      <c r="P996" s="5"/>
      <c r="Q996" s="5"/>
      <c r="R996" s="5"/>
      <c r="S996" s="5"/>
      <c r="T996" s="5"/>
      <c r="U996" s="5"/>
      <c r="V996" s="5"/>
      <c r="W996" s="5"/>
    </row>
    <row r="997" spans="1:23" x14ac:dyDescent="0.3">
      <c r="A997" s="5"/>
      <c r="B997" s="5"/>
      <c r="C997" s="5"/>
      <c r="D997" s="5"/>
      <c r="E997" s="5"/>
      <c r="F997" s="5"/>
      <c r="G997" s="5"/>
      <c r="H997" s="5"/>
      <c r="I997" s="5"/>
      <c r="J997" s="5"/>
      <c r="K997" s="5"/>
      <c r="L997" s="5"/>
      <c r="M997" s="5"/>
      <c r="N997" s="5"/>
      <c r="O997" s="5"/>
      <c r="P997" s="5"/>
      <c r="Q997" s="5"/>
      <c r="R997" s="5"/>
      <c r="S997" s="5"/>
      <c r="T997" s="5"/>
      <c r="U997" s="5"/>
      <c r="V997" s="5"/>
      <c r="W997" s="5"/>
    </row>
    <row r="998" spans="1:23" x14ac:dyDescent="0.3">
      <c r="A998" s="5"/>
      <c r="B998" s="5"/>
      <c r="C998" s="5"/>
      <c r="D998" s="5"/>
      <c r="E998" s="5"/>
      <c r="F998" s="5"/>
      <c r="G998" s="5"/>
      <c r="H998" s="5"/>
      <c r="I998" s="5"/>
      <c r="J998" s="5"/>
      <c r="K998" s="5"/>
      <c r="L998" s="5"/>
      <c r="M998" s="5"/>
      <c r="N998" s="5"/>
      <c r="O998" s="5"/>
      <c r="P998" s="5"/>
      <c r="Q998" s="5"/>
      <c r="R998" s="5"/>
      <c r="S998" s="5"/>
      <c r="T998" s="5"/>
      <c r="U998" s="5"/>
      <c r="V998" s="5"/>
      <c r="W998" s="5"/>
    </row>
    <row r="999" spans="1:23" x14ac:dyDescent="0.3">
      <c r="A999" s="5"/>
      <c r="B999" s="5"/>
      <c r="C999" s="5"/>
      <c r="D999" s="5"/>
      <c r="E999" s="5"/>
      <c r="F999" s="5"/>
      <c r="G999" s="5"/>
      <c r="H999" s="5"/>
      <c r="I999" s="5"/>
      <c r="J999" s="5"/>
      <c r="K999" s="5"/>
      <c r="L999" s="5"/>
      <c r="M999" s="5"/>
      <c r="N999" s="5"/>
      <c r="O999" s="5"/>
      <c r="P999" s="5"/>
      <c r="Q999" s="5"/>
      <c r="R999" s="5"/>
      <c r="S999" s="5"/>
      <c r="T999" s="5"/>
      <c r="U999" s="5"/>
      <c r="V999" s="5"/>
      <c r="W999" s="5"/>
    </row>
    <row r="1000" spans="1:23" x14ac:dyDescent="0.3">
      <c r="A1000" s="5"/>
      <c r="B1000" s="5"/>
      <c r="C1000" s="5"/>
      <c r="D1000" s="5"/>
      <c r="E1000" s="5"/>
      <c r="F1000" s="5"/>
      <c r="G1000" s="5"/>
      <c r="H1000" s="5"/>
      <c r="I1000" s="5"/>
      <c r="J1000" s="5"/>
      <c r="K1000" s="5"/>
      <c r="L1000" s="5"/>
      <c r="M1000" s="5"/>
      <c r="N1000" s="5"/>
      <c r="O1000" s="5"/>
      <c r="P1000" s="5"/>
      <c r="Q1000" s="5"/>
      <c r="R1000" s="5"/>
      <c r="S1000" s="5"/>
      <c r="T1000" s="5"/>
      <c r="U1000" s="5"/>
      <c r="V1000" s="5"/>
      <c r="W1000" s="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1</vt:lpstr>
      <vt:lpstr>pivot 2</vt:lpstr>
      <vt:lpstr>pivot 3</vt:lpstr>
      <vt:lpstr>DASHBOARD</vt:lpstr>
      <vt:lpstr>Content Scheduling for Maximizi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denish gajera</dc:creator>
  <cp:lastModifiedBy>denish gajera</cp:lastModifiedBy>
  <dcterms:created xsi:type="dcterms:W3CDTF">2025-12-24T08:59:26Z</dcterms:created>
  <dcterms:modified xsi:type="dcterms:W3CDTF">2025-12-24T12:41:01Z</dcterms:modified>
</cp:coreProperties>
</file>