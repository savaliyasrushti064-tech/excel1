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2F44ED49-CBF4-466A-8422-F3B8181AB1AC}" xr6:coauthVersionLast="47" xr6:coauthVersionMax="47" xr10:uidLastSave="{00000000-0000-0000-0000-000000000000}"/>
  <bookViews>
    <workbookView xWindow="-108" yWindow="-108" windowWidth="23256" windowHeight="12456" xr2:uid="{1AAFC5F6-39B5-4638-8E0E-71384BED9BBC}"/>
  </bookViews>
  <sheets>
    <sheet name="students grade" sheetId="1" r:id="rId1"/>
    <sheet name="sales data" sheetId="2" r:id="rId2"/>
    <sheet name="emp data" sheetId="3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3" l="1"/>
  <c r="J21" i="3"/>
  <c r="J18" i="3"/>
  <c r="J12" i="3"/>
  <c r="J9" i="3"/>
  <c r="J6" i="3"/>
  <c r="L27" i="2" a="1"/>
  <c r="L27" i="2" s="1"/>
  <c r="L24" i="2"/>
  <c r="L21" i="2"/>
  <c r="L18" i="2"/>
  <c r="L15" i="2"/>
  <c r="L12" i="2"/>
  <c r="L9" i="2"/>
  <c r="L6" i="2"/>
  <c r="K24" i="1"/>
  <c r="K21" i="1"/>
  <c r="K18" i="1"/>
  <c r="K15" i="1"/>
  <c r="K12" i="1"/>
  <c r="K9" i="1"/>
  <c r="K6" i="1"/>
  <c r="K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<sst xmlns="http://schemas.openxmlformats.org/spreadsheetml/2006/main" count="163" uniqueCount="115">
  <si>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</si>
  <si>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</si>
  <si>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</si>
  <si>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</si>
  <si>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</si>
  <si>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</si>
  <si>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</si>
  <si>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</si>
  <si>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</si>
  <si>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</si>
  <si>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</si>
  <si>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</si>
  <si>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</si>
  <si>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</si>
  <si>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</si>
  <si>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</si>
  <si>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</si>
  <si>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</si>
  <si>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</si>
  <si>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</si>
  <si>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</si>
  <si>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</si>
  <si>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</si>
  <si>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</si>
  <si>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</si>
  <si>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</si>
  <si>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</si>
  <si>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</si>
  <si>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</si>
  <si>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</si>
  <si>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</si>
  <si>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</si>
  <si>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</si>
  <si>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</si>
  <si>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</si>
  <si>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</si>
  <si>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</si>
  <si>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</si>
  <si>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</si>
  <si>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</si>
  <si>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</si>
  <si>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</si>
  <si>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</si>
  <si>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</si>
  <si>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</si>
  <si>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</si>
  <si>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</si>
  <si>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</si>
  <si>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</si>
  <si>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</si>
  <si>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</si>
  <si>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</si>
  <si>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</si>
  <si>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</si>
  <si>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</si>
  <si>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</si>
  <si>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</si>
  <si>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</si>
  <si>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</si>
  <si>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</si>
  <si>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</si>
  <si>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</si>
  <si>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</si>
  <si>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</si>
  <si>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</si>
  <si>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</si>
  <si>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</si>
  <si>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</si>
  <si>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</si>
  <si>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</si>
  <si>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</si>
  <si>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</si>
  <si>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</si>
  <si>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</si>
  <si>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</si>
  <si>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</si>
  <si>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</si>
  <si>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</si>
  <si>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</si>
  <si>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</si>
  <si>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</si>
  <si>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</si>
  <si>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</si>
  <si>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</si>
  <si>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</si>
  <si>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</si>
  <si>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</si>
  <si>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</si>
  <si>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</si>
  <si>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APPLY IF STUDENT FORMULAS TO CLASSIFY GRADES</t>
  </si>
  <si>
    <t>COUNTIFS-COUNT STUDENTS SCORING ABOVE 60</t>
  </si>
  <si>
    <t>STUDENT SCORING ABOVE 80 IN BOTH MATH AND SCIENCE</t>
  </si>
  <si>
    <t>STUDENTS SCORED ABOVE 50 IN MATHS</t>
  </si>
  <si>
    <t>AVERAGE SCORE ABOVE 60</t>
  </si>
  <si>
    <t>FETCH STUDENT NAME USING ID</t>
  </si>
  <si>
    <t>CONVERT IN UPPERCASE</t>
  </si>
  <si>
    <t>CONVERT IN LOWERCASE</t>
  </si>
  <si>
    <t>VLOOKUP-FIND PRODUCT PRICE FROM SALES DATA</t>
  </si>
  <si>
    <t>MAX</t>
  </si>
  <si>
    <t>MIN</t>
  </si>
  <si>
    <t>ROUND</t>
  </si>
  <si>
    <t>COMPUTE DISCOUNT BASE ON PRICE THERESHOLD</t>
  </si>
  <si>
    <t>CHECK PRODUCT ELIGIBILITY</t>
  </si>
  <si>
    <t>SUM TOTAL SALES FOR A SPECIFIC REGION AND PRODUCT</t>
  </si>
  <si>
    <t xml:space="preserve">RETRIVE PRODUCT </t>
  </si>
  <si>
    <t>SALES VALUES FOR SALES</t>
  </si>
  <si>
    <t>SEARCH SALES PERSON</t>
  </si>
  <si>
    <t xml:space="preserve">FIND POSITION OF A PRODUCT </t>
  </si>
  <si>
    <t>XLOOKUP FETCH</t>
  </si>
  <si>
    <t>EXTRACTYEAR</t>
  </si>
  <si>
    <t>EXTRACT MONTH</t>
  </si>
  <si>
    <t>EXTRACT DAY</t>
  </si>
  <si>
    <t>NUMBER OF YEARS COMPLETED</t>
  </si>
  <si>
    <t>LOOKUP EMPLOYEE DETAILS DYNAMICALLY</t>
  </si>
  <si>
    <t>FIND EMPLOYEE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</si>
</sst>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7" tint="0.59999389629810485"/>
      <name val="Calibri"/>
      <family val="2"/>
    </font>
    <font>
      <sz val="11"/>
      <color theme="7" tint="0.59999389629810485"/>
      <name val="Calibri"/>
      <family val="2"/>
      <scheme val="minor"/>
    </font>
    <font>
      <b/>
      <sz val="11"/>
      <color theme="4" tint="0.59999389629810485"/>
      <name val="Calibri"/>
      <family val="2"/>
    </font>
    <font>
      <b/>
      <sz val="11"/>
      <color theme="4" tint="0.59999389629810485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7" tint="0.59999389629810485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008080"/>
        <bgColor rgb="FFFFF2CC"/>
      </patternFill>
    </fill>
    <fill>
      <patternFill patternType="solid">
        <fgColor rgb="FF0080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rgb="FFFFF2CC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FFCC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1">
      <alignment horizontal="center" vertical="center"/>
    </xf>
  </cellStyleXfs>
  <cellXfs count="31">
    <xf numFmtId="0" fontId="0" fillId="0" borderId="0" xfId="0"/>
    <xf numFmtId="0" fontId="5" fillId="5" borderId="1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164" fontId="2" fillId="7" borderId="1" xfId="1" applyNumberFormat="1" applyFont="1" applyFill="1" applyBorder="1" applyAlignment="1">
      <alignment horizontal="center" vertical="center"/>
    </xf>
    <xf numFmtId="0" fontId="0" fillId="7" borderId="2" xfId="0" applyFill="1" applyBorder="1"/>
    <xf numFmtId="0" fontId="0" fillId="7" borderId="2" xfId="0" applyFill="1" applyBorder="1" applyAlignment="1">
      <alignment horizontal="center"/>
    </xf>
    <xf numFmtId="0" fontId="7" fillId="8" borderId="1" xfId="1" applyFont="1" applyFill="1" applyBorder="1" applyAlignment="1">
      <alignment horizontal="center" vertical="center"/>
    </xf>
    <xf numFmtId="0" fontId="2" fillId="10" borderId="1" xfId="1" applyFont="1" applyFill="1" applyBorder="1" applyAlignment="1">
      <alignment horizontal="center" vertical="center"/>
    </xf>
    <xf numFmtId="164" fontId="2" fillId="10" borderId="1" xfId="1" applyNumberFormat="1" applyFont="1" applyFill="1" applyBorder="1" applyAlignment="1">
      <alignment horizontal="center" vertical="center"/>
    </xf>
    <xf numFmtId="0" fontId="9" fillId="10" borderId="1" xfId="1" applyFont="1" applyFill="1" applyBorder="1" applyAlignment="1">
      <alignment horizontal="center" vertical="center"/>
    </xf>
    <xf numFmtId="0" fontId="0" fillId="10" borderId="2" xfId="0" applyFill="1" applyBorder="1"/>
    <xf numFmtId="0" fontId="0" fillId="10" borderId="2" xfId="0" applyFill="1" applyBorder="1" applyAlignment="1">
      <alignment horizontal="center"/>
    </xf>
    <xf numFmtId="0" fontId="10" fillId="11" borderId="1" xfId="2" applyFont="1" applyFill="1" applyBorder="1" applyAlignment="1">
      <alignment horizontal="center" vertical="center"/>
    </xf>
    <xf numFmtId="0" fontId="3" fillId="12" borderId="1" xfId="4" applyFill="1" applyBorder="1" applyAlignment="1">
      <alignment horizontal="center" vertical="center"/>
    </xf>
    <xf numFmtId="164" fontId="3" fillId="12" borderId="1" xfId="4" applyNumberFormat="1" applyFill="1" applyBorder="1" applyAlignment="1">
      <alignment horizontal="center" vertical="center"/>
    </xf>
    <xf numFmtId="0" fontId="3" fillId="12" borderId="1" xfId="2" applyFill="1" applyBorder="1" applyAlignment="1">
      <alignment horizontal="center" vertical="center"/>
    </xf>
    <xf numFmtId="164" fontId="3" fillId="12" borderId="1" xfId="2" applyNumberFormat="1" applyFill="1" applyBorder="1" applyAlignment="1">
      <alignment horizontal="center" vertical="center"/>
    </xf>
    <xf numFmtId="0" fontId="3" fillId="12" borderId="1" xfId="3" applyFill="1" applyBorder="1" applyAlignment="1">
      <alignment horizontal="center" vertical="center"/>
    </xf>
    <xf numFmtId="164" fontId="3" fillId="12" borderId="1" xfId="3" applyNumberFormat="1" applyFill="1" applyBorder="1" applyAlignment="1">
      <alignment horizontal="center" vertical="center"/>
    </xf>
    <xf numFmtId="0" fontId="0" fillId="12" borderId="2" xfId="0" applyFill="1" applyBorder="1"/>
    <xf numFmtId="0" fontId="0" fillId="12" borderId="2" xfId="0" applyFill="1" applyBorder="1" applyAlignment="1">
      <alignment horizontal="center"/>
    </xf>
    <xf numFmtId="0" fontId="10" fillId="11" borderId="3" xfId="0" applyFont="1" applyFill="1" applyBorder="1" applyAlignment="1">
      <alignment horizontal="center"/>
    </xf>
    <xf numFmtId="0" fontId="10" fillId="11" borderId="5" xfId="0" applyFont="1" applyFill="1" applyBorder="1" applyAlignment="1">
      <alignment horizontal="center"/>
    </xf>
    <xf numFmtId="0" fontId="10" fillId="11" borderId="4" xfId="0" applyFont="1" applyFill="1" applyBorder="1" applyAlignment="1">
      <alignment horizontal="center"/>
    </xf>
    <xf numFmtId="0" fontId="10" fillId="11" borderId="2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8" fillId="9" borderId="5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</cellXfs>
  <cellStyles count="6">
    <cellStyle name="20% - Accent1" xfId="2" builtinId="30"/>
    <cellStyle name="40% - Accent1" xfId="3" builtinId="31"/>
    <cellStyle name="60% - Accent1" xfId="4" builtinId="32"/>
    <cellStyle name="Normal" xfId="0" builtinId="0"/>
    <cellStyle name="Normal 2" xfId="1" xr:uid="{2048F254-7AD2-40C3-AEE2-B9D6787703AF}"/>
    <cellStyle name="Style 1" xfId="5" xr:uid="{A11B5324-B5F8-4B03-BC05-951BD76BFD61}"/>
  </cellStyles>
  <dxfs count="0"/>
  <tableStyles count="0" defaultTableStyle="TableStyleMedium2" defaultPivotStyle="PivotStyleLight16"/>
  <colors>
    <mruColors>
      <color rgb="FFFFCCFF"/>
      <color rgb="FFCC99FF"/>
      <color rgb="FF660066"/>
      <color rgb="FFCCECFF"/>
      <color rgb="FFFFFFCC"/>
      <color rgb="FF008080"/>
      <color rgb="FF006666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UDEN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ODUCT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EMPLOYE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UDENTS GRAD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udents grade"/>
      <sheetName val="sales data"/>
      <sheetName val="emp data"/>
    </sheetNames>
    <sheetDataSet>
      <sheetData sheetId="0"/>
      <sheetData sheetId="1">
        <row r="1">
          <cell r="A1" t="str">
            <v>Sales ID</v>
          </cell>
          <cell r="B1" t="str">
            <v>Product</v>
          </cell>
          <cell r="C1" t="str">
            <v>Region</v>
          </cell>
        </row>
        <row r="2">
          <cell r="A2">
            <v>2001</v>
          </cell>
          <cell r="B2" t="str">
            <v>Keyboard</v>
          </cell>
          <cell r="C2" t="str">
            <v>South</v>
          </cell>
        </row>
        <row r="3">
          <cell r="A3">
            <v>2002</v>
          </cell>
          <cell r="B3" t="str">
            <v>Printer</v>
          </cell>
          <cell r="C3" t="str">
            <v>West</v>
          </cell>
        </row>
        <row r="4">
          <cell r="A4">
            <v>2003</v>
          </cell>
          <cell r="B4" t="str">
            <v>Mouse</v>
          </cell>
          <cell r="C4" t="str">
            <v>South</v>
          </cell>
        </row>
        <row r="5">
          <cell r="A5">
            <v>2004</v>
          </cell>
          <cell r="B5" t="str">
            <v>Printer</v>
          </cell>
          <cell r="C5" t="str">
            <v>East</v>
          </cell>
        </row>
        <row r="6">
          <cell r="A6">
            <v>2005</v>
          </cell>
          <cell r="B6" t="str">
            <v>Keyboard</v>
          </cell>
          <cell r="C6" t="str">
            <v>North</v>
          </cell>
        </row>
        <row r="7">
          <cell r="A7">
            <v>2006</v>
          </cell>
          <cell r="B7" t="str">
            <v>Mouse</v>
          </cell>
          <cell r="C7" t="str">
            <v>North</v>
          </cell>
        </row>
        <row r="8">
          <cell r="A8">
            <v>2007</v>
          </cell>
          <cell r="B8" t="str">
            <v>Mouse</v>
          </cell>
          <cell r="C8" t="str">
            <v>East</v>
          </cell>
        </row>
        <row r="9">
          <cell r="A9">
            <v>2008</v>
          </cell>
          <cell r="B9" t="str">
            <v>Keyboard</v>
          </cell>
          <cell r="C9" t="str">
            <v>East</v>
          </cell>
        </row>
        <row r="10">
          <cell r="A10">
            <v>2009</v>
          </cell>
          <cell r="B10" t="str">
            <v>Printer</v>
          </cell>
          <cell r="C10" t="str">
            <v>East</v>
          </cell>
        </row>
        <row r="11">
          <cell r="A11">
            <v>2010</v>
          </cell>
          <cell r="B11" t="str">
            <v>Keyboard</v>
          </cell>
          <cell r="C11" t="str">
            <v>South</v>
          </cell>
        </row>
        <row r="12">
          <cell r="A12">
            <v>2011</v>
          </cell>
          <cell r="B12" t="str">
            <v>Keyboard</v>
          </cell>
          <cell r="C12" t="str">
            <v>East</v>
          </cell>
        </row>
        <row r="13">
          <cell r="A13">
            <v>2012</v>
          </cell>
          <cell r="B13" t="str">
            <v>Monitor</v>
          </cell>
          <cell r="C13" t="str">
            <v>North</v>
          </cell>
        </row>
        <row r="14">
          <cell r="A14">
            <v>2013</v>
          </cell>
          <cell r="B14" t="str">
            <v>Laptop</v>
          </cell>
          <cell r="C14" t="str">
            <v>East</v>
          </cell>
        </row>
        <row r="15">
          <cell r="A15">
            <v>2014</v>
          </cell>
          <cell r="B15" t="str">
            <v>Laptop</v>
          </cell>
          <cell r="C15" t="str">
            <v>South</v>
          </cell>
        </row>
        <row r="16">
          <cell r="A16">
            <v>2015</v>
          </cell>
          <cell r="B16" t="str">
            <v>Laptop</v>
          </cell>
          <cell r="C16" t="str">
            <v>East</v>
          </cell>
        </row>
        <row r="17">
          <cell r="A17">
            <v>2016</v>
          </cell>
          <cell r="B17" t="str">
            <v>Mouse</v>
          </cell>
          <cell r="C17" t="str">
            <v>East</v>
          </cell>
        </row>
        <row r="18">
          <cell r="A18">
            <v>2017</v>
          </cell>
          <cell r="B18" t="str">
            <v>Monitor</v>
          </cell>
          <cell r="C18" t="str">
            <v>North</v>
          </cell>
        </row>
        <row r="19">
          <cell r="A19">
            <v>2018</v>
          </cell>
          <cell r="B19" t="str">
            <v>Monitor</v>
          </cell>
          <cell r="C19" t="str">
            <v>West</v>
          </cell>
        </row>
        <row r="20">
          <cell r="A20">
            <v>2019</v>
          </cell>
          <cell r="B20" t="str">
            <v>Mouse</v>
          </cell>
          <cell r="C20" t="str">
            <v>West</v>
          </cell>
        </row>
        <row r="21">
          <cell r="A21">
            <v>2020</v>
          </cell>
          <cell r="B21" t="str">
            <v>Printer</v>
          </cell>
          <cell r="C21" t="str">
            <v>West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PLOYEE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03BE3-9EB3-4253-970F-1F7727AE18F4}">
  <sheetPr>
    <tabColor rgb="FFFFCCFF"/>
  </sheetPr>
  <dimension ref="A1:P24"/>
  <sheetViews>
    <sheetView tabSelected="1" workbookViewId="0">
      <selection activeCell="H20" sqref="H20"/>
    </sheetView>
  </sheetViews>
  <sheetFormatPr defaultRowHeight="14.4" x14ac:dyDescent="0.3"/>
  <cols>
    <col min="1" max="1" width="11" customWidth="1"/>
    <col min="2" max="2" width="11.44140625" customWidth="1"/>
    <col min="3" max="5" width="10.44140625" customWidth="1"/>
    <col min="6" max="6" width="23.21875" customWidth="1"/>
    <col min="11" max="11" width="11.5546875" customWidth="1"/>
  </cols>
  <sheetData>
    <row r="1" spans="1:16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16" x14ac:dyDescent="0.3">
      <c r="A2" s="13">
        <v>1001</v>
      </c>
      <c r="B2" s="13" t="s">
        <v>6</v>
      </c>
      <c r="C2" s="13">
        <v>61</v>
      </c>
      <c r="D2" s="13">
        <v>48</v>
      </c>
      <c r="E2" s="13">
        <v>76</v>
      </c>
      <c r="F2" s="14">
        <v>43101</v>
      </c>
      <c r="I2" s="24" t="s">
        <v>89</v>
      </c>
      <c r="J2" s="24"/>
      <c r="K2" s="24"/>
      <c r="L2" s="24"/>
      <c r="M2" s="24"/>
      <c r="N2" s="24"/>
      <c r="O2" s="24"/>
      <c r="P2" s="24"/>
    </row>
    <row r="3" spans="1:16" x14ac:dyDescent="0.3">
      <c r="A3" s="15">
        <v>1002</v>
      </c>
      <c r="B3" s="15" t="s">
        <v>7</v>
      </c>
      <c r="C3" s="15">
        <v>78</v>
      </c>
      <c r="D3" s="15">
        <v>76</v>
      </c>
      <c r="E3" s="15">
        <v>70</v>
      </c>
      <c r="F3" s="16">
        <v>43281</v>
      </c>
      <c r="I3" s="19"/>
      <c r="J3" s="19"/>
      <c r="K3" s="20" t="str">
        <f>IF(B2&gt;=90,"A","NO DATA")</f>
        <v>A</v>
      </c>
      <c r="L3" s="19"/>
      <c r="M3" s="19"/>
      <c r="N3" s="19"/>
      <c r="O3" s="19"/>
      <c r="P3" s="19"/>
    </row>
    <row r="4" spans="1:16" x14ac:dyDescent="0.3">
      <c r="A4" s="13">
        <v>1003</v>
      </c>
      <c r="B4" s="13" t="s">
        <v>8</v>
      </c>
      <c r="C4" s="13">
        <v>97</v>
      </c>
      <c r="D4" s="13">
        <v>60</v>
      </c>
      <c r="E4" s="13">
        <v>51</v>
      </c>
      <c r="F4" s="14">
        <v>43461</v>
      </c>
    </row>
    <row r="5" spans="1:16" x14ac:dyDescent="0.3">
      <c r="A5" s="17">
        <v>1004</v>
      </c>
      <c r="B5" s="17" t="s">
        <v>9</v>
      </c>
      <c r="C5" s="17">
        <v>74</v>
      </c>
      <c r="D5" s="17">
        <v>55</v>
      </c>
      <c r="E5" s="17">
        <v>46</v>
      </c>
      <c r="F5" s="18">
        <v>43641</v>
      </c>
      <c r="I5" s="21" t="s">
        <v>90</v>
      </c>
      <c r="J5" s="22"/>
      <c r="K5" s="22"/>
      <c r="L5" s="22"/>
      <c r="M5" s="22"/>
      <c r="N5" s="22"/>
      <c r="O5" s="22"/>
      <c r="P5" s="23"/>
    </row>
    <row r="6" spans="1:16" x14ac:dyDescent="0.3">
      <c r="A6" s="17">
        <v>1005</v>
      </c>
      <c r="B6" s="17" t="s">
        <v>10</v>
      </c>
      <c r="C6" s="17">
        <v>68</v>
      </c>
      <c r="D6" s="17">
        <v>74</v>
      </c>
      <c r="E6" s="17">
        <v>84</v>
      </c>
      <c r="F6" s="18">
        <v>43821</v>
      </c>
      <c r="I6" s="19"/>
      <c r="J6" s="19"/>
      <c r="K6" s="20">
        <f>COUNTIFS(C2:E21,"&gt;60")</f>
        <v>40</v>
      </c>
      <c r="L6" s="19"/>
      <c r="M6" s="19"/>
      <c r="N6" s="19"/>
      <c r="O6" s="19"/>
      <c r="P6" s="19"/>
    </row>
    <row r="7" spans="1:16" x14ac:dyDescent="0.3">
      <c r="A7" s="17">
        <v>1006</v>
      </c>
      <c r="B7" s="17" t="s">
        <v>11</v>
      </c>
      <c r="C7" s="17">
        <v>80</v>
      </c>
      <c r="D7" s="17">
        <v>70</v>
      </c>
      <c r="E7" s="17">
        <v>65</v>
      </c>
      <c r="F7" s="18">
        <v>44001</v>
      </c>
    </row>
    <row r="8" spans="1:16" x14ac:dyDescent="0.3">
      <c r="A8" s="17">
        <v>1007</v>
      </c>
      <c r="B8" s="17" t="s">
        <v>12</v>
      </c>
      <c r="C8" s="17">
        <v>75</v>
      </c>
      <c r="D8" s="17">
        <v>47</v>
      </c>
      <c r="E8" s="17">
        <v>78</v>
      </c>
      <c r="F8" s="18">
        <v>44181</v>
      </c>
      <c r="I8" s="21" t="s">
        <v>91</v>
      </c>
      <c r="J8" s="22"/>
      <c r="K8" s="22"/>
      <c r="L8" s="22"/>
      <c r="M8" s="22"/>
      <c r="N8" s="22"/>
      <c r="O8" s="22"/>
      <c r="P8" s="23"/>
    </row>
    <row r="9" spans="1:16" x14ac:dyDescent="0.3">
      <c r="A9" s="17">
        <v>1008</v>
      </c>
      <c r="B9" s="17" t="s">
        <v>13</v>
      </c>
      <c r="C9" s="17">
        <v>94</v>
      </c>
      <c r="D9" s="17">
        <v>67</v>
      </c>
      <c r="E9" s="17">
        <v>64</v>
      </c>
      <c r="F9" s="18">
        <v>44361</v>
      </c>
      <c r="I9" s="19"/>
      <c r="J9" s="19"/>
      <c r="K9" s="20" t="str">
        <f>IF(AND(C2&gt;80,D2&gt;80),"YESS","NOO")</f>
        <v>NOO</v>
      </c>
      <c r="L9" s="19"/>
      <c r="M9" s="19"/>
      <c r="N9" s="19"/>
      <c r="O9" s="19"/>
      <c r="P9" s="19"/>
    </row>
    <row r="10" spans="1:16" x14ac:dyDescent="0.3">
      <c r="A10" s="17">
        <v>1009</v>
      </c>
      <c r="B10" s="17" t="s">
        <v>14</v>
      </c>
      <c r="C10" s="17">
        <v>41</v>
      </c>
      <c r="D10" s="17">
        <v>75</v>
      </c>
      <c r="E10" s="17">
        <v>56</v>
      </c>
      <c r="F10" s="18">
        <v>44541</v>
      </c>
    </row>
    <row r="11" spans="1:16" x14ac:dyDescent="0.3">
      <c r="A11" s="17">
        <v>1010</v>
      </c>
      <c r="B11" s="17" t="s">
        <v>15</v>
      </c>
      <c r="C11" s="17">
        <v>98</v>
      </c>
      <c r="D11" s="17">
        <v>54</v>
      </c>
      <c r="E11" s="17">
        <v>58</v>
      </c>
      <c r="F11" s="18">
        <v>44721</v>
      </c>
      <c r="I11" s="21" t="s">
        <v>92</v>
      </c>
      <c r="J11" s="22"/>
      <c r="K11" s="22"/>
      <c r="L11" s="22"/>
      <c r="M11" s="22"/>
      <c r="N11" s="22"/>
      <c r="O11" s="22"/>
      <c r="P11" s="23"/>
    </row>
    <row r="12" spans="1:16" x14ac:dyDescent="0.3">
      <c r="A12" s="17">
        <v>1011</v>
      </c>
      <c r="B12" s="17" t="s">
        <v>16</v>
      </c>
      <c r="C12" s="17">
        <v>73</v>
      </c>
      <c r="D12" s="17">
        <v>79</v>
      </c>
      <c r="E12" s="17">
        <v>53</v>
      </c>
      <c r="F12" s="18">
        <v>44901</v>
      </c>
      <c r="I12" s="19"/>
      <c r="J12" s="19"/>
      <c r="K12" s="20">
        <f>COUNTIFS(C2:C21,"&gt;50")</f>
        <v>19</v>
      </c>
      <c r="L12" s="19"/>
      <c r="M12" s="19"/>
      <c r="N12" s="19"/>
      <c r="O12" s="19"/>
      <c r="P12" s="19"/>
    </row>
    <row r="13" spans="1:16" x14ac:dyDescent="0.3">
      <c r="A13" s="17">
        <v>1012</v>
      </c>
      <c r="B13" s="17" t="s">
        <v>17</v>
      </c>
      <c r="C13" s="17">
        <v>85</v>
      </c>
      <c r="D13" s="17">
        <v>89</v>
      </c>
      <c r="E13" s="17">
        <v>79</v>
      </c>
      <c r="F13" s="18">
        <v>45081</v>
      </c>
    </row>
    <row r="14" spans="1:16" x14ac:dyDescent="0.3">
      <c r="A14" s="17">
        <v>1013</v>
      </c>
      <c r="B14" s="17" t="s">
        <v>18</v>
      </c>
      <c r="C14" s="17">
        <v>98</v>
      </c>
      <c r="D14" s="17">
        <v>90</v>
      </c>
      <c r="E14" s="17">
        <v>97</v>
      </c>
      <c r="F14" s="18">
        <v>45261</v>
      </c>
      <c r="I14" s="21" t="s">
        <v>93</v>
      </c>
      <c r="J14" s="22"/>
      <c r="K14" s="22"/>
      <c r="L14" s="22"/>
      <c r="M14" s="22"/>
      <c r="N14" s="22"/>
      <c r="O14" s="22"/>
      <c r="P14" s="23"/>
    </row>
    <row r="15" spans="1:16" x14ac:dyDescent="0.3">
      <c r="A15" s="17">
        <v>1014</v>
      </c>
      <c r="B15" s="17" t="s">
        <v>19</v>
      </c>
      <c r="C15" s="17">
        <v>93</v>
      </c>
      <c r="D15" s="17">
        <v>40</v>
      </c>
      <c r="E15" s="17">
        <v>44</v>
      </c>
      <c r="F15" s="18">
        <v>45441</v>
      </c>
      <c r="I15" s="19"/>
      <c r="J15" s="19"/>
      <c r="K15" s="20">
        <f>AVERAGEIFS(C2:E21,C2:E21,"&gt;60")</f>
        <v>79.924999999999997</v>
      </c>
      <c r="L15" s="19"/>
      <c r="M15" s="19"/>
      <c r="N15" s="19"/>
      <c r="O15" s="19"/>
      <c r="P15" s="19"/>
    </row>
    <row r="16" spans="1:16" x14ac:dyDescent="0.3">
      <c r="A16" s="17">
        <v>1015</v>
      </c>
      <c r="B16" s="17" t="s">
        <v>20</v>
      </c>
      <c r="C16" s="17">
        <v>70</v>
      </c>
      <c r="D16" s="17">
        <v>51</v>
      </c>
      <c r="E16" s="17">
        <v>75</v>
      </c>
      <c r="F16" s="18">
        <v>45621</v>
      </c>
    </row>
    <row r="17" spans="1:16" x14ac:dyDescent="0.3">
      <c r="A17" s="17">
        <v>1016</v>
      </c>
      <c r="B17" s="17" t="s">
        <v>21</v>
      </c>
      <c r="C17" s="17">
        <v>98</v>
      </c>
      <c r="D17" s="17">
        <v>77</v>
      </c>
      <c r="E17" s="17">
        <v>60</v>
      </c>
      <c r="F17" s="18">
        <v>45801</v>
      </c>
      <c r="I17" s="21" t="s">
        <v>94</v>
      </c>
      <c r="J17" s="22"/>
      <c r="K17" s="22"/>
      <c r="L17" s="22"/>
      <c r="M17" s="22"/>
      <c r="N17" s="22"/>
      <c r="O17" s="22"/>
      <c r="P17" s="23"/>
    </row>
    <row r="18" spans="1:16" x14ac:dyDescent="0.3">
      <c r="A18" s="17">
        <v>1017</v>
      </c>
      <c r="B18" s="17" t="s">
        <v>22</v>
      </c>
      <c r="C18" s="17">
        <v>66</v>
      </c>
      <c r="D18" s="17">
        <v>59</v>
      </c>
      <c r="E18" s="17">
        <v>40</v>
      </c>
      <c r="F18" s="18">
        <v>45981</v>
      </c>
      <c r="I18" s="19"/>
      <c r="J18" s="19"/>
      <c r="K18" s="19" t="e">
        <f>VLOOKUP(A2,'[1]STUDENTS GRADE'!A:E,2,FALSE)</f>
        <v>#N/A</v>
      </c>
      <c r="L18" s="19"/>
      <c r="M18" s="19"/>
      <c r="N18" s="19"/>
      <c r="O18" s="19"/>
      <c r="P18" s="19"/>
    </row>
    <row r="19" spans="1:16" x14ac:dyDescent="0.3">
      <c r="A19" s="17">
        <v>1018</v>
      </c>
      <c r="B19" s="17" t="s">
        <v>23</v>
      </c>
      <c r="C19" s="17">
        <v>82</v>
      </c>
      <c r="D19" s="17">
        <v>48</v>
      </c>
      <c r="E19" s="17">
        <v>79</v>
      </c>
      <c r="F19" s="18">
        <v>46161</v>
      </c>
    </row>
    <row r="20" spans="1:16" x14ac:dyDescent="0.3">
      <c r="A20" s="17">
        <v>1019</v>
      </c>
      <c r="B20" s="17" t="s">
        <v>24</v>
      </c>
      <c r="C20" s="17">
        <v>90</v>
      </c>
      <c r="D20" s="17">
        <v>78</v>
      </c>
      <c r="E20" s="17">
        <v>60</v>
      </c>
      <c r="F20" s="18">
        <v>46341</v>
      </c>
      <c r="I20" s="21" t="s">
        <v>95</v>
      </c>
      <c r="J20" s="22"/>
      <c r="K20" s="22"/>
      <c r="L20" s="22"/>
      <c r="M20" s="22"/>
      <c r="N20" s="22"/>
      <c r="O20" s="22"/>
      <c r="P20" s="23"/>
    </row>
    <row r="21" spans="1:16" x14ac:dyDescent="0.3">
      <c r="A21" s="17">
        <v>1020</v>
      </c>
      <c r="B21" s="17" t="s">
        <v>25</v>
      </c>
      <c r="C21" s="17">
        <v>83</v>
      </c>
      <c r="D21" s="17">
        <v>92</v>
      </c>
      <c r="E21" s="17">
        <v>55</v>
      </c>
      <c r="F21" s="18">
        <v>46521</v>
      </c>
      <c r="I21" s="19"/>
      <c r="J21" s="19"/>
      <c r="K21" s="20" t="str">
        <f>UPPER(B10)</f>
        <v>STUDENT 9</v>
      </c>
      <c r="L21" s="19"/>
      <c r="M21" s="19"/>
      <c r="N21" s="19"/>
      <c r="O21" s="19"/>
      <c r="P21" s="19"/>
    </row>
    <row r="23" spans="1:16" x14ac:dyDescent="0.3">
      <c r="I23" s="21" t="s">
        <v>96</v>
      </c>
      <c r="J23" s="22"/>
      <c r="K23" s="22"/>
      <c r="L23" s="22"/>
      <c r="M23" s="22"/>
      <c r="N23" s="22"/>
      <c r="O23" s="22"/>
      <c r="P23" s="23"/>
    </row>
    <row r="24" spans="1:16" x14ac:dyDescent="0.3">
      <c r="I24" s="19"/>
      <c r="J24" s="19"/>
      <c r="K24" s="20" t="str">
        <f>LOWER(B3)</f>
        <v>student 2</v>
      </c>
      <c r="L24" s="19"/>
      <c r="M24" s="19"/>
      <c r="N24" s="19"/>
      <c r="O24" s="19"/>
      <c r="P24" s="19"/>
    </row>
  </sheetData>
  <sheetProtection sheet="1" objects="1" scenarios="1"/>
  <mergeCells count="8">
    <mergeCell ref="I17:P17"/>
    <mergeCell ref="I20:P20"/>
    <mergeCell ref="I23:P23"/>
    <mergeCell ref="I2:P2"/>
    <mergeCell ref="I5:P5"/>
    <mergeCell ref="I8:P8"/>
    <mergeCell ref="I11:P11"/>
    <mergeCell ref="I14:P14"/>
  </mergeCells>
  <phoneticPr fontId="4" type="noConversion"/>
  <conditionalFormatting sqref="A1:F21">
    <cfRule type="expression" priority="1">
      <formula>"COLOR"</formula>
    </cfRule>
    <cfRule type="expression" priority="2">
      <formula>"MOD(ROW(),2)=0"</formula>
    </cfRule>
  </conditionalFormatting>
  <pageMargins left="0.7" right="0.7" top="0.75" bottom="0.75" header="0.3" footer="0.3"/>
  <pageSetup paperSize="258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FF5FD-32CF-4FCE-9A99-52A4DBAEAA6D}">
  <sheetPr>
    <tabColor theme="9" tint="0.59999389629810485"/>
  </sheetPr>
  <dimension ref="A1:Q33"/>
  <sheetViews>
    <sheetView workbookViewId="0">
      <selection activeCell="E27" sqref="E27"/>
    </sheetView>
  </sheetViews>
  <sheetFormatPr defaultRowHeight="14.4" x14ac:dyDescent="0.3"/>
  <cols>
    <col min="1" max="1" width="10.77734375" customWidth="1"/>
    <col min="2" max="2" width="12" customWidth="1"/>
    <col min="3" max="3" width="9.44140625" customWidth="1"/>
    <col min="4" max="4" width="11.21875" customWidth="1"/>
    <col min="6" max="6" width="20.77734375" customWidth="1"/>
    <col min="12" max="12" width="13.109375" customWidth="1"/>
  </cols>
  <sheetData>
    <row r="1" spans="1:17" x14ac:dyDescent="0.3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17" x14ac:dyDescent="0.3">
      <c r="A2" s="2">
        <v>2001</v>
      </c>
      <c r="B2" s="2" t="s">
        <v>32</v>
      </c>
      <c r="C2" s="2" t="s">
        <v>33</v>
      </c>
      <c r="D2" s="2" t="s">
        <v>34</v>
      </c>
      <c r="E2" s="2">
        <v>7048</v>
      </c>
      <c r="F2" s="3">
        <v>44927</v>
      </c>
      <c r="H2" s="25" t="s">
        <v>97</v>
      </c>
      <c r="I2" s="26"/>
      <c r="J2" s="26"/>
      <c r="K2" s="26"/>
      <c r="L2" s="26"/>
      <c r="M2" s="26"/>
      <c r="N2" s="26"/>
      <c r="O2" s="26"/>
      <c r="P2" s="26"/>
      <c r="Q2" s="27"/>
    </row>
    <row r="3" spans="1:17" x14ac:dyDescent="0.3">
      <c r="A3" s="2">
        <v>2002</v>
      </c>
      <c r="B3" s="2" t="s">
        <v>35</v>
      </c>
      <c r="C3" s="2" t="s">
        <v>36</v>
      </c>
      <c r="D3" s="2" t="s">
        <v>37</v>
      </c>
      <c r="E3" s="2">
        <v>17428</v>
      </c>
      <c r="F3" s="3">
        <v>44942</v>
      </c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x14ac:dyDescent="0.3">
      <c r="A4" s="2">
        <v>2003</v>
      </c>
      <c r="B4" s="2" t="s">
        <v>38</v>
      </c>
      <c r="C4" s="2" t="s">
        <v>33</v>
      </c>
      <c r="D4" s="2" t="s">
        <v>39</v>
      </c>
      <c r="E4" s="2">
        <v>23672</v>
      </c>
      <c r="F4" s="3">
        <v>44957</v>
      </c>
    </row>
    <row r="5" spans="1:17" x14ac:dyDescent="0.3">
      <c r="A5" s="2">
        <v>2004</v>
      </c>
      <c r="B5" s="2" t="s">
        <v>35</v>
      </c>
      <c r="C5" s="2" t="s">
        <v>40</v>
      </c>
      <c r="D5" s="2" t="s">
        <v>41</v>
      </c>
      <c r="E5" s="2">
        <v>5264</v>
      </c>
      <c r="F5" s="3">
        <v>44972</v>
      </c>
      <c r="H5" s="25" t="s">
        <v>98</v>
      </c>
      <c r="I5" s="26"/>
      <c r="J5" s="26"/>
      <c r="K5" s="26"/>
      <c r="L5" s="26"/>
      <c r="M5" s="26"/>
      <c r="N5" s="26"/>
      <c r="O5" s="26"/>
      <c r="P5" s="26"/>
      <c r="Q5" s="27"/>
    </row>
    <row r="6" spans="1:17" x14ac:dyDescent="0.3">
      <c r="A6" s="2">
        <v>2005</v>
      </c>
      <c r="B6" s="2" t="s">
        <v>32</v>
      </c>
      <c r="C6" s="2" t="s">
        <v>42</v>
      </c>
      <c r="D6" s="2" t="s">
        <v>43</v>
      </c>
      <c r="E6" s="2">
        <v>43388</v>
      </c>
      <c r="F6" s="3">
        <v>44987</v>
      </c>
      <c r="H6" s="4"/>
      <c r="I6" s="4"/>
      <c r="J6" s="4"/>
      <c r="K6" s="4"/>
      <c r="L6" s="5">
        <f>MAX(E2:E21)</f>
        <v>46429</v>
      </c>
      <c r="M6" s="4"/>
      <c r="N6" s="4"/>
      <c r="O6" s="4"/>
      <c r="P6" s="4"/>
      <c r="Q6" s="4"/>
    </row>
    <row r="7" spans="1:17" x14ac:dyDescent="0.3">
      <c r="A7" s="2">
        <v>2006</v>
      </c>
      <c r="B7" s="2" t="s">
        <v>38</v>
      </c>
      <c r="C7" s="2" t="s">
        <v>42</v>
      </c>
      <c r="D7" s="2" t="s">
        <v>44</v>
      </c>
      <c r="E7" s="2">
        <v>19757</v>
      </c>
      <c r="F7" s="3">
        <v>45002</v>
      </c>
    </row>
    <row r="8" spans="1:17" x14ac:dyDescent="0.3">
      <c r="A8" s="2">
        <v>2007</v>
      </c>
      <c r="B8" s="2" t="s">
        <v>38</v>
      </c>
      <c r="C8" s="2" t="s">
        <v>40</v>
      </c>
      <c r="D8" s="2" t="s">
        <v>45</v>
      </c>
      <c r="E8" s="2">
        <v>32058</v>
      </c>
      <c r="F8" s="3">
        <v>45017</v>
      </c>
      <c r="H8" s="25" t="s">
        <v>99</v>
      </c>
      <c r="I8" s="26"/>
      <c r="J8" s="26"/>
      <c r="K8" s="26"/>
      <c r="L8" s="26"/>
      <c r="M8" s="26"/>
      <c r="N8" s="26"/>
      <c r="O8" s="26"/>
      <c r="P8" s="26"/>
      <c r="Q8" s="27"/>
    </row>
    <row r="9" spans="1:17" x14ac:dyDescent="0.3">
      <c r="A9" s="2">
        <v>2008</v>
      </c>
      <c r="B9" s="2" t="s">
        <v>32</v>
      </c>
      <c r="C9" s="2" t="s">
        <v>40</v>
      </c>
      <c r="D9" s="2" t="s">
        <v>46</v>
      </c>
      <c r="E9" s="2">
        <v>46429</v>
      </c>
      <c r="F9" s="3">
        <v>45032</v>
      </c>
      <c r="H9" s="4"/>
      <c r="I9" s="4"/>
      <c r="J9" s="4"/>
      <c r="K9" s="4"/>
      <c r="L9" s="5">
        <f>MIN(E2:E21)</f>
        <v>5264</v>
      </c>
      <c r="M9" s="4"/>
      <c r="N9" s="4"/>
      <c r="O9" s="4"/>
      <c r="P9" s="4"/>
      <c r="Q9" s="4"/>
    </row>
    <row r="10" spans="1:17" x14ac:dyDescent="0.3">
      <c r="A10" s="2">
        <v>2009</v>
      </c>
      <c r="B10" s="2" t="s">
        <v>35</v>
      </c>
      <c r="C10" s="2" t="s">
        <v>40</v>
      </c>
      <c r="D10" s="2" t="s">
        <v>47</v>
      </c>
      <c r="E10" s="2">
        <v>19746</v>
      </c>
      <c r="F10" s="3">
        <v>45047</v>
      </c>
    </row>
    <row r="11" spans="1:17" x14ac:dyDescent="0.3">
      <c r="A11" s="2">
        <v>2010</v>
      </c>
      <c r="B11" s="2" t="s">
        <v>32</v>
      </c>
      <c r="C11" s="2" t="s">
        <v>33</v>
      </c>
      <c r="D11" s="2" t="s">
        <v>48</v>
      </c>
      <c r="E11" s="2">
        <v>35185</v>
      </c>
      <c r="F11" s="3">
        <v>45062</v>
      </c>
      <c r="H11" s="25" t="s">
        <v>100</v>
      </c>
      <c r="I11" s="26"/>
      <c r="J11" s="26"/>
      <c r="K11" s="26"/>
      <c r="L11" s="26"/>
      <c r="M11" s="26"/>
      <c r="N11" s="26"/>
      <c r="O11" s="26"/>
      <c r="P11" s="26"/>
      <c r="Q11" s="27"/>
    </row>
    <row r="12" spans="1:17" x14ac:dyDescent="0.3">
      <c r="A12" s="2">
        <v>2011</v>
      </c>
      <c r="B12" s="2" t="s">
        <v>32</v>
      </c>
      <c r="C12" s="2" t="s">
        <v>40</v>
      </c>
      <c r="D12" s="2" t="s">
        <v>49</v>
      </c>
      <c r="E12" s="2">
        <v>33920</v>
      </c>
      <c r="F12" s="3">
        <v>45077</v>
      </c>
      <c r="H12" s="4"/>
      <c r="I12" s="4"/>
      <c r="J12" s="4"/>
      <c r="K12" s="4"/>
      <c r="L12" s="5">
        <f>ROUND(E2,0)</f>
        <v>7048</v>
      </c>
      <c r="M12" s="4"/>
      <c r="N12" s="4"/>
      <c r="O12" s="4"/>
      <c r="P12" s="4"/>
      <c r="Q12" s="4"/>
    </row>
    <row r="13" spans="1:17" x14ac:dyDescent="0.3">
      <c r="A13" s="2">
        <v>2012</v>
      </c>
      <c r="B13" s="2" t="s">
        <v>50</v>
      </c>
      <c r="C13" s="2" t="s">
        <v>42</v>
      </c>
      <c r="D13" s="2" t="s">
        <v>51</v>
      </c>
      <c r="E13" s="2">
        <v>35611</v>
      </c>
      <c r="F13" s="3">
        <v>45092</v>
      </c>
    </row>
    <row r="14" spans="1:17" x14ac:dyDescent="0.3">
      <c r="A14" s="2">
        <v>2013</v>
      </c>
      <c r="B14" s="2" t="s">
        <v>52</v>
      </c>
      <c r="C14" s="2" t="s">
        <v>40</v>
      </c>
      <c r="D14" s="2" t="s">
        <v>53</v>
      </c>
      <c r="E14" s="2">
        <v>15560</v>
      </c>
      <c r="F14" s="3">
        <v>45107</v>
      </c>
      <c r="H14" s="25" t="s">
        <v>101</v>
      </c>
      <c r="I14" s="26"/>
      <c r="J14" s="26"/>
      <c r="K14" s="26"/>
      <c r="L14" s="26"/>
      <c r="M14" s="26"/>
      <c r="N14" s="26"/>
      <c r="O14" s="26"/>
      <c r="P14" s="26"/>
      <c r="Q14" s="27"/>
    </row>
    <row r="15" spans="1:17" x14ac:dyDescent="0.3">
      <c r="A15" s="2">
        <v>2014</v>
      </c>
      <c r="B15" s="2" t="s">
        <v>52</v>
      </c>
      <c r="C15" s="2" t="s">
        <v>33</v>
      </c>
      <c r="D15" s="2" t="s">
        <v>54</v>
      </c>
      <c r="E15" s="2">
        <v>7283</v>
      </c>
      <c r="F15" s="3">
        <v>45122</v>
      </c>
      <c r="H15" s="4"/>
      <c r="I15" s="4"/>
      <c r="J15" s="4"/>
      <c r="K15" s="4"/>
      <c r="L15" s="5">
        <f>IF(E2&gt;=5000,E2*0.2,IF(E2&gt;=3000,E2*0.15,IF(E2&gt;=1000,E2*0.1,0)))</f>
        <v>1409.6000000000001</v>
      </c>
      <c r="M15" s="4"/>
      <c r="N15" s="4"/>
      <c r="O15" s="4"/>
      <c r="P15" s="4"/>
      <c r="Q15" s="4"/>
    </row>
    <row r="16" spans="1:17" x14ac:dyDescent="0.3">
      <c r="A16" s="2">
        <v>2015</v>
      </c>
      <c r="B16" s="2" t="s">
        <v>52</v>
      </c>
      <c r="C16" s="2" t="s">
        <v>40</v>
      </c>
      <c r="D16" s="2" t="s">
        <v>55</v>
      </c>
      <c r="E16" s="2">
        <v>15678</v>
      </c>
      <c r="F16" s="3">
        <v>45137</v>
      </c>
    </row>
    <row r="17" spans="1:17" x14ac:dyDescent="0.3">
      <c r="A17" s="2">
        <v>2016</v>
      </c>
      <c r="B17" s="2" t="s">
        <v>38</v>
      </c>
      <c r="C17" s="2" t="s">
        <v>40</v>
      </c>
      <c r="D17" s="2" t="s">
        <v>56</v>
      </c>
      <c r="E17" s="2">
        <v>5277</v>
      </c>
      <c r="F17" s="3">
        <v>45152</v>
      </c>
      <c r="H17" s="25" t="s">
        <v>102</v>
      </c>
      <c r="I17" s="26"/>
      <c r="J17" s="26"/>
      <c r="K17" s="26"/>
      <c r="L17" s="26"/>
      <c r="M17" s="26"/>
      <c r="N17" s="26"/>
      <c r="O17" s="26"/>
      <c r="P17" s="26"/>
      <c r="Q17" s="27"/>
    </row>
    <row r="18" spans="1:17" x14ac:dyDescent="0.3">
      <c r="A18" s="2">
        <v>2017</v>
      </c>
      <c r="B18" s="2" t="s">
        <v>50</v>
      </c>
      <c r="C18" s="2" t="s">
        <v>42</v>
      </c>
      <c r="D18" s="2" t="s">
        <v>57</v>
      </c>
      <c r="E18" s="2">
        <v>41871</v>
      </c>
      <c r="F18" s="3">
        <v>45167</v>
      </c>
      <c r="H18" s="4"/>
      <c r="I18" s="4"/>
      <c r="J18" s="4"/>
      <c r="K18" s="4"/>
      <c r="L18" s="5" t="str">
        <f>IF(OR(B2="A",B2="B"),"ELIGIBLE","NOT ELIGIBLE")</f>
        <v>NOT ELIGIBLE</v>
      </c>
      <c r="M18" s="4"/>
      <c r="N18" s="4"/>
      <c r="O18" s="4"/>
      <c r="P18" s="4"/>
      <c r="Q18" s="4"/>
    </row>
    <row r="19" spans="1:17" x14ac:dyDescent="0.3">
      <c r="A19" s="2">
        <v>2018</v>
      </c>
      <c r="B19" s="2" t="s">
        <v>50</v>
      </c>
      <c r="C19" s="2" t="s">
        <v>36</v>
      </c>
      <c r="D19" s="2" t="s">
        <v>58</v>
      </c>
      <c r="E19" s="2">
        <v>38161</v>
      </c>
      <c r="F19" s="3">
        <v>45182</v>
      </c>
    </row>
    <row r="20" spans="1:17" x14ac:dyDescent="0.3">
      <c r="A20" s="2">
        <v>2019</v>
      </c>
      <c r="B20" s="2" t="s">
        <v>38</v>
      </c>
      <c r="C20" s="2" t="s">
        <v>36</v>
      </c>
      <c r="D20" s="2" t="s">
        <v>59</v>
      </c>
      <c r="E20" s="2">
        <v>30436</v>
      </c>
      <c r="F20" s="3">
        <v>45197</v>
      </c>
      <c r="H20" s="25" t="s">
        <v>103</v>
      </c>
      <c r="I20" s="26"/>
      <c r="J20" s="26"/>
      <c r="K20" s="26"/>
      <c r="L20" s="26"/>
      <c r="M20" s="26"/>
      <c r="N20" s="26"/>
      <c r="O20" s="26"/>
      <c r="P20" s="26"/>
      <c r="Q20" s="27"/>
    </row>
    <row r="21" spans="1:17" x14ac:dyDescent="0.3">
      <c r="A21" s="2">
        <v>2020</v>
      </c>
      <c r="B21" s="2" t="s">
        <v>35</v>
      </c>
      <c r="C21" s="2" t="s">
        <v>36</v>
      </c>
      <c r="D21" s="2" t="s">
        <v>60</v>
      </c>
      <c r="E21" s="2">
        <v>33953</v>
      </c>
      <c r="F21" s="3">
        <v>45212</v>
      </c>
      <c r="H21" s="4"/>
      <c r="I21" s="4"/>
      <c r="J21" s="4"/>
      <c r="K21" s="4"/>
      <c r="L21" s="5">
        <f>SUMIFS(E2:E200,C2:C200,G2,D2:D200,H2)</f>
        <v>0</v>
      </c>
      <c r="M21" s="4"/>
      <c r="N21" s="4"/>
      <c r="O21" s="4"/>
      <c r="P21" s="4"/>
      <c r="Q21" s="4"/>
    </row>
    <row r="23" spans="1:17" x14ac:dyDescent="0.3">
      <c r="H23" s="25" t="s">
        <v>104</v>
      </c>
      <c r="I23" s="26"/>
      <c r="J23" s="26"/>
      <c r="K23" s="26"/>
      <c r="L23" s="26"/>
      <c r="M23" s="26"/>
      <c r="N23" s="26"/>
      <c r="O23" s="26"/>
      <c r="P23" s="26"/>
      <c r="Q23" s="27"/>
    </row>
    <row r="24" spans="1:17" x14ac:dyDescent="0.3">
      <c r="H24" s="4"/>
      <c r="I24" s="4"/>
      <c r="J24" s="4"/>
      <c r="K24" s="4"/>
      <c r="L24" s="4" t="e">
        <f>VLOOKUP(B2,'[2]sales data'!A:C,3,FALSE)</f>
        <v>#N/A</v>
      </c>
      <c r="M24" s="4"/>
      <c r="N24" s="4"/>
      <c r="O24" s="4"/>
      <c r="P24" s="4"/>
      <c r="Q24" s="4"/>
    </row>
    <row r="26" spans="1:17" x14ac:dyDescent="0.3">
      <c r="H26" s="25" t="s">
        <v>105</v>
      </c>
      <c r="I26" s="26"/>
      <c r="J26" s="26"/>
      <c r="K26" s="26"/>
      <c r="L26" s="26"/>
      <c r="M26" s="26"/>
      <c r="N26" s="26"/>
      <c r="O26" s="26"/>
      <c r="P26" s="26"/>
      <c r="Q26" s="27"/>
    </row>
    <row r="27" spans="1:17" x14ac:dyDescent="0.3">
      <c r="H27" s="4"/>
      <c r="I27" s="4"/>
      <c r="J27" s="4"/>
      <c r="K27" s="4"/>
      <c r="L27" s="4" t="e" cm="1">
        <f t="array" ref="L27">INDEX(A2:B21,MATCH(D21,(A2:A200=D2)*(B2:B200=F2),0))</f>
        <v>#N/A</v>
      </c>
      <c r="M27" s="4"/>
      <c r="N27" s="4"/>
      <c r="O27" s="4"/>
      <c r="P27" s="4"/>
      <c r="Q27" s="4"/>
    </row>
    <row r="29" spans="1:17" x14ac:dyDescent="0.3">
      <c r="H29" s="25" t="s">
        <v>106</v>
      </c>
      <c r="I29" s="26"/>
      <c r="J29" s="26"/>
      <c r="K29" s="26"/>
      <c r="L29" s="26"/>
      <c r="M29" s="26"/>
      <c r="N29" s="26"/>
      <c r="O29" s="26"/>
      <c r="P29" s="26"/>
      <c r="Q29" s="27"/>
    </row>
    <row r="30" spans="1:17" x14ac:dyDescent="0.3">
      <c r="H30" s="4"/>
      <c r="I30" s="4"/>
      <c r="J30" s="4"/>
      <c r="K30" s="4"/>
      <c r="L30" s="4"/>
      <c r="M30" s="4"/>
      <c r="N30" s="4"/>
      <c r="O30" s="4"/>
      <c r="P30" s="4"/>
      <c r="Q30" s="4"/>
    </row>
    <row r="32" spans="1:17" x14ac:dyDescent="0.3">
      <c r="H32" s="25" t="s">
        <v>107</v>
      </c>
      <c r="I32" s="26"/>
      <c r="J32" s="26"/>
      <c r="K32" s="26"/>
      <c r="L32" s="26"/>
      <c r="M32" s="26"/>
      <c r="N32" s="26"/>
      <c r="O32" s="26"/>
      <c r="P32" s="26"/>
      <c r="Q32" s="27"/>
    </row>
    <row r="33" spans="8:17" x14ac:dyDescent="0.3">
      <c r="H33" s="4"/>
      <c r="I33" s="4"/>
      <c r="J33" s="4"/>
      <c r="K33" s="4"/>
      <c r="L33" s="4"/>
      <c r="M33" s="4"/>
      <c r="N33" s="4"/>
      <c r="O33" s="4"/>
      <c r="P33" s="4"/>
      <c r="Q33" s="4"/>
    </row>
  </sheetData>
  <sheetProtection sheet="1" objects="1" scenarios="1"/>
  <mergeCells count="11">
    <mergeCell ref="H17:Q17"/>
    <mergeCell ref="H2:Q2"/>
    <mergeCell ref="H5:Q5"/>
    <mergeCell ref="H8:Q8"/>
    <mergeCell ref="H11:Q11"/>
    <mergeCell ref="H14:Q14"/>
    <mergeCell ref="H23:Q23"/>
    <mergeCell ref="H26:Q26"/>
    <mergeCell ref="H29:Q29"/>
    <mergeCell ref="H32:Q32"/>
    <mergeCell ref="H20:Q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FB2E-E7FC-4612-8BC3-47B40BC0CD89}">
  <sheetPr>
    <tabColor theme="8" tint="0.59999389629810485"/>
  </sheetPr>
  <dimension ref="A1:N21"/>
  <sheetViews>
    <sheetView workbookViewId="0">
      <selection activeCell="B6" sqref="B6"/>
    </sheetView>
  </sheetViews>
  <sheetFormatPr defaultRowHeight="14.4" x14ac:dyDescent="0.3"/>
  <cols>
    <col min="1" max="1" width="14.21875" customWidth="1"/>
    <col min="2" max="2" width="14.5546875" customWidth="1"/>
    <col min="3" max="3" width="15.88671875" customWidth="1"/>
    <col min="4" max="4" width="11.44140625" customWidth="1"/>
    <col min="5" max="5" width="20.109375" customWidth="1"/>
  </cols>
  <sheetData>
    <row r="1" spans="1:14" x14ac:dyDescent="0.3">
      <c r="A1" s="6" t="s">
        <v>61</v>
      </c>
      <c r="B1" s="6" t="s">
        <v>1</v>
      </c>
      <c r="C1" s="6" t="s">
        <v>62</v>
      </c>
      <c r="D1" s="6" t="s">
        <v>63</v>
      </c>
      <c r="E1" s="6" t="s">
        <v>64</v>
      </c>
    </row>
    <row r="2" spans="1:14" x14ac:dyDescent="0.3">
      <c r="A2" s="7">
        <v>3001</v>
      </c>
      <c r="B2" s="7" t="s">
        <v>65</v>
      </c>
      <c r="C2" s="7" t="s">
        <v>66</v>
      </c>
      <c r="D2" s="7">
        <v>86766</v>
      </c>
      <c r="E2" s="8">
        <v>42005</v>
      </c>
      <c r="G2" s="28" t="s">
        <v>108</v>
      </c>
      <c r="H2" s="29"/>
      <c r="I2" s="29"/>
      <c r="J2" s="29"/>
      <c r="K2" s="29"/>
      <c r="L2" s="29"/>
      <c r="M2" s="29"/>
      <c r="N2" s="30"/>
    </row>
    <row r="3" spans="1:14" x14ac:dyDescent="0.3">
      <c r="A3" s="7">
        <v>3002</v>
      </c>
      <c r="B3" s="7" t="s">
        <v>67</v>
      </c>
      <c r="C3" s="7" t="s">
        <v>66</v>
      </c>
      <c r="D3" s="7">
        <v>31943</v>
      </c>
      <c r="E3" s="8">
        <v>42255</v>
      </c>
      <c r="G3" s="10"/>
      <c r="H3" s="10"/>
      <c r="I3" s="10"/>
      <c r="J3" s="10"/>
      <c r="K3" s="10"/>
      <c r="L3" s="10"/>
      <c r="M3" s="10"/>
      <c r="N3" s="10"/>
    </row>
    <row r="4" spans="1:14" x14ac:dyDescent="0.3">
      <c r="A4" s="7">
        <v>3003</v>
      </c>
      <c r="B4" s="7" t="s">
        <v>68</v>
      </c>
      <c r="C4" s="9" t="s">
        <v>69</v>
      </c>
      <c r="D4" s="7">
        <v>63374</v>
      </c>
      <c r="E4" s="8">
        <v>42505</v>
      </c>
    </row>
    <row r="5" spans="1:14" x14ac:dyDescent="0.3">
      <c r="A5" s="7">
        <v>3004</v>
      </c>
      <c r="B5" s="7" t="s">
        <v>70</v>
      </c>
      <c r="C5" s="7" t="s">
        <v>66</v>
      </c>
      <c r="D5" s="7">
        <v>109972</v>
      </c>
      <c r="E5" s="8">
        <v>42755</v>
      </c>
      <c r="G5" s="28" t="s">
        <v>109</v>
      </c>
      <c r="H5" s="29"/>
      <c r="I5" s="29"/>
      <c r="J5" s="29"/>
      <c r="K5" s="29"/>
      <c r="L5" s="29"/>
      <c r="M5" s="29"/>
      <c r="N5" s="30"/>
    </row>
    <row r="6" spans="1:14" x14ac:dyDescent="0.3">
      <c r="A6" s="7">
        <v>3005</v>
      </c>
      <c r="B6" s="7" t="s">
        <v>71</v>
      </c>
      <c r="C6" s="7" t="s">
        <v>72</v>
      </c>
      <c r="D6" s="7">
        <v>54149</v>
      </c>
      <c r="E6" s="8">
        <v>43005</v>
      </c>
      <c r="G6" s="10"/>
      <c r="H6" s="10"/>
      <c r="I6" s="10"/>
      <c r="J6" s="11">
        <f>YEAR(E10)</f>
        <v>2020</v>
      </c>
      <c r="K6" s="10"/>
      <c r="L6" s="10"/>
      <c r="M6" s="10"/>
      <c r="N6" s="10"/>
    </row>
    <row r="7" spans="1:14" x14ac:dyDescent="0.3">
      <c r="A7" s="7">
        <v>3006</v>
      </c>
      <c r="B7" s="7" t="s">
        <v>73</v>
      </c>
      <c r="C7" s="7" t="s">
        <v>72</v>
      </c>
      <c r="D7" s="7">
        <v>78689</v>
      </c>
      <c r="E7" s="8">
        <v>43255</v>
      </c>
    </row>
    <row r="8" spans="1:14" x14ac:dyDescent="0.3">
      <c r="A8" s="7">
        <v>3007</v>
      </c>
      <c r="B8" s="7" t="s">
        <v>74</v>
      </c>
      <c r="C8" s="7" t="s">
        <v>75</v>
      </c>
      <c r="D8" s="7">
        <v>35960</v>
      </c>
      <c r="E8" s="8">
        <v>43505</v>
      </c>
      <c r="G8" s="28" t="s">
        <v>110</v>
      </c>
      <c r="H8" s="29"/>
      <c r="I8" s="29"/>
      <c r="J8" s="29"/>
      <c r="K8" s="29"/>
      <c r="L8" s="29"/>
      <c r="M8" s="29"/>
      <c r="N8" s="30"/>
    </row>
    <row r="9" spans="1:14" x14ac:dyDescent="0.3">
      <c r="A9" s="7">
        <v>3008</v>
      </c>
      <c r="B9" s="7" t="s">
        <v>76</v>
      </c>
      <c r="C9" s="7" t="s">
        <v>72</v>
      </c>
      <c r="D9" s="7">
        <v>91659</v>
      </c>
      <c r="E9" s="8">
        <v>43755</v>
      </c>
      <c r="G9" s="10"/>
      <c r="H9" s="10"/>
      <c r="I9" s="10"/>
      <c r="J9" s="11">
        <f>MONTH(E10)</f>
        <v>6</v>
      </c>
      <c r="K9" s="10"/>
      <c r="L9" s="10"/>
      <c r="M9" s="10"/>
      <c r="N9" s="10"/>
    </row>
    <row r="10" spans="1:14" x14ac:dyDescent="0.3">
      <c r="A10" s="7">
        <v>3009</v>
      </c>
      <c r="B10" s="7" t="s">
        <v>77</v>
      </c>
      <c r="C10" s="7" t="s">
        <v>72</v>
      </c>
      <c r="D10" s="7">
        <v>90423</v>
      </c>
      <c r="E10" s="8">
        <v>44005</v>
      </c>
    </row>
    <row r="11" spans="1:14" x14ac:dyDescent="0.3">
      <c r="A11" s="7">
        <v>3010</v>
      </c>
      <c r="B11" s="7" t="s">
        <v>78</v>
      </c>
      <c r="C11" s="7" t="s">
        <v>69</v>
      </c>
      <c r="D11" s="7">
        <v>107877</v>
      </c>
      <c r="E11" s="8">
        <v>44255</v>
      </c>
      <c r="G11" s="28" t="s">
        <v>111</v>
      </c>
      <c r="H11" s="29"/>
      <c r="I11" s="29"/>
      <c r="J11" s="29"/>
      <c r="K11" s="29"/>
      <c r="L11" s="29"/>
      <c r="M11" s="29"/>
      <c r="N11" s="30"/>
    </row>
    <row r="12" spans="1:14" x14ac:dyDescent="0.3">
      <c r="A12" s="7">
        <v>3011</v>
      </c>
      <c r="B12" s="7" t="s">
        <v>79</v>
      </c>
      <c r="C12" s="7" t="s">
        <v>66</v>
      </c>
      <c r="D12" s="7">
        <v>107634</v>
      </c>
      <c r="E12" s="8">
        <v>44505</v>
      </c>
      <c r="G12" s="10"/>
      <c r="H12" s="10"/>
      <c r="I12" s="10"/>
      <c r="J12" s="11">
        <f>DAY(E10)</f>
        <v>23</v>
      </c>
      <c r="K12" s="10"/>
      <c r="L12" s="10"/>
      <c r="M12" s="10"/>
      <c r="N12" s="10"/>
    </row>
    <row r="13" spans="1:14" x14ac:dyDescent="0.3">
      <c r="A13" s="7">
        <v>3012</v>
      </c>
      <c r="B13" s="7" t="s">
        <v>80</v>
      </c>
      <c r="C13" s="7" t="s">
        <v>66</v>
      </c>
      <c r="D13" s="7">
        <v>35226</v>
      </c>
      <c r="E13" s="8">
        <v>44755</v>
      </c>
    </row>
    <row r="14" spans="1:14" x14ac:dyDescent="0.3">
      <c r="A14" s="7">
        <v>3013</v>
      </c>
      <c r="B14" s="7" t="s">
        <v>81</v>
      </c>
      <c r="C14" s="7" t="s">
        <v>69</v>
      </c>
      <c r="D14" s="7">
        <v>40872</v>
      </c>
      <c r="E14" s="8">
        <v>45005</v>
      </c>
      <c r="G14" s="28" t="s">
        <v>112</v>
      </c>
      <c r="H14" s="29"/>
      <c r="I14" s="29"/>
      <c r="J14" s="29"/>
      <c r="K14" s="29"/>
      <c r="L14" s="29"/>
      <c r="M14" s="29"/>
      <c r="N14" s="30"/>
    </row>
    <row r="15" spans="1:14" x14ac:dyDescent="0.3">
      <c r="A15" s="7">
        <v>3014</v>
      </c>
      <c r="B15" s="7" t="s">
        <v>82</v>
      </c>
      <c r="C15" s="7" t="s">
        <v>69</v>
      </c>
      <c r="D15" s="7">
        <v>55378</v>
      </c>
      <c r="E15" s="8">
        <v>45255</v>
      </c>
      <c r="G15" s="10"/>
      <c r="H15" s="10"/>
      <c r="I15" s="10"/>
      <c r="J15" s="11">
        <f ca="1">DATEDIF(E10,TODAY(),"Y")</f>
        <v>5</v>
      </c>
      <c r="K15" s="10"/>
      <c r="L15" s="10"/>
      <c r="M15" s="10"/>
      <c r="N15" s="10"/>
    </row>
    <row r="16" spans="1:14" x14ac:dyDescent="0.3">
      <c r="A16" s="7">
        <v>3015</v>
      </c>
      <c r="B16" s="7" t="s">
        <v>83</v>
      </c>
      <c r="C16" s="7" t="s">
        <v>69</v>
      </c>
      <c r="D16" s="7">
        <v>63297</v>
      </c>
      <c r="E16" s="8">
        <v>45505</v>
      </c>
    </row>
    <row r="17" spans="1:14" x14ac:dyDescent="0.3">
      <c r="A17" s="7">
        <v>3016</v>
      </c>
      <c r="B17" s="7" t="s">
        <v>84</v>
      </c>
      <c r="C17" s="7" t="s">
        <v>66</v>
      </c>
      <c r="D17" s="7">
        <v>114173</v>
      </c>
      <c r="E17" s="8">
        <v>45755</v>
      </c>
      <c r="G17" s="28" t="s">
        <v>113</v>
      </c>
      <c r="H17" s="29"/>
      <c r="I17" s="29"/>
      <c r="J17" s="29"/>
      <c r="K17" s="29"/>
      <c r="L17" s="29"/>
      <c r="M17" s="29"/>
      <c r="N17" s="30"/>
    </row>
    <row r="18" spans="1:14" x14ac:dyDescent="0.3">
      <c r="A18" s="7">
        <v>3017</v>
      </c>
      <c r="B18" s="7" t="s">
        <v>85</v>
      </c>
      <c r="C18" s="7" t="s">
        <v>69</v>
      </c>
      <c r="D18" s="7">
        <v>86915</v>
      </c>
      <c r="E18" s="8">
        <v>46005</v>
      </c>
      <c r="G18" s="10"/>
      <c r="H18" s="10"/>
      <c r="I18" s="10"/>
      <c r="J18" s="10" t="e">
        <f>INDEX(B2:B21,MATCH(B2,A2:A21,0))</f>
        <v>#N/A</v>
      </c>
      <c r="K18" s="10"/>
      <c r="L18" s="10"/>
      <c r="M18" s="10"/>
      <c r="N18" s="10"/>
    </row>
    <row r="19" spans="1:14" x14ac:dyDescent="0.3">
      <c r="A19" s="7">
        <v>3018</v>
      </c>
      <c r="B19" s="7" t="s">
        <v>86</v>
      </c>
      <c r="C19" s="7" t="s">
        <v>72</v>
      </c>
      <c r="D19" s="7">
        <v>116284</v>
      </c>
      <c r="E19" s="8">
        <v>46255</v>
      </c>
    </row>
    <row r="20" spans="1:14" x14ac:dyDescent="0.3">
      <c r="A20" s="7">
        <v>3019</v>
      </c>
      <c r="B20" s="7" t="s">
        <v>87</v>
      </c>
      <c r="C20" s="7" t="s">
        <v>75</v>
      </c>
      <c r="D20" s="7">
        <v>116283</v>
      </c>
      <c r="E20" s="8">
        <v>46505</v>
      </c>
      <c r="G20" s="28" t="s">
        <v>114</v>
      </c>
      <c r="H20" s="29"/>
      <c r="I20" s="29"/>
      <c r="J20" s="29"/>
      <c r="K20" s="29"/>
      <c r="L20" s="29"/>
      <c r="M20" s="29"/>
      <c r="N20" s="30"/>
    </row>
    <row r="21" spans="1:14" x14ac:dyDescent="0.3">
      <c r="A21" s="7">
        <v>3020</v>
      </c>
      <c r="B21" s="7" t="s">
        <v>88</v>
      </c>
      <c r="C21" s="7" t="s">
        <v>75</v>
      </c>
      <c r="D21" s="7">
        <v>99924</v>
      </c>
      <c r="E21" s="8">
        <v>46755</v>
      </c>
      <c r="G21" s="10"/>
      <c r="H21" s="10"/>
      <c r="I21" s="10"/>
      <c r="J21" s="10" t="e">
        <f>_xlfn.XLOOKUP(A2,'[3]EMPLOYEE DATA'!A:A,'[3]EMPLOYEE DATA'!D:D)</f>
        <v>#N/A</v>
      </c>
      <c r="K21" s="10"/>
      <c r="L21" s="10"/>
      <c r="M21" s="10"/>
      <c r="N21" s="10"/>
    </row>
  </sheetData>
  <sheetProtection sheet="1" objects="1" scenarios="1"/>
  <mergeCells count="7">
    <mergeCell ref="G20:N20"/>
    <mergeCell ref="G2:N2"/>
    <mergeCell ref="G5:N5"/>
    <mergeCell ref="G8:N8"/>
    <mergeCell ref="G11:N11"/>
    <mergeCell ref="G14:N14"/>
    <mergeCell ref="G17:N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 grade</vt:lpstr>
      <vt:lpstr>sales data</vt:lpstr>
      <vt:lpstr>emp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denish gajera</dc:creator>
  <cp:lastModifiedBy>denish gajera</cp:lastModifiedBy>
  <dcterms:created xsi:type="dcterms:W3CDTF">2025-12-11T08:51:28Z</dcterms:created>
  <dcterms:modified xsi:type="dcterms:W3CDTF">2025-12-15T09:30:39Z</dcterms:modified>
</cp:coreProperties>
</file>